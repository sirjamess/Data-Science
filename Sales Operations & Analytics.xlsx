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pivotCache/pivotCacheDefinition2.xml" ContentType="application/vnd.openxmlformats-officedocument.spreadsheetml.pivotCacheDefinition+xml"/>
  <Override PartName="/xl/pivotCache/pivotCacheRecords2.xml" ContentType="application/vnd.openxmlformats-officedocument.spreadsheetml.pivotCacheRecords+xml"/>
  <Override PartName="/xl/pivotCache/pivotCacheDefinition3.xml" ContentType="application/vnd.openxmlformats-officedocument.spreadsheetml.pivotCacheDefinition+xml"/>
  <Override PartName="/xl/pivotCache/pivotCacheRecords3.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slicerCaches/slicerCache4.xml" ContentType="application/vnd.ms-excel.slicerCache+xml"/>
  <Override PartName="/xl/slicerCaches/slicerCache5.xml" ContentType="application/vnd.ms-excel.slicerCache+xml"/>
  <Override PartName="/xl/slicerCaches/slicerCache6.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pivotTables/pivotTable9.xml" ContentType="application/vnd.openxmlformats-officedocument.spreadsheetml.pivotTable+xml"/>
  <Override PartName="/xl/pivotTables/pivotTable10.xml" ContentType="application/vnd.openxmlformats-officedocument.spreadsheetml.pivotTable+xml"/>
  <Override PartName="/xl/pivotTables/pivotTable11.xml" ContentType="application/vnd.openxmlformats-officedocument.spreadsheetml.pivotTable+xml"/>
  <Override PartName="/xl/pivotTables/pivotTable12.xml" ContentType="application/vnd.openxmlformats-officedocument.spreadsheetml.pivotTable+xml"/>
  <Override PartName="/xl/pivotTables/pivotTable13.xml" ContentType="application/vnd.openxmlformats-officedocument.spreadsheetml.pivotTab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026"/>
  <workbookPr defaultThemeVersion="124226"/>
  <mc:AlternateContent xmlns:mc="http://schemas.openxmlformats.org/markup-compatibility/2006">
    <mc:Choice Requires="x15">
      <x15ac:absPath xmlns:x15ac="http://schemas.microsoft.com/office/spreadsheetml/2010/11/ac" url="C:\Users\User\Desktop\LuxDev\"/>
    </mc:Choice>
  </mc:AlternateContent>
  <xr:revisionPtr revIDLastSave="0" documentId="13_ncr:1_{2BFFD3B1-68F2-4E90-BE50-B6491D01571B}" xr6:coauthVersionLast="47" xr6:coauthVersionMax="47" xr10:uidLastSave="{00000000-0000-0000-0000-000000000000}"/>
  <bookViews>
    <workbookView xWindow="-120" yWindow="-120" windowWidth="20730" windowHeight="11760" tabRatio="908" firstSheet="1" activeTab="2" xr2:uid="{00000000-000D-0000-FFFF-FFFF00000000}"/>
  </bookViews>
  <sheets>
    <sheet name="Data" sheetId="1" r:id="rId1"/>
    <sheet name="Clean" sheetId="3" r:id="rId2"/>
    <sheet name="Brief" sheetId="2" r:id="rId3"/>
    <sheet name="Dashboard" sheetId="16" r:id="rId4"/>
    <sheet name="Dashboard Charts" sheetId="17" r:id="rId5"/>
    <sheet name="ReadMe" sheetId="4" r:id="rId6"/>
    <sheet name="City order count" sheetId="5" r:id="rId7"/>
    <sheet name="Salesperson order count" sheetId="6" r:id="rId8"/>
    <sheet name="Channel order count" sheetId="7" r:id="rId9"/>
    <sheet name="Average LeadTimeDays" sheetId="8" r:id="rId10"/>
    <sheet name="First Time sales" sheetId="9" r:id="rId11"/>
    <sheet name="ABC Analysis" sheetId="10" r:id="rId12"/>
    <sheet name="Salesperson productivity" sheetId="11" r:id="rId13"/>
    <sheet name="Channel cannibalization" sheetId="12" r:id="rId14"/>
    <sheet name="7 Day target" sheetId="13" r:id="rId15"/>
    <sheet name="Discount Compliance" sheetId="14" r:id="rId16"/>
    <sheet name="Scenario Modeling" sheetId="15" r:id="rId17"/>
  </sheets>
  <definedNames>
    <definedName name="_xlnm._FilterDatabase" localSheetId="1" hidden="1">Clean!$A$1:$AA$633</definedName>
    <definedName name="Slicer_Channel">#N/A</definedName>
    <definedName name="Slicer_Country">#N/A</definedName>
    <definedName name="Slicer_OrderDate__________mmm_yyyy">#N/A</definedName>
    <definedName name="Slicer_ProductCategory">#N/A</definedName>
    <definedName name="Slicer_Region">#N/A</definedName>
    <definedName name="Slicer_Salesperson">#N/A</definedName>
  </definedNames>
  <calcPr calcId="191029"/>
  <pivotCaches>
    <pivotCache cacheId="0" r:id="rId18"/>
    <pivotCache cacheId="1" r:id="rId19"/>
    <pivotCache cacheId="70" r:id="rId20"/>
  </pivotCaches>
  <extLst>
    <ext xmlns:x14="http://schemas.microsoft.com/office/spreadsheetml/2009/9/main" uri="{BBE1A952-AA13-448e-AADC-164F8A28A991}">
      <x14:slicerCaches>
        <x14:slicerCache r:id="rId21"/>
        <x14:slicerCache r:id="rId22"/>
        <x14:slicerCache r:id="rId23"/>
        <x14:slicerCache r:id="rId24"/>
        <x14:slicerCache r:id="rId25"/>
        <x14:slicerCache r:id="rId26"/>
      </x14:slicerCaches>
    </ext>
    <ext xmlns:x14="http://schemas.microsoft.com/office/spreadsheetml/2009/9/main" uri="{79F54976-1DA5-4618-B147-4CDE4B953A38}">
      <x14:workbookPr/>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AH3" i="3" l="1"/>
  <c r="AH4" i="3"/>
  <c r="AH5" i="3"/>
  <c r="AH6" i="3"/>
  <c r="AH7" i="3"/>
  <c r="AH8" i="3"/>
  <c r="AH9" i="3"/>
  <c r="AH10" i="3"/>
  <c r="AH11" i="3"/>
  <c r="AH12" i="3"/>
  <c r="AH13" i="3"/>
  <c r="AH14" i="3"/>
  <c r="AH15" i="3"/>
  <c r="AH16" i="3"/>
  <c r="AH17" i="3"/>
  <c r="AH18" i="3"/>
  <c r="AH19" i="3"/>
  <c r="AH20" i="3"/>
  <c r="AH21" i="3"/>
  <c r="AH22" i="3"/>
  <c r="AH23" i="3"/>
  <c r="AH24" i="3"/>
  <c r="AH25" i="3"/>
  <c r="AH26" i="3"/>
  <c r="AH27" i="3"/>
  <c r="AH28" i="3"/>
  <c r="AH29" i="3"/>
  <c r="AH30" i="3"/>
  <c r="AH31" i="3"/>
  <c r="AH32" i="3"/>
  <c r="AH33" i="3"/>
  <c r="AH34" i="3"/>
  <c r="AH35" i="3"/>
  <c r="AH36" i="3"/>
  <c r="AH37" i="3"/>
  <c r="AH38" i="3"/>
  <c r="AH39" i="3"/>
  <c r="AH40" i="3"/>
  <c r="AH41" i="3"/>
  <c r="AH42" i="3"/>
  <c r="AH43" i="3"/>
  <c r="AH44" i="3"/>
  <c r="AH45" i="3"/>
  <c r="AH46" i="3"/>
  <c r="AH47" i="3"/>
  <c r="AH48" i="3"/>
  <c r="AH49" i="3"/>
  <c r="AH50" i="3"/>
  <c r="AH51" i="3"/>
  <c r="AH52" i="3"/>
  <c r="AH53" i="3"/>
  <c r="AH54" i="3"/>
  <c r="AH55" i="3"/>
  <c r="AH56" i="3"/>
  <c r="AH57" i="3"/>
  <c r="AH58" i="3"/>
  <c r="AH59" i="3"/>
  <c r="AH60" i="3"/>
  <c r="AH61" i="3"/>
  <c r="AH62" i="3"/>
  <c r="AH63" i="3"/>
  <c r="AH64" i="3"/>
  <c r="AH65" i="3"/>
  <c r="AH66" i="3"/>
  <c r="AH67" i="3"/>
  <c r="AH68" i="3"/>
  <c r="AH69" i="3"/>
  <c r="AH70" i="3"/>
  <c r="AH71" i="3"/>
  <c r="AH72" i="3"/>
  <c r="AH73" i="3"/>
  <c r="AH74" i="3"/>
  <c r="AH75" i="3"/>
  <c r="AH76" i="3"/>
  <c r="AH77" i="3"/>
  <c r="AH78" i="3"/>
  <c r="AH79" i="3"/>
  <c r="AH80" i="3"/>
  <c r="AH81" i="3"/>
  <c r="AH82" i="3"/>
  <c r="AH83" i="3"/>
  <c r="AH84" i="3"/>
  <c r="AH85" i="3"/>
  <c r="AH86" i="3"/>
  <c r="AH87" i="3"/>
  <c r="AH88" i="3"/>
  <c r="AH89" i="3"/>
  <c r="AH90" i="3"/>
  <c r="AH91" i="3"/>
  <c r="AH92" i="3"/>
  <c r="AH93" i="3"/>
  <c r="AH94" i="3"/>
  <c r="AH95" i="3"/>
  <c r="AH96" i="3"/>
  <c r="AH97" i="3"/>
  <c r="AH98" i="3"/>
  <c r="AH99" i="3"/>
  <c r="AH100" i="3"/>
  <c r="AH101" i="3"/>
  <c r="AH102" i="3"/>
  <c r="AH103" i="3"/>
  <c r="AH104" i="3"/>
  <c r="AH105" i="3"/>
  <c r="AH106" i="3"/>
  <c r="AH107" i="3"/>
  <c r="AH108" i="3"/>
  <c r="AH109" i="3"/>
  <c r="AH110" i="3"/>
  <c r="AH111" i="3"/>
  <c r="AH112" i="3"/>
  <c r="AH113" i="3"/>
  <c r="AH114" i="3"/>
  <c r="AH115" i="3"/>
  <c r="AH116" i="3"/>
  <c r="AH117" i="3"/>
  <c r="AH118" i="3"/>
  <c r="AH119" i="3"/>
  <c r="AH120" i="3"/>
  <c r="AH121" i="3"/>
  <c r="AH122" i="3"/>
  <c r="AH123" i="3"/>
  <c r="AH124" i="3"/>
  <c r="AH125" i="3"/>
  <c r="AH126" i="3"/>
  <c r="AH127" i="3"/>
  <c r="AH128" i="3"/>
  <c r="AH129" i="3"/>
  <c r="AH130" i="3"/>
  <c r="AH131" i="3"/>
  <c r="AH132" i="3"/>
  <c r="AH133" i="3"/>
  <c r="AH134" i="3"/>
  <c r="AH135" i="3"/>
  <c r="AH136" i="3"/>
  <c r="AH137" i="3"/>
  <c r="AH138" i="3"/>
  <c r="AH139" i="3"/>
  <c r="AH140" i="3"/>
  <c r="AH141" i="3"/>
  <c r="AH142" i="3"/>
  <c r="AH143" i="3"/>
  <c r="AH144" i="3"/>
  <c r="AH145" i="3"/>
  <c r="AH146" i="3"/>
  <c r="AH147" i="3"/>
  <c r="AH148" i="3"/>
  <c r="AH149" i="3"/>
  <c r="AH150" i="3"/>
  <c r="AH151" i="3"/>
  <c r="AH152" i="3"/>
  <c r="AH153" i="3"/>
  <c r="AH154" i="3"/>
  <c r="AH155" i="3"/>
  <c r="AH156" i="3"/>
  <c r="AH157" i="3"/>
  <c r="AH158" i="3"/>
  <c r="AH159" i="3"/>
  <c r="AH160" i="3"/>
  <c r="AH161" i="3"/>
  <c r="AH162" i="3"/>
  <c r="AH163" i="3"/>
  <c r="AH164" i="3"/>
  <c r="AH165" i="3"/>
  <c r="AH166" i="3"/>
  <c r="AH167" i="3"/>
  <c r="AH168" i="3"/>
  <c r="AH169" i="3"/>
  <c r="AH170" i="3"/>
  <c r="AH171" i="3"/>
  <c r="AH172" i="3"/>
  <c r="AH173" i="3"/>
  <c r="AH174" i="3"/>
  <c r="AH175" i="3"/>
  <c r="AH176" i="3"/>
  <c r="AH177" i="3"/>
  <c r="AH178" i="3"/>
  <c r="AH179" i="3"/>
  <c r="AH180" i="3"/>
  <c r="AH181" i="3"/>
  <c r="AH182" i="3"/>
  <c r="AH183" i="3"/>
  <c r="AH184" i="3"/>
  <c r="AH185" i="3"/>
  <c r="AH186" i="3"/>
  <c r="AH187" i="3"/>
  <c r="AH188" i="3"/>
  <c r="AH189" i="3"/>
  <c r="AH190" i="3"/>
  <c r="AH191" i="3"/>
  <c r="AH192" i="3"/>
  <c r="AH193" i="3"/>
  <c r="AH194" i="3"/>
  <c r="AH195" i="3"/>
  <c r="AH196" i="3"/>
  <c r="AH197" i="3"/>
  <c r="AH198" i="3"/>
  <c r="AH199" i="3"/>
  <c r="AH200" i="3"/>
  <c r="AH201" i="3"/>
  <c r="AH202" i="3"/>
  <c r="AH203" i="3"/>
  <c r="AH204" i="3"/>
  <c r="AH205" i="3"/>
  <c r="AH206" i="3"/>
  <c r="AH207" i="3"/>
  <c r="AH208" i="3"/>
  <c r="AH209" i="3"/>
  <c r="AH210" i="3"/>
  <c r="AH211" i="3"/>
  <c r="AH212" i="3"/>
  <c r="AH213" i="3"/>
  <c r="AH214" i="3"/>
  <c r="AH215" i="3"/>
  <c r="AH216" i="3"/>
  <c r="AH217" i="3"/>
  <c r="AH218" i="3"/>
  <c r="AH219" i="3"/>
  <c r="AH220" i="3"/>
  <c r="AH221" i="3"/>
  <c r="AH222" i="3"/>
  <c r="AH223" i="3"/>
  <c r="AH224" i="3"/>
  <c r="AH225" i="3"/>
  <c r="AH226" i="3"/>
  <c r="AH227" i="3"/>
  <c r="AH228" i="3"/>
  <c r="AH229" i="3"/>
  <c r="AH230" i="3"/>
  <c r="AH231" i="3"/>
  <c r="AH232" i="3"/>
  <c r="AH233" i="3"/>
  <c r="AH234" i="3"/>
  <c r="AH235" i="3"/>
  <c r="AH236" i="3"/>
  <c r="AH237" i="3"/>
  <c r="AH238" i="3"/>
  <c r="AH239" i="3"/>
  <c r="AH240" i="3"/>
  <c r="AH241" i="3"/>
  <c r="AH242" i="3"/>
  <c r="AH243" i="3"/>
  <c r="AH244" i="3"/>
  <c r="AH245" i="3"/>
  <c r="AH246" i="3"/>
  <c r="AH247" i="3"/>
  <c r="AH248" i="3"/>
  <c r="AH249" i="3"/>
  <c r="AH250" i="3"/>
  <c r="AH251" i="3"/>
  <c r="AH252" i="3"/>
  <c r="AH253" i="3"/>
  <c r="AH254" i="3"/>
  <c r="AH255" i="3"/>
  <c r="AH256" i="3"/>
  <c r="AH257" i="3"/>
  <c r="AH258" i="3"/>
  <c r="AH259" i="3"/>
  <c r="AH260" i="3"/>
  <c r="AH261" i="3"/>
  <c r="AH262" i="3"/>
  <c r="AH263" i="3"/>
  <c r="AH264" i="3"/>
  <c r="AH265" i="3"/>
  <c r="AH266" i="3"/>
  <c r="AH267" i="3"/>
  <c r="AH268" i="3"/>
  <c r="AH269" i="3"/>
  <c r="AH270" i="3"/>
  <c r="AH271" i="3"/>
  <c r="AH272" i="3"/>
  <c r="AH273" i="3"/>
  <c r="AH274" i="3"/>
  <c r="AH275" i="3"/>
  <c r="AH276" i="3"/>
  <c r="AH277" i="3"/>
  <c r="AH278" i="3"/>
  <c r="AH279" i="3"/>
  <c r="AH280" i="3"/>
  <c r="AH281" i="3"/>
  <c r="AH282" i="3"/>
  <c r="AH283" i="3"/>
  <c r="AH284" i="3"/>
  <c r="AH285" i="3"/>
  <c r="AH286" i="3"/>
  <c r="AH287" i="3"/>
  <c r="AH288" i="3"/>
  <c r="AH289" i="3"/>
  <c r="AH290" i="3"/>
  <c r="AH291" i="3"/>
  <c r="AH292" i="3"/>
  <c r="AH293" i="3"/>
  <c r="AH294" i="3"/>
  <c r="AH295" i="3"/>
  <c r="AH296" i="3"/>
  <c r="AH297" i="3"/>
  <c r="AH298" i="3"/>
  <c r="AH299" i="3"/>
  <c r="AH300" i="3"/>
  <c r="AH301" i="3"/>
  <c r="AH302" i="3"/>
  <c r="AH303" i="3"/>
  <c r="AH304" i="3"/>
  <c r="AH305" i="3"/>
  <c r="AH306" i="3"/>
  <c r="AH307" i="3"/>
  <c r="AH308" i="3"/>
  <c r="AH309" i="3"/>
  <c r="AH310" i="3"/>
  <c r="AH311" i="3"/>
  <c r="AH312" i="3"/>
  <c r="AH313" i="3"/>
  <c r="AH314" i="3"/>
  <c r="AH315" i="3"/>
  <c r="AH316" i="3"/>
  <c r="AH317" i="3"/>
  <c r="AH318" i="3"/>
  <c r="AH319" i="3"/>
  <c r="AH320" i="3"/>
  <c r="AH321" i="3"/>
  <c r="AH322" i="3"/>
  <c r="AH323" i="3"/>
  <c r="AH324" i="3"/>
  <c r="AH325" i="3"/>
  <c r="AH326" i="3"/>
  <c r="AH327" i="3"/>
  <c r="AH328" i="3"/>
  <c r="AH329" i="3"/>
  <c r="AH330" i="3"/>
  <c r="AH331" i="3"/>
  <c r="AH332" i="3"/>
  <c r="AH333" i="3"/>
  <c r="AH334" i="3"/>
  <c r="AH335" i="3"/>
  <c r="AH336" i="3"/>
  <c r="AH337" i="3"/>
  <c r="AH338" i="3"/>
  <c r="AH339" i="3"/>
  <c r="AH340" i="3"/>
  <c r="AH341" i="3"/>
  <c r="AH342" i="3"/>
  <c r="AH343" i="3"/>
  <c r="AH344" i="3"/>
  <c r="AH345" i="3"/>
  <c r="AH346" i="3"/>
  <c r="AH347" i="3"/>
  <c r="AH348" i="3"/>
  <c r="AH349" i="3"/>
  <c r="AH350" i="3"/>
  <c r="AH351" i="3"/>
  <c r="AH352" i="3"/>
  <c r="AH353" i="3"/>
  <c r="AH354" i="3"/>
  <c r="AH355" i="3"/>
  <c r="AH356" i="3"/>
  <c r="AH357" i="3"/>
  <c r="AH358" i="3"/>
  <c r="AH359" i="3"/>
  <c r="AH360" i="3"/>
  <c r="AH361" i="3"/>
  <c r="AH362" i="3"/>
  <c r="AH363" i="3"/>
  <c r="AH364" i="3"/>
  <c r="AH365" i="3"/>
  <c r="AH366" i="3"/>
  <c r="AH367" i="3"/>
  <c r="AH368" i="3"/>
  <c r="AH369" i="3"/>
  <c r="AH370" i="3"/>
  <c r="AH371" i="3"/>
  <c r="AH372" i="3"/>
  <c r="AH373" i="3"/>
  <c r="AH374" i="3"/>
  <c r="AH375" i="3"/>
  <c r="AH376" i="3"/>
  <c r="AH377" i="3"/>
  <c r="AH378" i="3"/>
  <c r="AH379" i="3"/>
  <c r="AH380" i="3"/>
  <c r="AH381" i="3"/>
  <c r="AH382" i="3"/>
  <c r="AH383" i="3"/>
  <c r="AH384" i="3"/>
  <c r="AH385" i="3"/>
  <c r="AH386" i="3"/>
  <c r="AH387" i="3"/>
  <c r="AH388" i="3"/>
  <c r="AH389" i="3"/>
  <c r="AH390" i="3"/>
  <c r="AH391" i="3"/>
  <c r="AH392" i="3"/>
  <c r="AH393" i="3"/>
  <c r="AH394" i="3"/>
  <c r="AH395" i="3"/>
  <c r="AH396" i="3"/>
  <c r="AH397" i="3"/>
  <c r="AH398" i="3"/>
  <c r="AH399" i="3"/>
  <c r="AH400" i="3"/>
  <c r="AH401" i="3"/>
  <c r="AH402" i="3"/>
  <c r="AH403" i="3"/>
  <c r="AH404" i="3"/>
  <c r="AH405" i="3"/>
  <c r="AH406" i="3"/>
  <c r="AH407" i="3"/>
  <c r="AH408" i="3"/>
  <c r="AH409" i="3"/>
  <c r="AH410" i="3"/>
  <c r="AH411" i="3"/>
  <c r="AH412" i="3"/>
  <c r="AH413" i="3"/>
  <c r="AH414" i="3"/>
  <c r="AH415" i="3"/>
  <c r="AH416" i="3"/>
  <c r="AH417" i="3"/>
  <c r="AH418" i="3"/>
  <c r="AH419" i="3"/>
  <c r="AH420" i="3"/>
  <c r="AH421" i="3"/>
  <c r="AH422" i="3"/>
  <c r="AH423" i="3"/>
  <c r="AH424" i="3"/>
  <c r="AH425" i="3"/>
  <c r="AH426" i="3"/>
  <c r="AH427" i="3"/>
  <c r="AH428" i="3"/>
  <c r="AH429" i="3"/>
  <c r="AH430" i="3"/>
  <c r="AH431" i="3"/>
  <c r="AH432" i="3"/>
  <c r="AH433" i="3"/>
  <c r="AH434" i="3"/>
  <c r="AH435" i="3"/>
  <c r="AH436" i="3"/>
  <c r="AH437" i="3"/>
  <c r="AH438" i="3"/>
  <c r="AH439" i="3"/>
  <c r="AH440" i="3"/>
  <c r="AH441" i="3"/>
  <c r="AH442" i="3"/>
  <c r="AH443" i="3"/>
  <c r="AH444" i="3"/>
  <c r="AH445" i="3"/>
  <c r="AH446" i="3"/>
  <c r="AH447" i="3"/>
  <c r="AH448" i="3"/>
  <c r="AH449" i="3"/>
  <c r="AH450" i="3"/>
  <c r="AH451" i="3"/>
  <c r="AH452" i="3"/>
  <c r="AH453" i="3"/>
  <c r="AH454" i="3"/>
  <c r="AH455" i="3"/>
  <c r="AH456" i="3"/>
  <c r="AH457" i="3"/>
  <c r="AH458" i="3"/>
  <c r="AH459" i="3"/>
  <c r="AH460" i="3"/>
  <c r="AH461" i="3"/>
  <c r="AH462" i="3"/>
  <c r="AH463" i="3"/>
  <c r="AH464" i="3"/>
  <c r="AH465" i="3"/>
  <c r="AH466" i="3"/>
  <c r="AH467" i="3"/>
  <c r="AH468" i="3"/>
  <c r="AH469" i="3"/>
  <c r="AH470" i="3"/>
  <c r="AH471" i="3"/>
  <c r="AH472" i="3"/>
  <c r="AH473" i="3"/>
  <c r="AH474" i="3"/>
  <c r="AH475" i="3"/>
  <c r="AH476" i="3"/>
  <c r="AH477" i="3"/>
  <c r="AH478" i="3"/>
  <c r="AH479" i="3"/>
  <c r="AH480" i="3"/>
  <c r="AH481" i="3"/>
  <c r="AH482" i="3"/>
  <c r="AH483" i="3"/>
  <c r="AH484" i="3"/>
  <c r="AH485" i="3"/>
  <c r="AH486" i="3"/>
  <c r="AH487" i="3"/>
  <c r="AH488" i="3"/>
  <c r="AH489" i="3"/>
  <c r="AH490" i="3"/>
  <c r="AH491" i="3"/>
  <c r="AH492" i="3"/>
  <c r="AH493" i="3"/>
  <c r="AH494" i="3"/>
  <c r="AH495" i="3"/>
  <c r="AH496" i="3"/>
  <c r="AH497" i="3"/>
  <c r="AH498" i="3"/>
  <c r="AH499" i="3"/>
  <c r="AH500" i="3"/>
  <c r="AH501" i="3"/>
  <c r="AH502" i="3"/>
  <c r="AH503" i="3"/>
  <c r="AH504" i="3"/>
  <c r="AH505" i="3"/>
  <c r="AH506" i="3"/>
  <c r="AH507" i="3"/>
  <c r="AH508" i="3"/>
  <c r="AH509" i="3"/>
  <c r="AH510" i="3"/>
  <c r="AH511" i="3"/>
  <c r="AH512" i="3"/>
  <c r="AH513" i="3"/>
  <c r="AH514" i="3"/>
  <c r="AH515" i="3"/>
  <c r="AH516" i="3"/>
  <c r="AH517" i="3"/>
  <c r="AH518" i="3"/>
  <c r="AH519" i="3"/>
  <c r="AH520" i="3"/>
  <c r="AH521" i="3"/>
  <c r="AH522" i="3"/>
  <c r="AH523" i="3"/>
  <c r="AH524" i="3"/>
  <c r="AH525" i="3"/>
  <c r="AH526" i="3"/>
  <c r="AH527" i="3"/>
  <c r="AH528" i="3"/>
  <c r="AH529" i="3"/>
  <c r="AH530" i="3"/>
  <c r="AH531" i="3"/>
  <c r="AH532" i="3"/>
  <c r="AH533" i="3"/>
  <c r="AH534" i="3"/>
  <c r="AH535" i="3"/>
  <c r="AH536" i="3"/>
  <c r="AH537" i="3"/>
  <c r="AH538" i="3"/>
  <c r="AH539" i="3"/>
  <c r="AH540" i="3"/>
  <c r="AH541" i="3"/>
  <c r="AH542" i="3"/>
  <c r="AH543" i="3"/>
  <c r="AH544" i="3"/>
  <c r="AH545" i="3"/>
  <c r="AH546" i="3"/>
  <c r="AH547" i="3"/>
  <c r="AH548" i="3"/>
  <c r="AH549" i="3"/>
  <c r="AH550" i="3"/>
  <c r="AH551" i="3"/>
  <c r="AH552" i="3"/>
  <c r="AH553" i="3"/>
  <c r="AH554" i="3"/>
  <c r="AH555" i="3"/>
  <c r="AH556" i="3"/>
  <c r="AH557" i="3"/>
  <c r="AH558" i="3"/>
  <c r="AH559" i="3"/>
  <c r="AH560" i="3"/>
  <c r="AH561" i="3"/>
  <c r="AH562" i="3"/>
  <c r="AH563" i="3"/>
  <c r="AH564" i="3"/>
  <c r="AH565" i="3"/>
  <c r="AH566" i="3"/>
  <c r="AH567" i="3"/>
  <c r="AH568" i="3"/>
  <c r="AH569" i="3"/>
  <c r="AH570" i="3"/>
  <c r="AH571" i="3"/>
  <c r="AH572" i="3"/>
  <c r="AH573" i="3"/>
  <c r="AH574" i="3"/>
  <c r="AH575" i="3"/>
  <c r="AH576" i="3"/>
  <c r="AH577" i="3"/>
  <c r="AH578" i="3"/>
  <c r="AH579" i="3"/>
  <c r="AH580" i="3"/>
  <c r="AH581" i="3"/>
  <c r="AH582" i="3"/>
  <c r="AH583" i="3"/>
  <c r="AH584" i="3"/>
  <c r="AH585" i="3"/>
  <c r="AH586" i="3"/>
  <c r="AH587" i="3"/>
  <c r="AH588" i="3"/>
  <c r="AH589" i="3"/>
  <c r="AH590" i="3"/>
  <c r="AH591" i="3"/>
  <c r="AH592" i="3"/>
  <c r="AH593" i="3"/>
  <c r="AH594" i="3"/>
  <c r="AH595" i="3"/>
  <c r="AH596" i="3"/>
  <c r="AH597" i="3"/>
  <c r="AH598" i="3"/>
  <c r="AH599" i="3"/>
  <c r="AH600" i="3"/>
  <c r="AH601" i="3"/>
  <c r="AH602" i="3"/>
  <c r="AH603" i="3"/>
  <c r="AH604" i="3"/>
  <c r="AH605" i="3"/>
  <c r="AH606" i="3"/>
  <c r="AH607" i="3"/>
  <c r="AH608" i="3"/>
  <c r="AH609" i="3"/>
  <c r="AH610" i="3"/>
  <c r="AH611" i="3"/>
  <c r="AH612" i="3"/>
  <c r="AH613" i="3"/>
  <c r="AH614" i="3"/>
  <c r="AH615" i="3"/>
  <c r="AH616" i="3"/>
  <c r="AH617" i="3"/>
  <c r="AH618" i="3"/>
  <c r="AH619" i="3"/>
  <c r="AH620" i="3"/>
  <c r="AH621" i="3"/>
  <c r="AH622" i="3"/>
  <c r="AH623" i="3"/>
  <c r="AH624" i="3"/>
  <c r="AH625" i="3"/>
  <c r="AH626" i="3"/>
  <c r="AH627" i="3"/>
  <c r="AH628" i="3"/>
  <c r="AH629" i="3"/>
  <c r="AH630" i="3"/>
  <c r="AH631" i="3"/>
  <c r="AH632" i="3"/>
  <c r="AH633" i="3"/>
  <c r="AH2" i="3"/>
  <c r="AG2" i="3"/>
  <c r="AG3" i="3"/>
  <c r="AG4" i="3"/>
  <c r="AG5" i="3"/>
  <c r="AG6" i="3"/>
  <c r="AG7" i="3"/>
  <c r="AG8" i="3"/>
  <c r="AG9" i="3"/>
  <c r="AG10" i="3"/>
  <c r="AG11" i="3"/>
  <c r="AG12" i="3"/>
  <c r="AG13" i="3"/>
  <c r="AG14" i="3"/>
  <c r="AG15" i="3"/>
  <c r="AG16" i="3"/>
  <c r="AG17" i="3"/>
  <c r="AG18" i="3"/>
  <c r="AG19" i="3"/>
  <c r="AG20" i="3"/>
  <c r="AG21" i="3"/>
  <c r="AG22" i="3"/>
  <c r="AG23" i="3"/>
  <c r="AG24" i="3"/>
  <c r="AG25" i="3"/>
  <c r="AG26" i="3"/>
  <c r="AG27" i="3"/>
  <c r="AG28" i="3"/>
  <c r="AG29" i="3"/>
  <c r="AG30" i="3"/>
  <c r="AG31" i="3"/>
  <c r="AG32" i="3"/>
  <c r="AG33" i="3"/>
  <c r="AG34" i="3"/>
  <c r="AG35" i="3"/>
  <c r="AG36" i="3"/>
  <c r="AG37" i="3"/>
  <c r="AG38" i="3"/>
  <c r="AG39" i="3"/>
  <c r="AG40" i="3"/>
  <c r="AG41" i="3"/>
  <c r="AG42" i="3"/>
  <c r="AG43" i="3"/>
  <c r="AG44" i="3"/>
  <c r="AG45" i="3"/>
  <c r="AG46" i="3"/>
  <c r="AG47" i="3"/>
  <c r="AG48" i="3"/>
  <c r="AG49" i="3"/>
  <c r="AG50" i="3"/>
  <c r="AG51" i="3"/>
  <c r="AG52" i="3"/>
  <c r="AG53" i="3"/>
  <c r="AG54" i="3"/>
  <c r="AG55" i="3"/>
  <c r="AG56" i="3"/>
  <c r="AG57" i="3"/>
  <c r="AG58" i="3"/>
  <c r="AG59" i="3"/>
  <c r="AG60" i="3"/>
  <c r="AG61" i="3"/>
  <c r="AG62" i="3"/>
  <c r="AG63" i="3"/>
  <c r="AG64" i="3"/>
  <c r="AG65" i="3"/>
  <c r="AG66" i="3"/>
  <c r="AG67" i="3"/>
  <c r="AG68" i="3"/>
  <c r="AG69" i="3"/>
  <c r="AG70" i="3"/>
  <c r="AG71" i="3"/>
  <c r="AG72" i="3"/>
  <c r="AG73" i="3"/>
  <c r="AG74" i="3"/>
  <c r="AG75" i="3"/>
  <c r="AG76" i="3"/>
  <c r="AG77" i="3"/>
  <c r="AG78" i="3"/>
  <c r="AG79" i="3"/>
  <c r="AG80" i="3"/>
  <c r="AG81" i="3"/>
  <c r="AG82" i="3"/>
  <c r="AG83" i="3"/>
  <c r="AG84" i="3"/>
  <c r="AG85" i="3"/>
  <c r="AG86" i="3"/>
  <c r="AG87" i="3"/>
  <c r="AG88" i="3"/>
  <c r="AG89" i="3"/>
  <c r="AG90" i="3"/>
  <c r="AG91" i="3"/>
  <c r="AG92" i="3"/>
  <c r="AG93" i="3"/>
  <c r="AG94" i="3"/>
  <c r="AG95" i="3"/>
  <c r="AG96" i="3"/>
  <c r="AG97" i="3"/>
  <c r="AG98" i="3"/>
  <c r="AG99" i="3"/>
  <c r="AG100" i="3"/>
  <c r="AG101" i="3"/>
  <c r="AG102" i="3"/>
  <c r="AG103" i="3"/>
  <c r="AG104" i="3"/>
  <c r="AG105" i="3"/>
  <c r="AG106" i="3"/>
  <c r="AG107" i="3"/>
  <c r="AG108" i="3"/>
  <c r="AG109" i="3"/>
  <c r="AG110" i="3"/>
  <c r="AG111" i="3"/>
  <c r="AG112" i="3"/>
  <c r="AG113" i="3"/>
  <c r="AG114" i="3"/>
  <c r="AG115" i="3"/>
  <c r="AG116" i="3"/>
  <c r="AG117" i="3"/>
  <c r="AG118" i="3"/>
  <c r="AG119" i="3"/>
  <c r="AG120" i="3"/>
  <c r="AG121" i="3"/>
  <c r="AG122" i="3"/>
  <c r="AG123" i="3"/>
  <c r="AG124" i="3"/>
  <c r="AG125" i="3"/>
  <c r="AG126" i="3"/>
  <c r="AG127" i="3"/>
  <c r="AG128" i="3"/>
  <c r="AG129" i="3"/>
  <c r="AG130" i="3"/>
  <c r="AG131" i="3"/>
  <c r="AG132" i="3"/>
  <c r="AG133" i="3"/>
  <c r="AG134" i="3"/>
  <c r="AG135" i="3"/>
  <c r="AG136" i="3"/>
  <c r="AG137" i="3"/>
  <c r="AG138" i="3"/>
  <c r="AG139" i="3"/>
  <c r="AG140" i="3"/>
  <c r="AG141" i="3"/>
  <c r="AG142" i="3"/>
  <c r="AG143" i="3"/>
  <c r="AG144" i="3"/>
  <c r="AG145" i="3"/>
  <c r="AG146" i="3"/>
  <c r="AG147" i="3"/>
  <c r="AG148" i="3"/>
  <c r="AG149" i="3"/>
  <c r="AG150" i="3"/>
  <c r="AG151" i="3"/>
  <c r="AG152" i="3"/>
  <c r="AG153" i="3"/>
  <c r="AG154" i="3"/>
  <c r="AG155" i="3"/>
  <c r="AG156" i="3"/>
  <c r="AG157" i="3"/>
  <c r="AG158" i="3"/>
  <c r="AG159" i="3"/>
  <c r="AG160" i="3"/>
  <c r="AG161" i="3"/>
  <c r="AG162" i="3"/>
  <c r="AG163" i="3"/>
  <c r="AG164" i="3"/>
  <c r="AG165" i="3"/>
  <c r="AG166" i="3"/>
  <c r="AG167" i="3"/>
  <c r="AG168" i="3"/>
  <c r="AG169" i="3"/>
  <c r="AG170" i="3"/>
  <c r="AG171" i="3"/>
  <c r="AG172" i="3"/>
  <c r="AG173" i="3"/>
  <c r="AG174" i="3"/>
  <c r="AG175" i="3"/>
  <c r="AG176" i="3"/>
  <c r="AG177" i="3"/>
  <c r="AG178" i="3"/>
  <c r="AG179" i="3"/>
  <c r="AG180" i="3"/>
  <c r="AG181" i="3"/>
  <c r="AG182" i="3"/>
  <c r="AG183" i="3"/>
  <c r="AG184" i="3"/>
  <c r="AG185" i="3"/>
  <c r="AG186" i="3"/>
  <c r="AG187" i="3"/>
  <c r="AG188" i="3"/>
  <c r="AG189" i="3"/>
  <c r="AG190" i="3"/>
  <c r="AG191" i="3"/>
  <c r="AG192" i="3"/>
  <c r="AG193" i="3"/>
  <c r="AG194" i="3"/>
  <c r="AG195" i="3"/>
  <c r="AG196" i="3"/>
  <c r="AG197" i="3"/>
  <c r="AG198" i="3"/>
  <c r="AG199" i="3"/>
  <c r="AG200" i="3"/>
  <c r="AG201" i="3"/>
  <c r="AG202" i="3"/>
  <c r="AG203" i="3"/>
  <c r="AG204" i="3"/>
  <c r="AG205" i="3"/>
  <c r="AG206" i="3"/>
  <c r="AG207" i="3"/>
  <c r="AG208" i="3"/>
  <c r="AG209" i="3"/>
  <c r="AG210" i="3"/>
  <c r="AG211" i="3"/>
  <c r="AG212" i="3"/>
  <c r="AG213" i="3"/>
  <c r="AG214" i="3"/>
  <c r="AG215" i="3"/>
  <c r="AG216" i="3"/>
  <c r="AG217" i="3"/>
  <c r="AG218" i="3"/>
  <c r="AG219" i="3"/>
  <c r="AG220" i="3"/>
  <c r="AG221" i="3"/>
  <c r="AG222" i="3"/>
  <c r="AG223" i="3"/>
  <c r="AG224" i="3"/>
  <c r="AG225" i="3"/>
  <c r="AG226" i="3"/>
  <c r="AG227" i="3"/>
  <c r="AG228" i="3"/>
  <c r="AG229" i="3"/>
  <c r="AG230" i="3"/>
  <c r="AG231" i="3"/>
  <c r="AG232" i="3"/>
  <c r="AG233" i="3"/>
  <c r="AG234" i="3"/>
  <c r="AG235" i="3"/>
  <c r="AG236" i="3"/>
  <c r="AG237" i="3"/>
  <c r="AG238" i="3"/>
  <c r="AG239" i="3"/>
  <c r="AG240" i="3"/>
  <c r="AG241" i="3"/>
  <c r="AG242" i="3"/>
  <c r="AG243" i="3"/>
  <c r="AG244" i="3"/>
  <c r="AG245" i="3"/>
  <c r="AG246" i="3"/>
  <c r="AG247" i="3"/>
  <c r="AG248" i="3"/>
  <c r="AG249" i="3"/>
  <c r="AG250" i="3"/>
  <c r="AG251" i="3"/>
  <c r="AG252" i="3"/>
  <c r="AG253" i="3"/>
  <c r="AG254" i="3"/>
  <c r="AG255" i="3"/>
  <c r="AG256" i="3"/>
  <c r="AG257" i="3"/>
  <c r="AG258" i="3"/>
  <c r="AG259" i="3"/>
  <c r="AG260" i="3"/>
  <c r="AG261" i="3"/>
  <c r="AG262" i="3"/>
  <c r="AG263" i="3"/>
  <c r="AG264" i="3"/>
  <c r="AG265" i="3"/>
  <c r="AG266" i="3"/>
  <c r="AG267" i="3"/>
  <c r="AG268" i="3"/>
  <c r="AG269" i="3"/>
  <c r="AG270" i="3"/>
  <c r="AG271" i="3"/>
  <c r="AG272" i="3"/>
  <c r="AG273" i="3"/>
  <c r="AG274" i="3"/>
  <c r="AG275" i="3"/>
  <c r="AG276" i="3"/>
  <c r="AG277" i="3"/>
  <c r="AG278" i="3"/>
  <c r="AG279" i="3"/>
  <c r="AG280" i="3"/>
  <c r="AG281" i="3"/>
  <c r="AG282" i="3"/>
  <c r="AG283" i="3"/>
  <c r="AG284" i="3"/>
  <c r="AG285" i="3"/>
  <c r="AG286" i="3"/>
  <c r="AG287" i="3"/>
  <c r="AG288" i="3"/>
  <c r="AG289" i="3"/>
  <c r="AG290" i="3"/>
  <c r="AG291" i="3"/>
  <c r="AG292" i="3"/>
  <c r="AG293" i="3"/>
  <c r="AG294" i="3"/>
  <c r="AG295" i="3"/>
  <c r="AG296" i="3"/>
  <c r="AG297" i="3"/>
  <c r="AG298" i="3"/>
  <c r="AG299" i="3"/>
  <c r="AG300" i="3"/>
  <c r="AG301" i="3"/>
  <c r="AG302" i="3"/>
  <c r="AG303" i="3"/>
  <c r="AG304" i="3"/>
  <c r="AG305" i="3"/>
  <c r="AG306" i="3"/>
  <c r="AG307" i="3"/>
  <c r="AG308" i="3"/>
  <c r="AG309" i="3"/>
  <c r="AG310" i="3"/>
  <c r="AG311" i="3"/>
  <c r="AG312" i="3"/>
  <c r="AG313" i="3"/>
  <c r="AG314" i="3"/>
  <c r="AG315" i="3"/>
  <c r="AG316" i="3"/>
  <c r="AG317" i="3"/>
  <c r="AG318" i="3"/>
  <c r="AG319" i="3"/>
  <c r="AG320" i="3"/>
  <c r="AG321" i="3"/>
  <c r="AG322" i="3"/>
  <c r="AG323" i="3"/>
  <c r="AG324" i="3"/>
  <c r="AG325" i="3"/>
  <c r="AG326" i="3"/>
  <c r="AG327" i="3"/>
  <c r="AG328" i="3"/>
  <c r="AG329" i="3"/>
  <c r="AG330" i="3"/>
  <c r="AG331" i="3"/>
  <c r="AG332" i="3"/>
  <c r="AG333" i="3"/>
  <c r="AG334" i="3"/>
  <c r="AG335" i="3"/>
  <c r="AG336" i="3"/>
  <c r="AG337" i="3"/>
  <c r="AG338" i="3"/>
  <c r="AG339" i="3"/>
  <c r="AG340" i="3"/>
  <c r="AG341" i="3"/>
  <c r="AG342" i="3"/>
  <c r="AG343" i="3"/>
  <c r="AG344" i="3"/>
  <c r="AG345" i="3"/>
  <c r="AG346" i="3"/>
  <c r="AG347" i="3"/>
  <c r="AG348" i="3"/>
  <c r="AG349" i="3"/>
  <c r="AG350" i="3"/>
  <c r="AG351" i="3"/>
  <c r="AG352" i="3"/>
  <c r="AG353" i="3"/>
  <c r="AG354" i="3"/>
  <c r="AG355" i="3"/>
  <c r="AG356" i="3"/>
  <c r="AG357" i="3"/>
  <c r="AG358" i="3"/>
  <c r="AG359" i="3"/>
  <c r="AG360" i="3"/>
  <c r="AG361" i="3"/>
  <c r="AG362" i="3"/>
  <c r="AG363" i="3"/>
  <c r="AG364" i="3"/>
  <c r="AG365" i="3"/>
  <c r="AG366" i="3"/>
  <c r="AG367" i="3"/>
  <c r="AG368" i="3"/>
  <c r="AG369" i="3"/>
  <c r="AG370" i="3"/>
  <c r="AG371" i="3"/>
  <c r="AG372" i="3"/>
  <c r="AG373" i="3"/>
  <c r="AG374" i="3"/>
  <c r="AG375" i="3"/>
  <c r="AG376" i="3"/>
  <c r="AG377" i="3"/>
  <c r="AG378" i="3"/>
  <c r="AG379" i="3"/>
  <c r="AG380" i="3"/>
  <c r="AG381" i="3"/>
  <c r="AG382" i="3"/>
  <c r="AG383" i="3"/>
  <c r="AG384" i="3"/>
  <c r="AG385" i="3"/>
  <c r="AG386" i="3"/>
  <c r="AG387" i="3"/>
  <c r="AG388" i="3"/>
  <c r="AG389" i="3"/>
  <c r="AG390" i="3"/>
  <c r="AG391" i="3"/>
  <c r="AG392" i="3"/>
  <c r="AG393" i="3"/>
  <c r="AG394" i="3"/>
  <c r="AG395" i="3"/>
  <c r="AG396" i="3"/>
  <c r="AG397" i="3"/>
  <c r="AG398" i="3"/>
  <c r="AG399" i="3"/>
  <c r="AG400" i="3"/>
  <c r="AG401" i="3"/>
  <c r="AG402" i="3"/>
  <c r="AG403" i="3"/>
  <c r="AG404" i="3"/>
  <c r="AG405" i="3"/>
  <c r="AG406" i="3"/>
  <c r="AG407" i="3"/>
  <c r="AG408" i="3"/>
  <c r="AG409" i="3"/>
  <c r="AG410" i="3"/>
  <c r="AG411" i="3"/>
  <c r="AG412" i="3"/>
  <c r="AG413" i="3"/>
  <c r="AG414" i="3"/>
  <c r="AG415" i="3"/>
  <c r="AG416" i="3"/>
  <c r="AG417" i="3"/>
  <c r="AG418" i="3"/>
  <c r="AG419" i="3"/>
  <c r="AG420" i="3"/>
  <c r="AG421" i="3"/>
  <c r="AG422" i="3"/>
  <c r="AG423" i="3"/>
  <c r="AG424" i="3"/>
  <c r="AG425" i="3"/>
  <c r="AG426" i="3"/>
  <c r="AG427" i="3"/>
  <c r="AG428" i="3"/>
  <c r="AG429" i="3"/>
  <c r="AG430" i="3"/>
  <c r="AG431" i="3"/>
  <c r="AG432" i="3"/>
  <c r="AG433" i="3"/>
  <c r="AG434" i="3"/>
  <c r="AG435" i="3"/>
  <c r="AG436" i="3"/>
  <c r="AG437" i="3"/>
  <c r="AG438" i="3"/>
  <c r="AG439" i="3"/>
  <c r="AG440" i="3"/>
  <c r="AG441" i="3"/>
  <c r="AG442" i="3"/>
  <c r="AG443" i="3"/>
  <c r="AG444" i="3"/>
  <c r="AG445" i="3"/>
  <c r="AG446" i="3"/>
  <c r="AG447" i="3"/>
  <c r="AG448" i="3"/>
  <c r="AG449" i="3"/>
  <c r="AG450" i="3"/>
  <c r="AG451" i="3"/>
  <c r="AG452" i="3"/>
  <c r="AG453" i="3"/>
  <c r="AG454" i="3"/>
  <c r="AG455" i="3"/>
  <c r="AG456" i="3"/>
  <c r="AG457" i="3"/>
  <c r="AG458" i="3"/>
  <c r="AG459" i="3"/>
  <c r="AG460" i="3"/>
  <c r="AG461" i="3"/>
  <c r="AG462" i="3"/>
  <c r="AG463" i="3"/>
  <c r="AG464" i="3"/>
  <c r="AG465" i="3"/>
  <c r="AG466" i="3"/>
  <c r="AG467" i="3"/>
  <c r="AG468" i="3"/>
  <c r="AG469" i="3"/>
  <c r="AG470" i="3"/>
  <c r="AG471" i="3"/>
  <c r="AG472" i="3"/>
  <c r="AG473" i="3"/>
  <c r="AG474" i="3"/>
  <c r="AG475" i="3"/>
  <c r="AG476" i="3"/>
  <c r="AG477" i="3"/>
  <c r="AG478" i="3"/>
  <c r="AG479" i="3"/>
  <c r="AG480" i="3"/>
  <c r="AG481" i="3"/>
  <c r="AG482" i="3"/>
  <c r="AG483" i="3"/>
  <c r="AG484" i="3"/>
  <c r="AG485" i="3"/>
  <c r="AG486" i="3"/>
  <c r="AG487" i="3"/>
  <c r="AG488" i="3"/>
  <c r="AG489" i="3"/>
  <c r="AG490" i="3"/>
  <c r="AG491" i="3"/>
  <c r="AG492" i="3"/>
  <c r="AG493" i="3"/>
  <c r="AG494" i="3"/>
  <c r="AG495" i="3"/>
  <c r="AG496" i="3"/>
  <c r="AG497" i="3"/>
  <c r="AG498" i="3"/>
  <c r="AG499" i="3"/>
  <c r="AG500" i="3"/>
  <c r="AG501" i="3"/>
  <c r="AG502" i="3"/>
  <c r="AG503" i="3"/>
  <c r="AG504" i="3"/>
  <c r="AG505" i="3"/>
  <c r="AG506" i="3"/>
  <c r="AG507" i="3"/>
  <c r="AG508" i="3"/>
  <c r="AG509" i="3"/>
  <c r="AG510" i="3"/>
  <c r="AG511" i="3"/>
  <c r="AG512" i="3"/>
  <c r="AG513" i="3"/>
  <c r="AG514" i="3"/>
  <c r="AG515" i="3"/>
  <c r="AG516" i="3"/>
  <c r="AG517" i="3"/>
  <c r="AG518" i="3"/>
  <c r="AG519" i="3"/>
  <c r="AG520" i="3"/>
  <c r="AG521" i="3"/>
  <c r="AG522" i="3"/>
  <c r="AG523" i="3"/>
  <c r="AG524" i="3"/>
  <c r="AG525" i="3"/>
  <c r="AG526" i="3"/>
  <c r="AG527" i="3"/>
  <c r="AG528" i="3"/>
  <c r="AG529" i="3"/>
  <c r="AG530" i="3"/>
  <c r="AG531" i="3"/>
  <c r="AG532" i="3"/>
  <c r="AG533" i="3"/>
  <c r="AG534" i="3"/>
  <c r="AG535" i="3"/>
  <c r="AG536" i="3"/>
  <c r="AG537" i="3"/>
  <c r="AG538" i="3"/>
  <c r="AG539" i="3"/>
  <c r="AG540" i="3"/>
  <c r="AG541" i="3"/>
  <c r="AG542" i="3"/>
  <c r="AG543" i="3"/>
  <c r="AG544" i="3"/>
  <c r="AG545" i="3"/>
  <c r="AG546" i="3"/>
  <c r="AG547" i="3"/>
  <c r="AG548" i="3"/>
  <c r="AG549" i="3"/>
  <c r="AG550" i="3"/>
  <c r="AG551" i="3"/>
  <c r="AG552" i="3"/>
  <c r="AG553" i="3"/>
  <c r="AG554" i="3"/>
  <c r="AG555" i="3"/>
  <c r="AG556" i="3"/>
  <c r="AG557" i="3"/>
  <c r="AG558" i="3"/>
  <c r="AG559" i="3"/>
  <c r="AG560" i="3"/>
  <c r="AG561" i="3"/>
  <c r="AG562" i="3"/>
  <c r="AG563" i="3"/>
  <c r="AG564" i="3"/>
  <c r="AG565" i="3"/>
  <c r="AG566" i="3"/>
  <c r="AG567" i="3"/>
  <c r="AG568" i="3"/>
  <c r="AG569" i="3"/>
  <c r="AG570" i="3"/>
  <c r="AG571" i="3"/>
  <c r="AG572" i="3"/>
  <c r="AG573" i="3"/>
  <c r="AG574" i="3"/>
  <c r="AG575" i="3"/>
  <c r="AG576" i="3"/>
  <c r="AG577" i="3"/>
  <c r="AG578" i="3"/>
  <c r="AG579" i="3"/>
  <c r="AG580" i="3"/>
  <c r="AG581" i="3"/>
  <c r="AG582" i="3"/>
  <c r="AG583" i="3"/>
  <c r="AG584" i="3"/>
  <c r="AG585" i="3"/>
  <c r="AG586" i="3"/>
  <c r="AG587" i="3"/>
  <c r="AG588" i="3"/>
  <c r="AG589" i="3"/>
  <c r="AG590" i="3"/>
  <c r="AG591" i="3"/>
  <c r="AG592" i="3"/>
  <c r="AG593" i="3"/>
  <c r="AG594" i="3"/>
  <c r="AG595" i="3"/>
  <c r="AG596" i="3"/>
  <c r="AG597" i="3"/>
  <c r="AG598" i="3"/>
  <c r="AG599" i="3"/>
  <c r="AG600" i="3"/>
  <c r="AG601" i="3"/>
  <c r="AG602" i="3"/>
  <c r="AG603" i="3"/>
  <c r="AG604" i="3"/>
  <c r="AG605" i="3"/>
  <c r="AG606" i="3"/>
  <c r="AG607" i="3"/>
  <c r="AG608" i="3"/>
  <c r="AG609" i="3"/>
  <c r="AG610" i="3"/>
  <c r="AG611" i="3"/>
  <c r="AG612" i="3"/>
  <c r="AG613" i="3"/>
  <c r="AG614" i="3"/>
  <c r="AG615" i="3"/>
  <c r="AG616" i="3"/>
  <c r="AG617" i="3"/>
  <c r="AG618" i="3"/>
  <c r="AG619" i="3"/>
  <c r="AG620" i="3"/>
  <c r="AG621" i="3"/>
  <c r="AG622" i="3"/>
  <c r="AG623" i="3"/>
  <c r="AG624" i="3"/>
  <c r="AG625" i="3"/>
  <c r="AG626" i="3"/>
  <c r="AG627" i="3"/>
  <c r="AG628" i="3"/>
  <c r="AG629" i="3"/>
  <c r="AG630" i="3"/>
  <c r="AG631" i="3"/>
  <c r="AG632" i="3"/>
  <c r="AG633" i="3"/>
  <c r="I2" i="11"/>
  <c r="G5" i="11" s="1"/>
  <c r="F5" i="11"/>
  <c r="F6" i="11"/>
  <c r="F7" i="11"/>
  <c r="F8" i="11"/>
  <c r="F9" i="11"/>
  <c r="F10" i="11"/>
  <c r="F11" i="11"/>
  <c r="F12" i="11"/>
  <c r="F13" i="11"/>
  <c r="F14" i="11"/>
  <c r="F15" i="11"/>
  <c r="F16" i="11"/>
  <c r="F17" i="11"/>
  <c r="F18" i="11"/>
  <c r="F4" i="11"/>
  <c r="E5" i="11"/>
  <c r="E6" i="11"/>
  <c r="E7" i="11"/>
  <c r="E8" i="11"/>
  <c r="E9" i="11"/>
  <c r="E10" i="11"/>
  <c r="E11" i="11"/>
  <c r="E12" i="11"/>
  <c r="E13" i="11"/>
  <c r="E14" i="11"/>
  <c r="E15" i="11"/>
  <c r="E16" i="11"/>
  <c r="E17" i="11"/>
  <c r="E18" i="11"/>
  <c r="E4" i="11"/>
  <c r="D6" i="10"/>
  <c r="D7" i="10"/>
  <c r="D8" i="10"/>
  <c r="D9" i="10"/>
  <c r="D10" i="10"/>
  <c r="D11" i="10"/>
  <c r="D12" i="10"/>
  <c r="D13" i="10"/>
  <c r="D14" i="10"/>
  <c r="D15" i="10"/>
  <c r="D16" i="10"/>
  <c r="D17" i="10"/>
  <c r="D18" i="10"/>
  <c r="D19" i="10"/>
  <c r="D20" i="10"/>
  <c r="D21" i="10"/>
  <c r="D22" i="10"/>
  <c r="D23" i="10"/>
  <c r="D24" i="10"/>
  <c r="D25" i="10"/>
  <c r="D26" i="10"/>
  <c r="D27" i="10"/>
  <c r="D28" i="10"/>
  <c r="D29" i="10"/>
  <c r="D30" i="10"/>
  <c r="D31" i="10"/>
  <c r="D32" i="10"/>
  <c r="D33" i="10"/>
  <c r="D34" i="10"/>
  <c r="D35" i="10"/>
  <c r="D36" i="10"/>
  <c r="D37" i="10"/>
  <c r="D38" i="10"/>
  <c r="D39" i="10"/>
  <c r="D40" i="10"/>
  <c r="D41" i="10"/>
  <c r="D42" i="10"/>
  <c r="D43" i="10"/>
  <c r="D44" i="10"/>
  <c r="D45" i="10"/>
  <c r="D46" i="10"/>
  <c r="D47" i="10"/>
  <c r="D48" i="10"/>
  <c r="D49" i="10"/>
  <c r="D50" i="10"/>
  <c r="D51" i="10"/>
  <c r="D52" i="10"/>
  <c r="D53" i="10"/>
  <c r="D54" i="10"/>
  <c r="D55" i="10"/>
  <c r="D56" i="10"/>
  <c r="D57" i="10"/>
  <c r="D58" i="10"/>
  <c r="D59" i="10"/>
  <c r="D60" i="10"/>
  <c r="D61" i="10"/>
  <c r="D62" i="10"/>
  <c r="D63" i="10"/>
  <c r="D64" i="10"/>
  <c r="D65" i="10"/>
  <c r="D66" i="10"/>
  <c r="D67" i="10"/>
  <c r="D68" i="10"/>
  <c r="D69" i="10"/>
  <c r="D70" i="10"/>
  <c r="D71" i="10"/>
  <c r="D72" i="10"/>
  <c r="D73" i="10"/>
  <c r="D74" i="10"/>
  <c r="D75" i="10"/>
  <c r="D76" i="10"/>
  <c r="D77" i="10"/>
  <c r="D78" i="10"/>
  <c r="D79" i="10"/>
  <c r="D80" i="10"/>
  <c r="D81" i="10"/>
  <c r="D82" i="10"/>
  <c r="D83" i="10"/>
  <c r="D84" i="10"/>
  <c r="D85" i="10"/>
  <c r="D86" i="10"/>
  <c r="D87" i="10"/>
  <c r="D88" i="10"/>
  <c r="D89" i="10"/>
  <c r="D90" i="10"/>
  <c r="D91" i="10"/>
  <c r="D92" i="10"/>
  <c r="D93" i="10"/>
  <c r="D94" i="10"/>
  <c r="D95" i="10"/>
  <c r="D96" i="10"/>
  <c r="D97" i="10"/>
  <c r="D98" i="10"/>
  <c r="D99" i="10"/>
  <c r="D100" i="10"/>
  <c r="D101" i="10"/>
  <c r="D102" i="10"/>
  <c r="D103" i="10"/>
  <c r="D104" i="10"/>
  <c r="D105" i="10"/>
  <c r="D106" i="10"/>
  <c r="D107" i="10"/>
  <c r="D108" i="10"/>
  <c r="D109" i="10"/>
  <c r="D110" i="10"/>
  <c r="D111" i="10"/>
  <c r="D112" i="10"/>
  <c r="D113" i="10"/>
  <c r="D114" i="10"/>
  <c r="D115" i="10"/>
  <c r="D116" i="10"/>
  <c r="D117" i="10"/>
  <c r="D118" i="10"/>
  <c r="D119" i="10"/>
  <c r="D120" i="10"/>
  <c r="D121" i="10"/>
  <c r="D122" i="10"/>
  <c r="D123" i="10"/>
  <c r="D124" i="10"/>
  <c r="D125" i="10"/>
  <c r="D126" i="10"/>
  <c r="D127" i="10"/>
  <c r="D128" i="10"/>
  <c r="D129" i="10"/>
  <c r="D130" i="10"/>
  <c r="D131" i="10"/>
  <c r="D132" i="10"/>
  <c r="D133" i="10"/>
  <c r="D134" i="10"/>
  <c r="D135" i="10"/>
  <c r="D136" i="10"/>
  <c r="D137" i="10"/>
  <c r="D138" i="10"/>
  <c r="D139" i="10"/>
  <c r="D140" i="10"/>
  <c r="D141" i="10"/>
  <c r="D142" i="10"/>
  <c r="D143" i="10"/>
  <c r="D144" i="10"/>
  <c r="D145" i="10"/>
  <c r="D146" i="10"/>
  <c r="D147" i="10"/>
  <c r="D148" i="10"/>
  <c r="D149" i="10"/>
  <c r="D150" i="10"/>
  <c r="D151" i="10"/>
  <c r="D152" i="10"/>
  <c r="D153" i="10"/>
  <c r="D154" i="10"/>
  <c r="D155" i="10"/>
  <c r="D156" i="10"/>
  <c r="D157" i="10"/>
  <c r="D158" i="10"/>
  <c r="D159" i="10"/>
  <c r="D160" i="10"/>
  <c r="D161" i="10"/>
  <c r="D162" i="10"/>
  <c r="D163" i="10"/>
  <c r="D164" i="10"/>
  <c r="D165" i="10"/>
  <c r="D166" i="10"/>
  <c r="D167" i="10"/>
  <c r="D168" i="10"/>
  <c r="D169" i="10"/>
  <c r="D170" i="10"/>
  <c r="D171" i="10"/>
  <c r="D172" i="10"/>
  <c r="D173" i="10"/>
  <c r="D174" i="10"/>
  <c r="D175" i="10"/>
  <c r="D176" i="10"/>
  <c r="D177" i="10"/>
  <c r="D178" i="10"/>
  <c r="D179" i="10"/>
  <c r="D180" i="10"/>
  <c r="D181" i="10"/>
  <c r="D182" i="10"/>
  <c r="D183" i="10"/>
  <c r="D184" i="10"/>
  <c r="D185" i="10"/>
  <c r="D186" i="10"/>
  <c r="D187" i="10"/>
  <c r="D188" i="10"/>
  <c r="D189" i="10"/>
  <c r="D190" i="10"/>
  <c r="D191" i="10"/>
  <c r="D192" i="10"/>
  <c r="D193" i="10"/>
  <c r="D194" i="10"/>
  <c r="D195" i="10"/>
  <c r="D196" i="10"/>
  <c r="D197" i="10"/>
  <c r="D198" i="10"/>
  <c r="D199" i="10"/>
  <c r="D200" i="10"/>
  <c r="D201" i="10"/>
  <c r="D202" i="10"/>
  <c r="D203" i="10"/>
  <c r="D204" i="10"/>
  <c r="D205" i="10"/>
  <c r="D206" i="10"/>
  <c r="D207" i="10"/>
  <c r="D208" i="10"/>
  <c r="D209" i="10"/>
  <c r="D210" i="10"/>
  <c r="D211" i="10"/>
  <c r="D212" i="10"/>
  <c r="D213" i="10"/>
  <c r="D214" i="10"/>
  <c r="D215" i="10"/>
  <c r="D216" i="10"/>
  <c r="D217" i="10"/>
  <c r="D218" i="10"/>
  <c r="D219" i="10"/>
  <c r="D220" i="10"/>
  <c r="D221" i="10"/>
  <c r="D222" i="10"/>
  <c r="D223" i="10"/>
  <c r="D224" i="10"/>
  <c r="D225" i="10"/>
  <c r="D226" i="10"/>
  <c r="D227" i="10"/>
  <c r="D228" i="10"/>
  <c r="D229" i="10"/>
  <c r="D230" i="10"/>
  <c r="D231" i="10"/>
  <c r="D232" i="10"/>
  <c r="D233" i="10"/>
  <c r="D234" i="10"/>
  <c r="D235" i="10"/>
  <c r="D236" i="10"/>
  <c r="D237" i="10"/>
  <c r="D238" i="10"/>
  <c r="D239" i="10"/>
  <c r="D240" i="10"/>
  <c r="D241" i="10"/>
  <c r="D242" i="10"/>
  <c r="D243" i="10"/>
  <c r="D244" i="10"/>
  <c r="D245" i="10"/>
  <c r="D246" i="10"/>
  <c r="D247" i="10"/>
  <c r="D248" i="10"/>
  <c r="D249" i="10"/>
  <c r="D250" i="10"/>
  <c r="D251" i="10"/>
  <c r="D252" i="10"/>
  <c r="D253" i="10"/>
  <c r="D254" i="10"/>
  <c r="D255" i="10"/>
  <c r="D256" i="10"/>
  <c r="D257" i="10"/>
  <c r="D258" i="10"/>
  <c r="D259" i="10"/>
  <c r="D260" i="10"/>
  <c r="D261" i="10"/>
  <c r="D262" i="10"/>
  <c r="D263" i="10"/>
  <c r="D264" i="10"/>
  <c r="D265" i="10"/>
  <c r="D266" i="10"/>
  <c r="D267" i="10"/>
  <c r="D268" i="10"/>
  <c r="D269" i="10"/>
  <c r="D270" i="10"/>
  <c r="D271" i="10"/>
  <c r="D272" i="10"/>
  <c r="D273" i="10"/>
  <c r="D274" i="10"/>
  <c r="D275" i="10"/>
  <c r="D276" i="10"/>
  <c r="D277" i="10"/>
  <c r="D278" i="10"/>
  <c r="D279" i="10"/>
  <c r="D280" i="10"/>
  <c r="D281" i="10"/>
  <c r="D282" i="10"/>
  <c r="D283" i="10"/>
  <c r="D284" i="10"/>
  <c r="D285" i="10"/>
  <c r="D286" i="10"/>
  <c r="D287" i="10"/>
  <c r="D288" i="10"/>
  <c r="D289" i="10"/>
  <c r="D290" i="10"/>
  <c r="D291" i="10"/>
  <c r="D292" i="10"/>
  <c r="D293" i="10"/>
  <c r="D294" i="10"/>
  <c r="D295" i="10"/>
  <c r="D296" i="10"/>
  <c r="D297" i="10"/>
  <c r="D298" i="10"/>
  <c r="D299" i="10"/>
  <c r="D300" i="10"/>
  <c r="D301" i="10"/>
  <c r="D302" i="10"/>
  <c r="D303" i="10"/>
  <c r="D304" i="10"/>
  <c r="D305" i="10"/>
  <c r="D306" i="10"/>
  <c r="D307" i="10"/>
  <c r="D308" i="10"/>
  <c r="D309" i="10"/>
  <c r="D310" i="10"/>
  <c r="D311" i="10"/>
  <c r="D312" i="10"/>
  <c r="D313" i="10"/>
  <c r="D314" i="10"/>
  <c r="D315" i="10"/>
  <c r="D316" i="10"/>
  <c r="D317" i="10"/>
  <c r="D318" i="10"/>
  <c r="D319" i="10"/>
  <c r="D320" i="10"/>
  <c r="D321" i="10"/>
  <c r="D322" i="10"/>
  <c r="D323" i="10"/>
  <c r="D324" i="10"/>
  <c r="D325" i="10"/>
  <c r="D326" i="10"/>
  <c r="D327" i="10"/>
  <c r="D328" i="10"/>
  <c r="D329" i="10"/>
  <c r="D330" i="10"/>
  <c r="D331" i="10"/>
  <c r="D332" i="10"/>
  <c r="D333" i="10"/>
  <c r="D334" i="10"/>
  <c r="D335" i="10"/>
  <c r="D336" i="10"/>
  <c r="D337" i="10"/>
  <c r="D338" i="10"/>
  <c r="D339" i="10"/>
  <c r="D340" i="10"/>
  <c r="D341" i="10"/>
  <c r="D342" i="10"/>
  <c r="D343" i="10"/>
  <c r="D344" i="10"/>
  <c r="D345" i="10"/>
  <c r="D346" i="10"/>
  <c r="D347" i="10"/>
  <c r="D348" i="10"/>
  <c r="D349" i="10"/>
  <c r="D350" i="10"/>
  <c r="D351" i="10"/>
  <c r="D352" i="10"/>
  <c r="D353" i="10"/>
  <c r="D354" i="10"/>
  <c r="D355" i="10"/>
  <c r="D356" i="10"/>
  <c r="D357" i="10"/>
  <c r="D358" i="10"/>
  <c r="D359" i="10"/>
  <c r="D360" i="10"/>
  <c r="D361" i="10"/>
  <c r="D362" i="10"/>
  <c r="D363" i="10"/>
  <c r="D364" i="10"/>
  <c r="D365" i="10"/>
  <c r="D366" i="10"/>
  <c r="D367" i="10"/>
  <c r="D368" i="10"/>
  <c r="D369" i="10"/>
  <c r="D370" i="10"/>
  <c r="D371" i="10"/>
  <c r="D372" i="10"/>
  <c r="D373" i="10"/>
  <c r="D374" i="10"/>
  <c r="D375" i="10"/>
  <c r="D376" i="10"/>
  <c r="D377" i="10"/>
  <c r="D378" i="10"/>
  <c r="D379" i="10"/>
  <c r="D380" i="10"/>
  <c r="D381" i="10"/>
  <c r="D382" i="10"/>
  <c r="D383" i="10"/>
  <c r="D384" i="10"/>
  <c r="D385" i="10"/>
  <c r="D386" i="10"/>
  <c r="D387" i="10"/>
  <c r="D388" i="10"/>
  <c r="D389" i="10"/>
  <c r="D390" i="10"/>
  <c r="D391" i="10"/>
  <c r="D392" i="10"/>
  <c r="D393" i="10"/>
  <c r="D394" i="10"/>
  <c r="D395" i="10"/>
  <c r="D396" i="10"/>
  <c r="D397" i="10"/>
  <c r="D398" i="10"/>
  <c r="D399" i="10"/>
  <c r="D400" i="10"/>
  <c r="D401" i="10"/>
  <c r="D402" i="10"/>
  <c r="D403" i="10"/>
  <c r="D404" i="10"/>
  <c r="D405" i="10"/>
  <c r="D406" i="10"/>
  <c r="D407" i="10"/>
  <c r="D408" i="10"/>
  <c r="D409" i="10"/>
  <c r="D410" i="10"/>
  <c r="D411" i="10"/>
  <c r="D412" i="10"/>
  <c r="D413" i="10"/>
  <c r="D414" i="10"/>
  <c r="D415" i="10"/>
  <c r="D416" i="10"/>
  <c r="D417" i="10"/>
  <c r="D418" i="10"/>
  <c r="D419" i="10"/>
  <c r="D420" i="10"/>
  <c r="D421" i="10"/>
  <c r="D422" i="10"/>
  <c r="D423" i="10"/>
  <c r="D424" i="10"/>
  <c r="D425" i="10"/>
  <c r="D426" i="10"/>
  <c r="D427" i="10"/>
  <c r="D428" i="10"/>
  <c r="D429" i="10"/>
  <c r="D430" i="10"/>
  <c r="D431" i="10"/>
  <c r="D432" i="10"/>
  <c r="D433" i="10"/>
  <c r="D434" i="10"/>
  <c r="D435" i="10"/>
  <c r="D436" i="10"/>
  <c r="D437" i="10"/>
  <c r="D438" i="10"/>
  <c r="D439" i="10"/>
  <c r="D440" i="10"/>
  <c r="D441" i="10"/>
  <c r="D442" i="10"/>
  <c r="D443" i="10"/>
  <c r="D444" i="10"/>
  <c r="D445" i="10"/>
  <c r="D446" i="10"/>
  <c r="D447" i="10"/>
  <c r="D448" i="10"/>
  <c r="D449" i="10"/>
  <c r="D450" i="10"/>
  <c r="D451" i="10"/>
  <c r="D452" i="10"/>
  <c r="D453" i="10"/>
  <c r="D454" i="10"/>
  <c r="D455" i="10"/>
  <c r="D456" i="10"/>
  <c r="D457" i="10"/>
  <c r="D458" i="10"/>
  <c r="D459" i="10"/>
  <c r="D460" i="10"/>
  <c r="D461" i="10"/>
  <c r="D462" i="10"/>
  <c r="D463" i="10"/>
  <c r="D464" i="10"/>
  <c r="D465" i="10"/>
  <c r="D466" i="10"/>
  <c r="D467" i="10"/>
  <c r="D468" i="10"/>
  <c r="D469" i="10"/>
  <c r="D470" i="10"/>
  <c r="D471" i="10"/>
  <c r="D472" i="10"/>
  <c r="D473" i="10"/>
  <c r="D474" i="10"/>
  <c r="D475" i="10"/>
  <c r="D476" i="10"/>
  <c r="D477" i="10"/>
  <c r="D478" i="10"/>
  <c r="D479" i="10"/>
  <c r="D480" i="10"/>
  <c r="D481" i="10"/>
  <c r="D482" i="10"/>
  <c r="D483" i="10"/>
  <c r="D484" i="10"/>
  <c r="D485" i="10"/>
  <c r="D486" i="10"/>
  <c r="D487" i="10"/>
  <c r="D488" i="10"/>
  <c r="D489" i="10"/>
  <c r="D490" i="10"/>
  <c r="D491" i="10"/>
  <c r="D492" i="10"/>
  <c r="D493" i="10"/>
  <c r="D494" i="10"/>
  <c r="D495" i="10"/>
  <c r="D496" i="10"/>
  <c r="D497" i="10"/>
  <c r="D498" i="10"/>
  <c r="D499" i="10"/>
  <c r="D500" i="10"/>
  <c r="D501" i="10"/>
  <c r="D502" i="10"/>
  <c r="D503" i="10"/>
  <c r="D504" i="10"/>
  <c r="D505" i="10"/>
  <c r="D506" i="10"/>
  <c r="D507" i="10"/>
  <c r="D508" i="10"/>
  <c r="D509" i="10"/>
  <c r="D510" i="10"/>
  <c r="D511" i="10"/>
  <c r="D512" i="10"/>
  <c r="D513" i="10"/>
  <c r="D514" i="10"/>
  <c r="D515" i="10"/>
  <c r="D516" i="10"/>
  <c r="D517" i="10"/>
  <c r="D518" i="10"/>
  <c r="D519" i="10"/>
  <c r="D520" i="10"/>
  <c r="D521" i="10"/>
  <c r="D522" i="10"/>
  <c r="D523" i="10"/>
  <c r="D524" i="10"/>
  <c r="D525" i="10"/>
  <c r="D526" i="10"/>
  <c r="D527" i="10"/>
  <c r="D528" i="10"/>
  <c r="D529" i="10"/>
  <c r="D530" i="10"/>
  <c r="D531" i="10"/>
  <c r="D532" i="10"/>
  <c r="D533" i="10"/>
  <c r="D534" i="10"/>
  <c r="D535" i="10"/>
  <c r="D536" i="10"/>
  <c r="D537" i="10"/>
  <c r="D538" i="10"/>
  <c r="D539" i="10"/>
  <c r="D540" i="10"/>
  <c r="D541" i="10"/>
  <c r="D542" i="10"/>
  <c r="D543" i="10"/>
  <c r="D544" i="10"/>
  <c r="D545" i="10"/>
  <c r="D546" i="10"/>
  <c r="D547" i="10"/>
  <c r="D548" i="10"/>
  <c r="D549" i="10"/>
  <c r="D550" i="10"/>
  <c r="D551" i="10"/>
  <c r="D552" i="10"/>
  <c r="D553" i="10"/>
  <c r="D554" i="10"/>
  <c r="D555" i="10"/>
  <c r="D556" i="10"/>
  <c r="D557" i="10"/>
  <c r="D558" i="10"/>
  <c r="D559" i="10"/>
  <c r="D560" i="10"/>
  <c r="D561" i="10"/>
  <c r="D562" i="10"/>
  <c r="D563" i="10"/>
  <c r="D564" i="10"/>
  <c r="D565" i="10"/>
  <c r="D566" i="10"/>
  <c r="D567" i="10"/>
  <c r="D568" i="10"/>
  <c r="D569" i="10"/>
  <c r="D570" i="10"/>
  <c r="D571" i="10"/>
  <c r="D572" i="10"/>
  <c r="D573" i="10"/>
  <c r="D574" i="10"/>
  <c r="D575" i="10"/>
  <c r="D576" i="10"/>
  <c r="D577" i="10"/>
  <c r="D578" i="10"/>
  <c r="D579" i="10"/>
  <c r="D580" i="10"/>
  <c r="D581" i="10"/>
  <c r="D582" i="10"/>
  <c r="D583" i="10"/>
  <c r="D584" i="10"/>
  <c r="D585" i="10"/>
  <c r="D586" i="10"/>
  <c r="D587" i="10"/>
  <c r="D588" i="10"/>
  <c r="D589" i="10"/>
  <c r="D590" i="10"/>
  <c r="D591" i="10"/>
  <c r="D592" i="10"/>
  <c r="D593" i="10"/>
  <c r="D594" i="10"/>
  <c r="D595" i="10"/>
  <c r="D596" i="10"/>
  <c r="D597" i="10"/>
  <c r="D598" i="10"/>
  <c r="D599" i="10"/>
  <c r="D600" i="10"/>
  <c r="D601" i="10"/>
  <c r="D602" i="10"/>
  <c r="D603" i="10"/>
  <c r="D604" i="10"/>
  <c r="D605" i="10"/>
  <c r="D606" i="10"/>
  <c r="D607" i="10"/>
  <c r="D608" i="10"/>
  <c r="D609" i="10"/>
  <c r="D610" i="10"/>
  <c r="D611" i="10"/>
  <c r="D612" i="10"/>
  <c r="D613" i="10"/>
  <c r="D614" i="10"/>
  <c r="D615" i="10"/>
  <c r="D616" i="10"/>
  <c r="D617" i="10"/>
  <c r="D618" i="10"/>
  <c r="D619" i="10"/>
  <c r="D620" i="10"/>
  <c r="D621" i="10"/>
  <c r="D622" i="10"/>
  <c r="D623" i="10"/>
  <c r="D624" i="10"/>
  <c r="D625" i="10"/>
  <c r="D626" i="10"/>
  <c r="D627" i="10"/>
  <c r="D628" i="10"/>
  <c r="D629" i="10"/>
  <c r="D630" i="10"/>
  <c r="D631" i="10"/>
  <c r="D632" i="10"/>
  <c r="D633" i="10"/>
  <c r="D634" i="10"/>
  <c r="D635" i="10"/>
  <c r="D636" i="10"/>
  <c r="D637" i="10"/>
  <c r="D638" i="10"/>
  <c r="D639" i="10"/>
  <c r="D640" i="10"/>
  <c r="D641" i="10"/>
  <c r="D5" i="10"/>
  <c r="J3" i="3"/>
  <c r="J4" i="3"/>
  <c r="J5" i="3"/>
  <c r="J6" i="3"/>
  <c r="J7" i="3"/>
  <c r="J8" i="3"/>
  <c r="J9" i="3"/>
  <c r="J10" i="3"/>
  <c r="J11" i="3"/>
  <c r="J12" i="3"/>
  <c r="J13" i="3"/>
  <c r="J14" i="3"/>
  <c r="J15" i="3"/>
  <c r="J16" i="3"/>
  <c r="J17" i="3"/>
  <c r="J18" i="3"/>
  <c r="J19" i="3"/>
  <c r="J20" i="3"/>
  <c r="J21" i="3"/>
  <c r="J22" i="3"/>
  <c r="J23" i="3"/>
  <c r="J24" i="3"/>
  <c r="J25" i="3"/>
  <c r="J26" i="3"/>
  <c r="J27" i="3"/>
  <c r="J28" i="3"/>
  <c r="J29" i="3"/>
  <c r="J30" i="3"/>
  <c r="J31" i="3"/>
  <c r="J32" i="3"/>
  <c r="J33" i="3"/>
  <c r="J34" i="3"/>
  <c r="J35" i="3"/>
  <c r="J36" i="3"/>
  <c r="J37" i="3"/>
  <c r="J38" i="3"/>
  <c r="J39" i="3"/>
  <c r="J40" i="3"/>
  <c r="J41" i="3"/>
  <c r="J42" i="3"/>
  <c r="J43" i="3"/>
  <c r="J44" i="3"/>
  <c r="J45" i="3"/>
  <c r="J46" i="3"/>
  <c r="J47" i="3"/>
  <c r="J48" i="3"/>
  <c r="J49" i="3"/>
  <c r="J50" i="3"/>
  <c r="J51" i="3"/>
  <c r="J52" i="3"/>
  <c r="J53" i="3"/>
  <c r="J54" i="3"/>
  <c r="J55" i="3"/>
  <c r="J56" i="3"/>
  <c r="J57" i="3"/>
  <c r="J58" i="3"/>
  <c r="J59" i="3"/>
  <c r="J60" i="3"/>
  <c r="J61" i="3"/>
  <c r="J62" i="3"/>
  <c r="J63" i="3"/>
  <c r="J64" i="3"/>
  <c r="J65" i="3"/>
  <c r="J66" i="3"/>
  <c r="J67" i="3"/>
  <c r="J68" i="3"/>
  <c r="J69" i="3"/>
  <c r="J70" i="3"/>
  <c r="J71" i="3"/>
  <c r="J72" i="3"/>
  <c r="J73" i="3"/>
  <c r="J74" i="3"/>
  <c r="J75" i="3"/>
  <c r="J76" i="3"/>
  <c r="J77" i="3"/>
  <c r="J78" i="3"/>
  <c r="J79" i="3"/>
  <c r="J80" i="3"/>
  <c r="J81" i="3"/>
  <c r="J82" i="3"/>
  <c r="J83" i="3"/>
  <c r="J84" i="3"/>
  <c r="J85" i="3"/>
  <c r="J86" i="3"/>
  <c r="J87" i="3"/>
  <c r="J88" i="3"/>
  <c r="J89" i="3"/>
  <c r="J90" i="3"/>
  <c r="J91" i="3"/>
  <c r="J92" i="3"/>
  <c r="J93" i="3"/>
  <c r="J94" i="3"/>
  <c r="J95" i="3"/>
  <c r="J96" i="3"/>
  <c r="J97" i="3"/>
  <c r="J98" i="3"/>
  <c r="J99" i="3"/>
  <c r="J100" i="3"/>
  <c r="J101" i="3"/>
  <c r="J102" i="3"/>
  <c r="J103" i="3"/>
  <c r="J104" i="3"/>
  <c r="J105" i="3"/>
  <c r="J106" i="3"/>
  <c r="J107" i="3"/>
  <c r="J108" i="3"/>
  <c r="J109" i="3"/>
  <c r="J110" i="3"/>
  <c r="J111" i="3"/>
  <c r="J112" i="3"/>
  <c r="J113" i="3"/>
  <c r="J114" i="3"/>
  <c r="J115" i="3"/>
  <c r="J116" i="3"/>
  <c r="J117" i="3"/>
  <c r="J118" i="3"/>
  <c r="J119" i="3"/>
  <c r="J120" i="3"/>
  <c r="J121" i="3"/>
  <c r="J122" i="3"/>
  <c r="J123" i="3"/>
  <c r="J124" i="3"/>
  <c r="J125" i="3"/>
  <c r="J126" i="3"/>
  <c r="J127" i="3"/>
  <c r="J128" i="3"/>
  <c r="J129" i="3"/>
  <c r="J130" i="3"/>
  <c r="J131" i="3"/>
  <c r="J132" i="3"/>
  <c r="J133" i="3"/>
  <c r="J134" i="3"/>
  <c r="J135" i="3"/>
  <c r="J136" i="3"/>
  <c r="J137" i="3"/>
  <c r="J138" i="3"/>
  <c r="J139" i="3"/>
  <c r="J140" i="3"/>
  <c r="J141" i="3"/>
  <c r="J142" i="3"/>
  <c r="J143" i="3"/>
  <c r="J144" i="3"/>
  <c r="J145" i="3"/>
  <c r="J146" i="3"/>
  <c r="J147" i="3"/>
  <c r="J148" i="3"/>
  <c r="J149" i="3"/>
  <c r="J150" i="3"/>
  <c r="J151" i="3"/>
  <c r="J152" i="3"/>
  <c r="J153" i="3"/>
  <c r="J154" i="3"/>
  <c r="J155" i="3"/>
  <c r="J156" i="3"/>
  <c r="J157" i="3"/>
  <c r="J158" i="3"/>
  <c r="J159" i="3"/>
  <c r="J160" i="3"/>
  <c r="J161" i="3"/>
  <c r="J162" i="3"/>
  <c r="J163" i="3"/>
  <c r="J164" i="3"/>
  <c r="J165" i="3"/>
  <c r="J166" i="3"/>
  <c r="J167" i="3"/>
  <c r="J168" i="3"/>
  <c r="J169" i="3"/>
  <c r="J170" i="3"/>
  <c r="J171" i="3"/>
  <c r="J172" i="3"/>
  <c r="J173" i="3"/>
  <c r="J174" i="3"/>
  <c r="J175" i="3"/>
  <c r="J176" i="3"/>
  <c r="J177" i="3"/>
  <c r="J178" i="3"/>
  <c r="J179" i="3"/>
  <c r="J180" i="3"/>
  <c r="J181" i="3"/>
  <c r="J182" i="3"/>
  <c r="J183" i="3"/>
  <c r="J184" i="3"/>
  <c r="J185" i="3"/>
  <c r="J186" i="3"/>
  <c r="J187" i="3"/>
  <c r="J188" i="3"/>
  <c r="J189" i="3"/>
  <c r="J190" i="3"/>
  <c r="J191" i="3"/>
  <c r="J192" i="3"/>
  <c r="J193" i="3"/>
  <c r="J194" i="3"/>
  <c r="J195" i="3"/>
  <c r="J196" i="3"/>
  <c r="J197" i="3"/>
  <c r="J198" i="3"/>
  <c r="J199" i="3"/>
  <c r="J200" i="3"/>
  <c r="J201" i="3"/>
  <c r="J202" i="3"/>
  <c r="J203" i="3"/>
  <c r="J204" i="3"/>
  <c r="J205" i="3"/>
  <c r="J206" i="3"/>
  <c r="J207" i="3"/>
  <c r="J208" i="3"/>
  <c r="J209" i="3"/>
  <c r="J210" i="3"/>
  <c r="J211" i="3"/>
  <c r="J212" i="3"/>
  <c r="J213" i="3"/>
  <c r="J214" i="3"/>
  <c r="J215" i="3"/>
  <c r="J216" i="3"/>
  <c r="J217" i="3"/>
  <c r="J218" i="3"/>
  <c r="J219" i="3"/>
  <c r="J220" i="3"/>
  <c r="J221" i="3"/>
  <c r="J222" i="3"/>
  <c r="J223" i="3"/>
  <c r="J224" i="3"/>
  <c r="J225" i="3"/>
  <c r="J226" i="3"/>
  <c r="J227" i="3"/>
  <c r="J228" i="3"/>
  <c r="J229" i="3"/>
  <c r="J230" i="3"/>
  <c r="J231" i="3"/>
  <c r="J232" i="3"/>
  <c r="J233" i="3"/>
  <c r="J234" i="3"/>
  <c r="J235" i="3"/>
  <c r="J236" i="3"/>
  <c r="J237" i="3"/>
  <c r="J238" i="3"/>
  <c r="J239" i="3"/>
  <c r="J240" i="3"/>
  <c r="J241" i="3"/>
  <c r="J242" i="3"/>
  <c r="J243" i="3"/>
  <c r="J244" i="3"/>
  <c r="J245" i="3"/>
  <c r="J246" i="3"/>
  <c r="J247" i="3"/>
  <c r="J248" i="3"/>
  <c r="J249" i="3"/>
  <c r="J250" i="3"/>
  <c r="J251" i="3"/>
  <c r="J252" i="3"/>
  <c r="J253" i="3"/>
  <c r="J254" i="3"/>
  <c r="J255" i="3"/>
  <c r="J256" i="3"/>
  <c r="J257" i="3"/>
  <c r="J258" i="3"/>
  <c r="J259" i="3"/>
  <c r="J260" i="3"/>
  <c r="J261" i="3"/>
  <c r="J262" i="3"/>
  <c r="J263" i="3"/>
  <c r="J264" i="3"/>
  <c r="J265" i="3"/>
  <c r="J266" i="3"/>
  <c r="J267" i="3"/>
  <c r="J268" i="3"/>
  <c r="J269" i="3"/>
  <c r="J270" i="3"/>
  <c r="J271" i="3"/>
  <c r="J272" i="3"/>
  <c r="J273" i="3"/>
  <c r="J274" i="3"/>
  <c r="J275" i="3"/>
  <c r="J276" i="3"/>
  <c r="J277" i="3"/>
  <c r="J278" i="3"/>
  <c r="J279" i="3"/>
  <c r="J280" i="3"/>
  <c r="J281" i="3"/>
  <c r="J282" i="3"/>
  <c r="J283" i="3"/>
  <c r="J284" i="3"/>
  <c r="J285" i="3"/>
  <c r="J286" i="3"/>
  <c r="J287" i="3"/>
  <c r="J288" i="3"/>
  <c r="J289" i="3"/>
  <c r="J290" i="3"/>
  <c r="J291" i="3"/>
  <c r="J292" i="3"/>
  <c r="J293" i="3"/>
  <c r="J294" i="3"/>
  <c r="J295" i="3"/>
  <c r="J296" i="3"/>
  <c r="J297" i="3"/>
  <c r="J298" i="3"/>
  <c r="J299" i="3"/>
  <c r="J300" i="3"/>
  <c r="J301" i="3"/>
  <c r="J302" i="3"/>
  <c r="J303" i="3"/>
  <c r="J304" i="3"/>
  <c r="J305" i="3"/>
  <c r="J306" i="3"/>
  <c r="J307" i="3"/>
  <c r="J308" i="3"/>
  <c r="J309" i="3"/>
  <c r="J310" i="3"/>
  <c r="J311" i="3"/>
  <c r="J312" i="3"/>
  <c r="J313" i="3"/>
  <c r="J314" i="3"/>
  <c r="J315" i="3"/>
  <c r="J316" i="3"/>
  <c r="J317" i="3"/>
  <c r="J318" i="3"/>
  <c r="J319" i="3"/>
  <c r="J320" i="3"/>
  <c r="J321" i="3"/>
  <c r="J322" i="3"/>
  <c r="J323" i="3"/>
  <c r="J324" i="3"/>
  <c r="J325" i="3"/>
  <c r="J326" i="3"/>
  <c r="J327" i="3"/>
  <c r="J328" i="3"/>
  <c r="J329" i="3"/>
  <c r="J330" i="3"/>
  <c r="J331" i="3"/>
  <c r="J332" i="3"/>
  <c r="J333" i="3"/>
  <c r="J334" i="3"/>
  <c r="J335" i="3"/>
  <c r="J336" i="3"/>
  <c r="J337" i="3"/>
  <c r="J338" i="3"/>
  <c r="J339" i="3"/>
  <c r="J340" i="3"/>
  <c r="J341" i="3"/>
  <c r="J342" i="3"/>
  <c r="J343" i="3"/>
  <c r="J344" i="3"/>
  <c r="J345" i="3"/>
  <c r="J346" i="3"/>
  <c r="J347" i="3"/>
  <c r="J348" i="3"/>
  <c r="J349" i="3"/>
  <c r="J350" i="3"/>
  <c r="J351" i="3"/>
  <c r="J352" i="3"/>
  <c r="J353" i="3"/>
  <c r="J354" i="3"/>
  <c r="J355" i="3"/>
  <c r="J356" i="3"/>
  <c r="J357" i="3"/>
  <c r="J358" i="3"/>
  <c r="J359" i="3"/>
  <c r="J360" i="3"/>
  <c r="J361" i="3"/>
  <c r="J362" i="3"/>
  <c r="J363" i="3"/>
  <c r="J364" i="3"/>
  <c r="J365" i="3"/>
  <c r="J366" i="3"/>
  <c r="J367" i="3"/>
  <c r="J368" i="3"/>
  <c r="J369" i="3"/>
  <c r="J370" i="3"/>
  <c r="J371" i="3"/>
  <c r="J372" i="3"/>
  <c r="J373" i="3"/>
  <c r="J374" i="3"/>
  <c r="J375" i="3"/>
  <c r="J376" i="3"/>
  <c r="J377" i="3"/>
  <c r="J378" i="3"/>
  <c r="J379" i="3"/>
  <c r="J380" i="3"/>
  <c r="J381" i="3"/>
  <c r="J382" i="3"/>
  <c r="J383" i="3"/>
  <c r="J384" i="3"/>
  <c r="J385" i="3"/>
  <c r="J386" i="3"/>
  <c r="J387" i="3"/>
  <c r="J388" i="3"/>
  <c r="J389" i="3"/>
  <c r="J390" i="3"/>
  <c r="J391" i="3"/>
  <c r="J392" i="3"/>
  <c r="J393" i="3"/>
  <c r="J394" i="3"/>
  <c r="J395" i="3"/>
  <c r="J396" i="3"/>
  <c r="J397" i="3"/>
  <c r="J398" i="3"/>
  <c r="J399" i="3"/>
  <c r="J400" i="3"/>
  <c r="J401" i="3"/>
  <c r="J402" i="3"/>
  <c r="J403" i="3"/>
  <c r="J404" i="3"/>
  <c r="J405" i="3"/>
  <c r="J406" i="3"/>
  <c r="J407" i="3"/>
  <c r="J408" i="3"/>
  <c r="J409" i="3"/>
  <c r="J410" i="3"/>
  <c r="J411" i="3"/>
  <c r="J412" i="3"/>
  <c r="J413" i="3"/>
  <c r="J414" i="3"/>
  <c r="J415" i="3"/>
  <c r="J416" i="3"/>
  <c r="J417" i="3"/>
  <c r="J418" i="3"/>
  <c r="J419" i="3"/>
  <c r="J420" i="3"/>
  <c r="J421" i="3"/>
  <c r="J422" i="3"/>
  <c r="J423" i="3"/>
  <c r="J424" i="3"/>
  <c r="J425" i="3"/>
  <c r="J426" i="3"/>
  <c r="J427" i="3"/>
  <c r="J428" i="3"/>
  <c r="J429" i="3"/>
  <c r="J430" i="3"/>
  <c r="J431" i="3"/>
  <c r="J432" i="3"/>
  <c r="J433" i="3"/>
  <c r="J434" i="3"/>
  <c r="J435" i="3"/>
  <c r="J436" i="3"/>
  <c r="J437" i="3"/>
  <c r="J438" i="3"/>
  <c r="J439" i="3"/>
  <c r="J440" i="3"/>
  <c r="J441" i="3"/>
  <c r="J442" i="3"/>
  <c r="J443" i="3"/>
  <c r="J444" i="3"/>
  <c r="J445" i="3"/>
  <c r="J446" i="3"/>
  <c r="J447" i="3"/>
  <c r="J448" i="3"/>
  <c r="J449" i="3"/>
  <c r="J450" i="3"/>
  <c r="J451" i="3"/>
  <c r="J452" i="3"/>
  <c r="J453" i="3"/>
  <c r="J454" i="3"/>
  <c r="J455" i="3"/>
  <c r="J456" i="3"/>
  <c r="J457" i="3"/>
  <c r="J458" i="3"/>
  <c r="J459" i="3"/>
  <c r="J460" i="3"/>
  <c r="J461" i="3"/>
  <c r="J462" i="3"/>
  <c r="J463" i="3"/>
  <c r="J464" i="3"/>
  <c r="J465" i="3"/>
  <c r="J466" i="3"/>
  <c r="J467" i="3"/>
  <c r="J468" i="3"/>
  <c r="J469" i="3"/>
  <c r="J470" i="3"/>
  <c r="J471" i="3"/>
  <c r="J472" i="3"/>
  <c r="J473" i="3"/>
  <c r="J474" i="3"/>
  <c r="J475" i="3"/>
  <c r="J476" i="3"/>
  <c r="J477" i="3"/>
  <c r="J478" i="3"/>
  <c r="J479" i="3"/>
  <c r="J480" i="3"/>
  <c r="J481" i="3"/>
  <c r="J482" i="3"/>
  <c r="J483" i="3"/>
  <c r="J484" i="3"/>
  <c r="J485" i="3"/>
  <c r="J486" i="3"/>
  <c r="J487" i="3"/>
  <c r="J488" i="3"/>
  <c r="J489" i="3"/>
  <c r="J490" i="3"/>
  <c r="J491" i="3"/>
  <c r="J492" i="3"/>
  <c r="J493" i="3"/>
  <c r="J494" i="3"/>
  <c r="J495" i="3"/>
  <c r="J496" i="3"/>
  <c r="J497" i="3"/>
  <c r="J498" i="3"/>
  <c r="J499" i="3"/>
  <c r="J500" i="3"/>
  <c r="J501" i="3"/>
  <c r="J502" i="3"/>
  <c r="J503" i="3"/>
  <c r="J504" i="3"/>
  <c r="J505" i="3"/>
  <c r="J506" i="3"/>
  <c r="J507" i="3"/>
  <c r="J508" i="3"/>
  <c r="J509" i="3"/>
  <c r="J510" i="3"/>
  <c r="J511" i="3"/>
  <c r="J512" i="3"/>
  <c r="J513" i="3"/>
  <c r="J514" i="3"/>
  <c r="J515" i="3"/>
  <c r="J516" i="3"/>
  <c r="J517" i="3"/>
  <c r="J518" i="3"/>
  <c r="J519" i="3"/>
  <c r="J520" i="3"/>
  <c r="J521" i="3"/>
  <c r="J522" i="3"/>
  <c r="J523" i="3"/>
  <c r="J524" i="3"/>
  <c r="J525" i="3"/>
  <c r="J526" i="3"/>
  <c r="J527" i="3"/>
  <c r="J528" i="3"/>
  <c r="J529" i="3"/>
  <c r="J530" i="3"/>
  <c r="J531" i="3"/>
  <c r="J532" i="3"/>
  <c r="J533" i="3"/>
  <c r="J534" i="3"/>
  <c r="J535" i="3"/>
  <c r="J536" i="3"/>
  <c r="J537" i="3"/>
  <c r="J538" i="3"/>
  <c r="J539" i="3"/>
  <c r="J540" i="3"/>
  <c r="J541" i="3"/>
  <c r="J542" i="3"/>
  <c r="J543" i="3"/>
  <c r="J544" i="3"/>
  <c r="J545" i="3"/>
  <c r="J546" i="3"/>
  <c r="J547" i="3"/>
  <c r="J548" i="3"/>
  <c r="J549" i="3"/>
  <c r="J550" i="3"/>
  <c r="J551" i="3"/>
  <c r="J552" i="3"/>
  <c r="J553" i="3"/>
  <c r="J554" i="3"/>
  <c r="J555" i="3"/>
  <c r="J556" i="3"/>
  <c r="J557" i="3"/>
  <c r="J558" i="3"/>
  <c r="J559" i="3"/>
  <c r="J560" i="3"/>
  <c r="J561" i="3"/>
  <c r="J562" i="3"/>
  <c r="J563" i="3"/>
  <c r="J564" i="3"/>
  <c r="J565" i="3"/>
  <c r="J566" i="3"/>
  <c r="J567" i="3"/>
  <c r="J568" i="3"/>
  <c r="J569" i="3"/>
  <c r="J570" i="3"/>
  <c r="J571" i="3"/>
  <c r="J572" i="3"/>
  <c r="J573" i="3"/>
  <c r="J574" i="3"/>
  <c r="J575" i="3"/>
  <c r="J576" i="3"/>
  <c r="J577" i="3"/>
  <c r="J578" i="3"/>
  <c r="J579" i="3"/>
  <c r="J580" i="3"/>
  <c r="J581" i="3"/>
  <c r="J582" i="3"/>
  <c r="J583" i="3"/>
  <c r="J584" i="3"/>
  <c r="J585" i="3"/>
  <c r="J586" i="3"/>
  <c r="J587" i="3"/>
  <c r="J588" i="3"/>
  <c r="J589" i="3"/>
  <c r="J590" i="3"/>
  <c r="J591" i="3"/>
  <c r="J592" i="3"/>
  <c r="J593" i="3"/>
  <c r="J594" i="3"/>
  <c r="J595" i="3"/>
  <c r="J596" i="3"/>
  <c r="J597" i="3"/>
  <c r="J598" i="3"/>
  <c r="J599" i="3"/>
  <c r="J600" i="3"/>
  <c r="J601" i="3"/>
  <c r="J602" i="3"/>
  <c r="J603" i="3"/>
  <c r="J604" i="3"/>
  <c r="J605" i="3"/>
  <c r="J606" i="3"/>
  <c r="J607" i="3"/>
  <c r="J608" i="3"/>
  <c r="J609" i="3"/>
  <c r="J610" i="3"/>
  <c r="J611" i="3"/>
  <c r="J612" i="3"/>
  <c r="J613" i="3"/>
  <c r="J614" i="3"/>
  <c r="J615" i="3"/>
  <c r="J616" i="3"/>
  <c r="J617" i="3"/>
  <c r="J618" i="3"/>
  <c r="J619" i="3"/>
  <c r="J620" i="3"/>
  <c r="J621" i="3"/>
  <c r="J622" i="3"/>
  <c r="J623" i="3"/>
  <c r="J624" i="3"/>
  <c r="J625" i="3"/>
  <c r="J626" i="3"/>
  <c r="J627" i="3"/>
  <c r="J628" i="3"/>
  <c r="J629" i="3"/>
  <c r="J630" i="3"/>
  <c r="J631" i="3"/>
  <c r="J632" i="3"/>
  <c r="J633" i="3"/>
  <c r="J2" i="3"/>
  <c r="D2" i="3"/>
  <c r="N3" i="3"/>
  <c r="N4" i="3"/>
  <c r="N5" i="3"/>
  <c r="N6" i="3"/>
  <c r="N7" i="3"/>
  <c r="N8" i="3"/>
  <c r="N9" i="3"/>
  <c r="N10" i="3"/>
  <c r="N11" i="3"/>
  <c r="N12" i="3"/>
  <c r="N13" i="3"/>
  <c r="N14" i="3"/>
  <c r="N15" i="3"/>
  <c r="N16" i="3"/>
  <c r="N17" i="3"/>
  <c r="N18" i="3"/>
  <c r="N19" i="3"/>
  <c r="N20" i="3"/>
  <c r="N21" i="3"/>
  <c r="N22" i="3"/>
  <c r="N23" i="3"/>
  <c r="N24" i="3"/>
  <c r="N25" i="3"/>
  <c r="N26" i="3"/>
  <c r="N27" i="3"/>
  <c r="N28" i="3"/>
  <c r="N29" i="3"/>
  <c r="N30" i="3"/>
  <c r="N31" i="3"/>
  <c r="N32" i="3"/>
  <c r="N33" i="3"/>
  <c r="N34" i="3"/>
  <c r="N35" i="3"/>
  <c r="N36" i="3"/>
  <c r="N37" i="3"/>
  <c r="N38" i="3"/>
  <c r="N39" i="3"/>
  <c r="N40" i="3"/>
  <c r="N41" i="3"/>
  <c r="N42" i="3"/>
  <c r="N43" i="3"/>
  <c r="N44" i="3"/>
  <c r="N45" i="3"/>
  <c r="N46" i="3"/>
  <c r="N47" i="3"/>
  <c r="N48" i="3"/>
  <c r="N49" i="3"/>
  <c r="N50" i="3"/>
  <c r="N51" i="3"/>
  <c r="N52" i="3"/>
  <c r="N53" i="3"/>
  <c r="N54" i="3"/>
  <c r="N55" i="3"/>
  <c r="N56" i="3"/>
  <c r="N57" i="3"/>
  <c r="N58" i="3"/>
  <c r="N59" i="3"/>
  <c r="N60" i="3"/>
  <c r="N61" i="3"/>
  <c r="N62" i="3"/>
  <c r="N63" i="3"/>
  <c r="N64" i="3"/>
  <c r="N65" i="3"/>
  <c r="N66" i="3"/>
  <c r="N67" i="3"/>
  <c r="N68" i="3"/>
  <c r="N69" i="3"/>
  <c r="N70" i="3"/>
  <c r="N71" i="3"/>
  <c r="N72" i="3"/>
  <c r="N73" i="3"/>
  <c r="N74" i="3"/>
  <c r="N75" i="3"/>
  <c r="N76" i="3"/>
  <c r="N77" i="3"/>
  <c r="N78" i="3"/>
  <c r="N79" i="3"/>
  <c r="N80" i="3"/>
  <c r="N81" i="3"/>
  <c r="N82" i="3"/>
  <c r="N83" i="3"/>
  <c r="N84" i="3"/>
  <c r="N85" i="3"/>
  <c r="N86" i="3"/>
  <c r="N87" i="3"/>
  <c r="N88" i="3"/>
  <c r="N89" i="3"/>
  <c r="N90" i="3"/>
  <c r="N91" i="3"/>
  <c r="N92" i="3"/>
  <c r="N93" i="3"/>
  <c r="N94" i="3"/>
  <c r="N95" i="3"/>
  <c r="N96" i="3"/>
  <c r="N97" i="3"/>
  <c r="N98" i="3"/>
  <c r="N99" i="3"/>
  <c r="N100" i="3"/>
  <c r="N101" i="3"/>
  <c r="N102" i="3"/>
  <c r="N103" i="3"/>
  <c r="N104" i="3"/>
  <c r="N105" i="3"/>
  <c r="N106" i="3"/>
  <c r="N107" i="3"/>
  <c r="N108" i="3"/>
  <c r="N109" i="3"/>
  <c r="N110" i="3"/>
  <c r="N111" i="3"/>
  <c r="N112" i="3"/>
  <c r="N113" i="3"/>
  <c r="N114" i="3"/>
  <c r="N115" i="3"/>
  <c r="N116" i="3"/>
  <c r="N117" i="3"/>
  <c r="N118" i="3"/>
  <c r="N119" i="3"/>
  <c r="N120" i="3"/>
  <c r="N121" i="3"/>
  <c r="N122" i="3"/>
  <c r="N123" i="3"/>
  <c r="N124" i="3"/>
  <c r="N125" i="3"/>
  <c r="N126" i="3"/>
  <c r="N127" i="3"/>
  <c r="N128" i="3"/>
  <c r="N129" i="3"/>
  <c r="N130" i="3"/>
  <c r="N131" i="3"/>
  <c r="N132" i="3"/>
  <c r="N133" i="3"/>
  <c r="N134" i="3"/>
  <c r="N135" i="3"/>
  <c r="N136" i="3"/>
  <c r="N137" i="3"/>
  <c r="N138" i="3"/>
  <c r="N139" i="3"/>
  <c r="N140" i="3"/>
  <c r="N141" i="3"/>
  <c r="N142" i="3"/>
  <c r="N143" i="3"/>
  <c r="N144" i="3"/>
  <c r="N145" i="3"/>
  <c r="N146" i="3"/>
  <c r="N147" i="3"/>
  <c r="N148" i="3"/>
  <c r="N149" i="3"/>
  <c r="N150" i="3"/>
  <c r="N151" i="3"/>
  <c r="N152" i="3"/>
  <c r="N153" i="3"/>
  <c r="N154" i="3"/>
  <c r="N155" i="3"/>
  <c r="N156" i="3"/>
  <c r="N157" i="3"/>
  <c r="N158" i="3"/>
  <c r="N159" i="3"/>
  <c r="N160" i="3"/>
  <c r="N161" i="3"/>
  <c r="N162" i="3"/>
  <c r="N163" i="3"/>
  <c r="N164" i="3"/>
  <c r="N165" i="3"/>
  <c r="N166" i="3"/>
  <c r="N167" i="3"/>
  <c r="N168" i="3"/>
  <c r="N169" i="3"/>
  <c r="N170" i="3"/>
  <c r="N171" i="3"/>
  <c r="N172" i="3"/>
  <c r="N173" i="3"/>
  <c r="N174" i="3"/>
  <c r="N175" i="3"/>
  <c r="N176" i="3"/>
  <c r="N177" i="3"/>
  <c r="N178" i="3"/>
  <c r="N179" i="3"/>
  <c r="N180" i="3"/>
  <c r="N181" i="3"/>
  <c r="N182" i="3"/>
  <c r="N183" i="3"/>
  <c r="N184" i="3"/>
  <c r="N185" i="3"/>
  <c r="N186" i="3"/>
  <c r="N187" i="3"/>
  <c r="N188" i="3"/>
  <c r="N189" i="3"/>
  <c r="N190" i="3"/>
  <c r="N191" i="3"/>
  <c r="N192" i="3"/>
  <c r="N193" i="3"/>
  <c r="N194" i="3"/>
  <c r="N195" i="3"/>
  <c r="N196" i="3"/>
  <c r="N197" i="3"/>
  <c r="N198" i="3"/>
  <c r="N199" i="3"/>
  <c r="N200" i="3"/>
  <c r="N201" i="3"/>
  <c r="N202" i="3"/>
  <c r="N203" i="3"/>
  <c r="N204" i="3"/>
  <c r="N205" i="3"/>
  <c r="N206" i="3"/>
  <c r="N207" i="3"/>
  <c r="N208" i="3"/>
  <c r="N209" i="3"/>
  <c r="N210" i="3"/>
  <c r="N211" i="3"/>
  <c r="N212" i="3"/>
  <c r="N213" i="3"/>
  <c r="N214" i="3"/>
  <c r="N215" i="3"/>
  <c r="N216" i="3"/>
  <c r="N217" i="3"/>
  <c r="N218" i="3"/>
  <c r="N219" i="3"/>
  <c r="N220" i="3"/>
  <c r="N221" i="3"/>
  <c r="N222" i="3"/>
  <c r="N223" i="3"/>
  <c r="N224" i="3"/>
  <c r="N225" i="3"/>
  <c r="N226" i="3"/>
  <c r="N227" i="3"/>
  <c r="N228" i="3"/>
  <c r="N229" i="3"/>
  <c r="N230" i="3"/>
  <c r="N231" i="3"/>
  <c r="N232" i="3"/>
  <c r="N233" i="3"/>
  <c r="N234" i="3"/>
  <c r="N235" i="3"/>
  <c r="N236" i="3"/>
  <c r="N237" i="3"/>
  <c r="N238" i="3"/>
  <c r="N239" i="3"/>
  <c r="N240" i="3"/>
  <c r="N241" i="3"/>
  <c r="N242" i="3"/>
  <c r="N243" i="3"/>
  <c r="N244" i="3"/>
  <c r="N245" i="3"/>
  <c r="N246" i="3"/>
  <c r="N247" i="3"/>
  <c r="N248" i="3"/>
  <c r="N249" i="3"/>
  <c r="N250" i="3"/>
  <c r="N251" i="3"/>
  <c r="N252" i="3"/>
  <c r="N253" i="3"/>
  <c r="N254" i="3"/>
  <c r="N255" i="3"/>
  <c r="N256" i="3"/>
  <c r="N257" i="3"/>
  <c r="N258" i="3"/>
  <c r="N259" i="3"/>
  <c r="N260" i="3"/>
  <c r="N261" i="3"/>
  <c r="N262" i="3"/>
  <c r="N263" i="3"/>
  <c r="N264" i="3"/>
  <c r="N265" i="3"/>
  <c r="N266" i="3"/>
  <c r="N267" i="3"/>
  <c r="N268" i="3"/>
  <c r="N269" i="3"/>
  <c r="N270" i="3"/>
  <c r="N271" i="3"/>
  <c r="N272" i="3"/>
  <c r="N273" i="3"/>
  <c r="N274" i="3"/>
  <c r="N275" i="3"/>
  <c r="N276" i="3"/>
  <c r="N277" i="3"/>
  <c r="N278" i="3"/>
  <c r="N279" i="3"/>
  <c r="N280" i="3"/>
  <c r="N281" i="3"/>
  <c r="N282" i="3"/>
  <c r="N283" i="3"/>
  <c r="N284" i="3"/>
  <c r="N285" i="3"/>
  <c r="N286" i="3"/>
  <c r="N287" i="3"/>
  <c r="N288" i="3"/>
  <c r="N289" i="3"/>
  <c r="N290" i="3"/>
  <c r="N291" i="3"/>
  <c r="N292" i="3"/>
  <c r="N293" i="3"/>
  <c r="N294" i="3"/>
  <c r="N295" i="3"/>
  <c r="N296" i="3"/>
  <c r="N297" i="3"/>
  <c r="N298" i="3"/>
  <c r="N299" i="3"/>
  <c r="N300" i="3"/>
  <c r="N301" i="3"/>
  <c r="N302" i="3"/>
  <c r="N303" i="3"/>
  <c r="N304" i="3"/>
  <c r="N305" i="3"/>
  <c r="N306" i="3"/>
  <c r="N307" i="3"/>
  <c r="N308" i="3"/>
  <c r="N309" i="3"/>
  <c r="N310" i="3"/>
  <c r="N311" i="3"/>
  <c r="N312" i="3"/>
  <c r="N313" i="3"/>
  <c r="N314" i="3"/>
  <c r="N315" i="3"/>
  <c r="N316" i="3"/>
  <c r="N317" i="3"/>
  <c r="N318" i="3"/>
  <c r="N319" i="3"/>
  <c r="N320" i="3"/>
  <c r="N321" i="3"/>
  <c r="N322" i="3"/>
  <c r="N323" i="3"/>
  <c r="N324" i="3"/>
  <c r="N325" i="3"/>
  <c r="N326" i="3"/>
  <c r="N327" i="3"/>
  <c r="N328" i="3"/>
  <c r="N329" i="3"/>
  <c r="N330" i="3"/>
  <c r="N331" i="3"/>
  <c r="N332" i="3"/>
  <c r="N333" i="3"/>
  <c r="N334" i="3"/>
  <c r="N335" i="3"/>
  <c r="N336" i="3"/>
  <c r="N337" i="3"/>
  <c r="N338" i="3"/>
  <c r="N339" i="3"/>
  <c r="N340" i="3"/>
  <c r="N341" i="3"/>
  <c r="N342" i="3"/>
  <c r="N343" i="3"/>
  <c r="N344" i="3"/>
  <c r="N345" i="3"/>
  <c r="N346" i="3"/>
  <c r="N347" i="3"/>
  <c r="N348" i="3"/>
  <c r="N349" i="3"/>
  <c r="N350" i="3"/>
  <c r="N351" i="3"/>
  <c r="N352" i="3"/>
  <c r="N353" i="3"/>
  <c r="N354" i="3"/>
  <c r="N355" i="3"/>
  <c r="N356" i="3"/>
  <c r="N357" i="3"/>
  <c r="N358" i="3"/>
  <c r="N359" i="3"/>
  <c r="N360" i="3"/>
  <c r="N361" i="3"/>
  <c r="N362" i="3"/>
  <c r="N363" i="3"/>
  <c r="N364" i="3"/>
  <c r="N365" i="3"/>
  <c r="N366" i="3"/>
  <c r="N367" i="3"/>
  <c r="N368" i="3"/>
  <c r="N369" i="3"/>
  <c r="N370" i="3"/>
  <c r="N371" i="3"/>
  <c r="N372" i="3"/>
  <c r="N373" i="3"/>
  <c r="N374" i="3"/>
  <c r="N375" i="3"/>
  <c r="N376" i="3"/>
  <c r="N377" i="3"/>
  <c r="N378" i="3"/>
  <c r="N379" i="3"/>
  <c r="N380" i="3"/>
  <c r="N381" i="3"/>
  <c r="N382" i="3"/>
  <c r="N383" i="3"/>
  <c r="N384" i="3"/>
  <c r="N385" i="3"/>
  <c r="N386" i="3"/>
  <c r="N387" i="3"/>
  <c r="N388" i="3"/>
  <c r="N389" i="3"/>
  <c r="N390" i="3"/>
  <c r="N391" i="3"/>
  <c r="N392" i="3"/>
  <c r="N393" i="3"/>
  <c r="N394" i="3"/>
  <c r="N395" i="3"/>
  <c r="N396" i="3"/>
  <c r="N397" i="3"/>
  <c r="N398" i="3"/>
  <c r="N399" i="3"/>
  <c r="N400" i="3"/>
  <c r="N401" i="3"/>
  <c r="N402" i="3"/>
  <c r="N403" i="3"/>
  <c r="N404" i="3"/>
  <c r="N405" i="3"/>
  <c r="N406" i="3"/>
  <c r="N407" i="3"/>
  <c r="N408" i="3"/>
  <c r="N409" i="3"/>
  <c r="N410" i="3"/>
  <c r="N411" i="3"/>
  <c r="N412" i="3"/>
  <c r="N413" i="3"/>
  <c r="N414" i="3"/>
  <c r="N415" i="3"/>
  <c r="N416" i="3"/>
  <c r="N417" i="3"/>
  <c r="N418" i="3"/>
  <c r="N419" i="3"/>
  <c r="N420" i="3"/>
  <c r="N421" i="3"/>
  <c r="N422" i="3"/>
  <c r="N423" i="3"/>
  <c r="N424" i="3"/>
  <c r="N425" i="3"/>
  <c r="N426" i="3"/>
  <c r="N427" i="3"/>
  <c r="N428" i="3"/>
  <c r="N429" i="3"/>
  <c r="N430" i="3"/>
  <c r="N431" i="3"/>
  <c r="N432" i="3"/>
  <c r="N433" i="3"/>
  <c r="N434" i="3"/>
  <c r="N435" i="3"/>
  <c r="N436" i="3"/>
  <c r="N437" i="3"/>
  <c r="N438" i="3"/>
  <c r="N439" i="3"/>
  <c r="N440" i="3"/>
  <c r="N441" i="3"/>
  <c r="N442" i="3"/>
  <c r="N443" i="3"/>
  <c r="N444" i="3"/>
  <c r="N445" i="3"/>
  <c r="N446" i="3"/>
  <c r="N447" i="3"/>
  <c r="N448" i="3"/>
  <c r="N449" i="3"/>
  <c r="N450" i="3"/>
  <c r="N451" i="3"/>
  <c r="N452" i="3"/>
  <c r="N453" i="3"/>
  <c r="N454" i="3"/>
  <c r="N455" i="3"/>
  <c r="N456" i="3"/>
  <c r="N457" i="3"/>
  <c r="N458" i="3"/>
  <c r="N459" i="3"/>
  <c r="N460" i="3"/>
  <c r="N461" i="3"/>
  <c r="N462" i="3"/>
  <c r="N463" i="3"/>
  <c r="N464" i="3"/>
  <c r="N465" i="3"/>
  <c r="N466" i="3"/>
  <c r="N467" i="3"/>
  <c r="N468" i="3"/>
  <c r="N469" i="3"/>
  <c r="N470" i="3"/>
  <c r="N471" i="3"/>
  <c r="N472" i="3"/>
  <c r="N473" i="3"/>
  <c r="N474" i="3"/>
  <c r="N475" i="3"/>
  <c r="N476" i="3"/>
  <c r="N477" i="3"/>
  <c r="N478" i="3"/>
  <c r="N479" i="3"/>
  <c r="N480" i="3"/>
  <c r="N481" i="3"/>
  <c r="N482" i="3"/>
  <c r="N483" i="3"/>
  <c r="N484" i="3"/>
  <c r="N485" i="3"/>
  <c r="N486" i="3"/>
  <c r="N487" i="3"/>
  <c r="N488" i="3"/>
  <c r="N489" i="3"/>
  <c r="N490" i="3"/>
  <c r="N491" i="3"/>
  <c r="N492" i="3"/>
  <c r="N493" i="3"/>
  <c r="N494" i="3"/>
  <c r="N495" i="3"/>
  <c r="N496" i="3"/>
  <c r="N497" i="3"/>
  <c r="N498" i="3"/>
  <c r="N499" i="3"/>
  <c r="N500" i="3"/>
  <c r="N501" i="3"/>
  <c r="N502" i="3"/>
  <c r="N503" i="3"/>
  <c r="N504" i="3"/>
  <c r="N505" i="3"/>
  <c r="N506" i="3"/>
  <c r="N507" i="3"/>
  <c r="N508" i="3"/>
  <c r="N509" i="3"/>
  <c r="N510" i="3"/>
  <c r="N511" i="3"/>
  <c r="N512" i="3"/>
  <c r="N513" i="3"/>
  <c r="N514" i="3"/>
  <c r="N515" i="3"/>
  <c r="N516" i="3"/>
  <c r="N517" i="3"/>
  <c r="N518" i="3"/>
  <c r="N519" i="3"/>
  <c r="N520" i="3"/>
  <c r="N521" i="3"/>
  <c r="N522" i="3"/>
  <c r="N523" i="3"/>
  <c r="N524" i="3"/>
  <c r="N525" i="3"/>
  <c r="N526" i="3"/>
  <c r="N527" i="3"/>
  <c r="N528" i="3"/>
  <c r="N529" i="3"/>
  <c r="N530" i="3"/>
  <c r="N531" i="3"/>
  <c r="N532" i="3"/>
  <c r="N533" i="3"/>
  <c r="N534" i="3"/>
  <c r="N535" i="3"/>
  <c r="N536" i="3"/>
  <c r="N537" i="3"/>
  <c r="N538" i="3"/>
  <c r="N539" i="3"/>
  <c r="N540" i="3"/>
  <c r="N541" i="3"/>
  <c r="N542" i="3"/>
  <c r="N543" i="3"/>
  <c r="N544" i="3"/>
  <c r="N545" i="3"/>
  <c r="N546" i="3"/>
  <c r="N547" i="3"/>
  <c r="N548" i="3"/>
  <c r="N549" i="3"/>
  <c r="N550" i="3"/>
  <c r="N551" i="3"/>
  <c r="N552" i="3"/>
  <c r="N553" i="3"/>
  <c r="N554" i="3"/>
  <c r="N555" i="3"/>
  <c r="N556" i="3"/>
  <c r="N557" i="3"/>
  <c r="N558" i="3"/>
  <c r="N559" i="3"/>
  <c r="N560" i="3"/>
  <c r="N561" i="3"/>
  <c r="N562" i="3"/>
  <c r="N563" i="3"/>
  <c r="N564" i="3"/>
  <c r="N565" i="3"/>
  <c r="N566" i="3"/>
  <c r="N567" i="3"/>
  <c r="N568" i="3"/>
  <c r="N569" i="3"/>
  <c r="N570" i="3"/>
  <c r="N571" i="3"/>
  <c r="N572" i="3"/>
  <c r="N573" i="3"/>
  <c r="N574" i="3"/>
  <c r="N575" i="3"/>
  <c r="N576" i="3"/>
  <c r="N577" i="3"/>
  <c r="N578" i="3"/>
  <c r="N579" i="3"/>
  <c r="N580" i="3"/>
  <c r="N581" i="3"/>
  <c r="N582" i="3"/>
  <c r="N583" i="3"/>
  <c r="N584" i="3"/>
  <c r="N585" i="3"/>
  <c r="N586" i="3"/>
  <c r="N587" i="3"/>
  <c r="N588" i="3"/>
  <c r="N589" i="3"/>
  <c r="N590" i="3"/>
  <c r="N591" i="3"/>
  <c r="N592" i="3"/>
  <c r="N593" i="3"/>
  <c r="N594" i="3"/>
  <c r="N595" i="3"/>
  <c r="N596" i="3"/>
  <c r="N597" i="3"/>
  <c r="N598" i="3"/>
  <c r="N599" i="3"/>
  <c r="N600" i="3"/>
  <c r="N601" i="3"/>
  <c r="N602" i="3"/>
  <c r="N603" i="3"/>
  <c r="N604" i="3"/>
  <c r="N605" i="3"/>
  <c r="N606" i="3"/>
  <c r="N607" i="3"/>
  <c r="N608" i="3"/>
  <c r="N609" i="3"/>
  <c r="N610" i="3"/>
  <c r="N611" i="3"/>
  <c r="N612" i="3"/>
  <c r="N613" i="3"/>
  <c r="N614" i="3"/>
  <c r="N615" i="3"/>
  <c r="N616" i="3"/>
  <c r="N617" i="3"/>
  <c r="N618" i="3"/>
  <c r="N619" i="3"/>
  <c r="N620" i="3"/>
  <c r="N621" i="3"/>
  <c r="N622" i="3"/>
  <c r="N623" i="3"/>
  <c r="N624" i="3"/>
  <c r="N625" i="3"/>
  <c r="N626" i="3"/>
  <c r="N627" i="3"/>
  <c r="N628" i="3"/>
  <c r="N629" i="3"/>
  <c r="N630" i="3"/>
  <c r="N631" i="3"/>
  <c r="N632" i="3"/>
  <c r="N633" i="3"/>
  <c r="N2" i="3"/>
  <c r="D3" i="3"/>
  <c r="D4" i="3"/>
  <c r="D5" i="3"/>
  <c r="D6" i="3"/>
  <c r="D7" i="3"/>
  <c r="D8" i="3"/>
  <c r="D9" i="3"/>
  <c r="D10" i="3"/>
  <c r="D11" i="3"/>
  <c r="D12" i="3"/>
  <c r="D13" i="3"/>
  <c r="D14" i="3"/>
  <c r="D15" i="3"/>
  <c r="D16" i="3"/>
  <c r="D17" i="3"/>
  <c r="D18" i="3"/>
  <c r="D19" i="3"/>
  <c r="D20" i="3"/>
  <c r="D21" i="3"/>
  <c r="D22" i="3"/>
  <c r="D23" i="3"/>
  <c r="D24" i="3"/>
  <c r="D25" i="3"/>
  <c r="D26" i="3"/>
  <c r="D27" i="3"/>
  <c r="D28" i="3"/>
  <c r="D29" i="3"/>
  <c r="D30" i="3"/>
  <c r="D31" i="3"/>
  <c r="D32" i="3"/>
  <c r="D33" i="3"/>
  <c r="D34" i="3"/>
  <c r="D35" i="3"/>
  <c r="D36" i="3"/>
  <c r="D37" i="3"/>
  <c r="D38" i="3"/>
  <c r="D39" i="3"/>
  <c r="D40" i="3"/>
  <c r="D41" i="3"/>
  <c r="D42" i="3"/>
  <c r="D43" i="3"/>
  <c r="D44" i="3"/>
  <c r="D45" i="3"/>
  <c r="D46" i="3"/>
  <c r="D47" i="3"/>
  <c r="D48" i="3"/>
  <c r="D49" i="3"/>
  <c r="D50" i="3"/>
  <c r="D51" i="3"/>
  <c r="D52" i="3"/>
  <c r="D53" i="3"/>
  <c r="D54" i="3"/>
  <c r="D55" i="3"/>
  <c r="D56" i="3"/>
  <c r="D57" i="3"/>
  <c r="D58" i="3"/>
  <c r="D59" i="3"/>
  <c r="D60" i="3"/>
  <c r="D61" i="3"/>
  <c r="D62" i="3"/>
  <c r="D63" i="3"/>
  <c r="D64" i="3"/>
  <c r="D65" i="3"/>
  <c r="D66" i="3"/>
  <c r="D67" i="3"/>
  <c r="D68" i="3"/>
  <c r="D69" i="3"/>
  <c r="D70" i="3"/>
  <c r="D71" i="3"/>
  <c r="D72" i="3"/>
  <c r="D73" i="3"/>
  <c r="D74" i="3"/>
  <c r="D75" i="3"/>
  <c r="D76" i="3"/>
  <c r="D77" i="3"/>
  <c r="D78" i="3"/>
  <c r="D79" i="3"/>
  <c r="D80" i="3"/>
  <c r="D81" i="3"/>
  <c r="D82" i="3"/>
  <c r="D83" i="3"/>
  <c r="D84" i="3"/>
  <c r="D85" i="3"/>
  <c r="D86" i="3"/>
  <c r="D87" i="3"/>
  <c r="D88" i="3"/>
  <c r="D89" i="3"/>
  <c r="D90" i="3"/>
  <c r="D91" i="3"/>
  <c r="D92" i="3"/>
  <c r="D93" i="3"/>
  <c r="D94" i="3"/>
  <c r="D95" i="3"/>
  <c r="D96" i="3"/>
  <c r="D97" i="3"/>
  <c r="D98" i="3"/>
  <c r="D99" i="3"/>
  <c r="D100" i="3"/>
  <c r="D101" i="3"/>
  <c r="D102" i="3"/>
  <c r="D103" i="3"/>
  <c r="D104" i="3"/>
  <c r="D105" i="3"/>
  <c r="D106" i="3"/>
  <c r="D107" i="3"/>
  <c r="D108" i="3"/>
  <c r="D109" i="3"/>
  <c r="D110" i="3"/>
  <c r="D111" i="3"/>
  <c r="D112" i="3"/>
  <c r="D113" i="3"/>
  <c r="D114" i="3"/>
  <c r="D115" i="3"/>
  <c r="D116" i="3"/>
  <c r="D117" i="3"/>
  <c r="D118" i="3"/>
  <c r="D119" i="3"/>
  <c r="D120" i="3"/>
  <c r="D121" i="3"/>
  <c r="D122" i="3"/>
  <c r="D123" i="3"/>
  <c r="D124" i="3"/>
  <c r="D125" i="3"/>
  <c r="D126" i="3"/>
  <c r="D127" i="3"/>
  <c r="D128" i="3"/>
  <c r="D129" i="3"/>
  <c r="D130" i="3"/>
  <c r="D131" i="3"/>
  <c r="D132" i="3"/>
  <c r="D133" i="3"/>
  <c r="D134" i="3"/>
  <c r="D135" i="3"/>
  <c r="D136" i="3"/>
  <c r="D137" i="3"/>
  <c r="D138" i="3"/>
  <c r="D139" i="3"/>
  <c r="D140" i="3"/>
  <c r="D141" i="3"/>
  <c r="D142" i="3"/>
  <c r="D143" i="3"/>
  <c r="D144" i="3"/>
  <c r="D145" i="3"/>
  <c r="D146" i="3"/>
  <c r="D147" i="3"/>
  <c r="D148" i="3"/>
  <c r="D149" i="3"/>
  <c r="D150" i="3"/>
  <c r="D151" i="3"/>
  <c r="D152" i="3"/>
  <c r="D153" i="3"/>
  <c r="D154" i="3"/>
  <c r="D155" i="3"/>
  <c r="D156" i="3"/>
  <c r="D157" i="3"/>
  <c r="D158" i="3"/>
  <c r="D159" i="3"/>
  <c r="D160" i="3"/>
  <c r="D161" i="3"/>
  <c r="D162" i="3"/>
  <c r="D163" i="3"/>
  <c r="D164" i="3"/>
  <c r="D165" i="3"/>
  <c r="D166" i="3"/>
  <c r="D167" i="3"/>
  <c r="D168" i="3"/>
  <c r="D169" i="3"/>
  <c r="D170" i="3"/>
  <c r="D171" i="3"/>
  <c r="D172" i="3"/>
  <c r="D173" i="3"/>
  <c r="D174" i="3"/>
  <c r="D175" i="3"/>
  <c r="D176" i="3"/>
  <c r="D177" i="3"/>
  <c r="D178" i="3"/>
  <c r="D179" i="3"/>
  <c r="D180" i="3"/>
  <c r="D181" i="3"/>
  <c r="D182" i="3"/>
  <c r="D183" i="3"/>
  <c r="D184" i="3"/>
  <c r="D185" i="3"/>
  <c r="D186" i="3"/>
  <c r="D187" i="3"/>
  <c r="D188" i="3"/>
  <c r="D189" i="3"/>
  <c r="D190" i="3"/>
  <c r="D191" i="3"/>
  <c r="D192" i="3"/>
  <c r="D193" i="3"/>
  <c r="D194" i="3"/>
  <c r="D195" i="3"/>
  <c r="D196" i="3"/>
  <c r="D197" i="3"/>
  <c r="D198" i="3"/>
  <c r="D199" i="3"/>
  <c r="D200" i="3"/>
  <c r="D201" i="3"/>
  <c r="D202" i="3"/>
  <c r="D203" i="3"/>
  <c r="D204" i="3"/>
  <c r="D205" i="3"/>
  <c r="D206" i="3"/>
  <c r="D207" i="3"/>
  <c r="D208" i="3"/>
  <c r="D209" i="3"/>
  <c r="D210" i="3"/>
  <c r="D211" i="3"/>
  <c r="D212" i="3"/>
  <c r="D213" i="3"/>
  <c r="D214" i="3"/>
  <c r="D215" i="3"/>
  <c r="D216" i="3"/>
  <c r="D217" i="3"/>
  <c r="D218" i="3"/>
  <c r="D219" i="3"/>
  <c r="D220" i="3"/>
  <c r="D221" i="3"/>
  <c r="D222" i="3"/>
  <c r="D223" i="3"/>
  <c r="D224" i="3"/>
  <c r="D225" i="3"/>
  <c r="D226" i="3"/>
  <c r="D227" i="3"/>
  <c r="D228" i="3"/>
  <c r="D229" i="3"/>
  <c r="D230" i="3"/>
  <c r="D231" i="3"/>
  <c r="D232" i="3"/>
  <c r="D233" i="3"/>
  <c r="D234" i="3"/>
  <c r="D235" i="3"/>
  <c r="D236" i="3"/>
  <c r="D237" i="3"/>
  <c r="D238" i="3"/>
  <c r="D239" i="3"/>
  <c r="D240" i="3"/>
  <c r="D241" i="3"/>
  <c r="D242" i="3"/>
  <c r="D243" i="3"/>
  <c r="D244" i="3"/>
  <c r="D245" i="3"/>
  <c r="D246" i="3"/>
  <c r="D247" i="3"/>
  <c r="D248" i="3"/>
  <c r="D249" i="3"/>
  <c r="D250" i="3"/>
  <c r="D251" i="3"/>
  <c r="D252" i="3"/>
  <c r="D253" i="3"/>
  <c r="D254" i="3"/>
  <c r="D255" i="3"/>
  <c r="D256" i="3"/>
  <c r="D257" i="3"/>
  <c r="D258" i="3"/>
  <c r="D259" i="3"/>
  <c r="D260" i="3"/>
  <c r="D261" i="3"/>
  <c r="D262" i="3"/>
  <c r="D263" i="3"/>
  <c r="D264" i="3"/>
  <c r="D265" i="3"/>
  <c r="D266" i="3"/>
  <c r="D267" i="3"/>
  <c r="D268" i="3"/>
  <c r="D269" i="3"/>
  <c r="D270" i="3"/>
  <c r="D271" i="3"/>
  <c r="D272" i="3"/>
  <c r="D273" i="3"/>
  <c r="D274" i="3"/>
  <c r="D275" i="3"/>
  <c r="D276" i="3"/>
  <c r="D277" i="3"/>
  <c r="D278" i="3"/>
  <c r="D279" i="3"/>
  <c r="D280" i="3"/>
  <c r="D281" i="3"/>
  <c r="D282" i="3"/>
  <c r="D283" i="3"/>
  <c r="D284" i="3"/>
  <c r="D285" i="3"/>
  <c r="D286" i="3"/>
  <c r="D287" i="3"/>
  <c r="D288" i="3"/>
  <c r="D289" i="3"/>
  <c r="D290" i="3"/>
  <c r="D291" i="3"/>
  <c r="D292" i="3"/>
  <c r="D293" i="3"/>
  <c r="D294" i="3"/>
  <c r="D295" i="3"/>
  <c r="D296" i="3"/>
  <c r="D297" i="3"/>
  <c r="D298" i="3"/>
  <c r="D299" i="3"/>
  <c r="D300" i="3"/>
  <c r="D301" i="3"/>
  <c r="D302" i="3"/>
  <c r="D303" i="3"/>
  <c r="D304" i="3"/>
  <c r="D305" i="3"/>
  <c r="D306" i="3"/>
  <c r="D307" i="3"/>
  <c r="D308" i="3"/>
  <c r="D309" i="3"/>
  <c r="D310" i="3"/>
  <c r="D311" i="3"/>
  <c r="D312" i="3"/>
  <c r="D313" i="3"/>
  <c r="D314" i="3"/>
  <c r="D315" i="3"/>
  <c r="D316" i="3"/>
  <c r="D317" i="3"/>
  <c r="D318" i="3"/>
  <c r="D319" i="3"/>
  <c r="D320" i="3"/>
  <c r="D321" i="3"/>
  <c r="D322" i="3"/>
  <c r="D323" i="3"/>
  <c r="D324" i="3"/>
  <c r="D325" i="3"/>
  <c r="D326" i="3"/>
  <c r="D327" i="3"/>
  <c r="D328" i="3"/>
  <c r="D329" i="3"/>
  <c r="D330" i="3"/>
  <c r="D331" i="3"/>
  <c r="D332" i="3"/>
  <c r="D333" i="3"/>
  <c r="D334" i="3"/>
  <c r="D335" i="3"/>
  <c r="D336" i="3"/>
  <c r="D337" i="3"/>
  <c r="D338" i="3"/>
  <c r="D339" i="3"/>
  <c r="D340" i="3"/>
  <c r="D341" i="3"/>
  <c r="D342" i="3"/>
  <c r="D343" i="3"/>
  <c r="D344" i="3"/>
  <c r="D345" i="3"/>
  <c r="D346" i="3"/>
  <c r="D347" i="3"/>
  <c r="D348" i="3"/>
  <c r="D349" i="3"/>
  <c r="D350" i="3"/>
  <c r="D351" i="3"/>
  <c r="D352" i="3"/>
  <c r="D353" i="3"/>
  <c r="D354" i="3"/>
  <c r="D355" i="3"/>
  <c r="D356" i="3"/>
  <c r="D357" i="3"/>
  <c r="D358" i="3"/>
  <c r="D359" i="3"/>
  <c r="D360" i="3"/>
  <c r="D361" i="3"/>
  <c r="D362" i="3"/>
  <c r="D363" i="3"/>
  <c r="D364" i="3"/>
  <c r="D365" i="3"/>
  <c r="D366" i="3"/>
  <c r="D367" i="3"/>
  <c r="D368" i="3"/>
  <c r="D369" i="3"/>
  <c r="D370" i="3"/>
  <c r="D371" i="3"/>
  <c r="D372" i="3"/>
  <c r="D373" i="3"/>
  <c r="D374" i="3"/>
  <c r="D375" i="3"/>
  <c r="D376" i="3"/>
  <c r="D377" i="3"/>
  <c r="D378" i="3"/>
  <c r="D379" i="3"/>
  <c r="D380" i="3"/>
  <c r="D381" i="3"/>
  <c r="D382" i="3"/>
  <c r="D383" i="3"/>
  <c r="D384" i="3"/>
  <c r="D385" i="3"/>
  <c r="D386" i="3"/>
  <c r="D387" i="3"/>
  <c r="D388" i="3"/>
  <c r="D389" i="3"/>
  <c r="D390" i="3"/>
  <c r="D391" i="3"/>
  <c r="D392" i="3"/>
  <c r="D393" i="3"/>
  <c r="D394" i="3"/>
  <c r="D395" i="3"/>
  <c r="D396" i="3"/>
  <c r="D397" i="3"/>
  <c r="D398" i="3"/>
  <c r="D399" i="3"/>
  <c r="D400" i="3"/>
  <c r="D401" i="3"/>
  <c r="D402" i="3"/>
  <c r="D403" i="3"/>
  <c r="D404" i="3"/>
  <c r="D405" i="3"/>
  <c r="D406" i="3"/>
  <c r="D407" i="3"/>
  <c r="D408" i="3"/>
  <c r="D409" i="3"/>
  <c r="D410" i="3"/>
  <c r="D411" i="3"/>
  <c r="D412" i="3"/>
  <c r="D413" i="3"/>
  <c r="D414" i="3"/>
  <c r="D415" i="3"/>
  <c r="D416" i="3"/>
  <c r="D417" i="3"/>
  <c r="D418" i="3"/>
  <c r="D419" i="3"/>
  <c r="D420" i="3"/>
  <c r="D421" i="3"/>
  <c r="D422" i="3"/>
  <c r="D423" i="3"/>
  <c r="D424" i="3"/>
  <c r="D425" i="3"/>
  <c r="D426" i="3"/>
  <c r="D427" i="3"/>
  <c r="D428" i="3"/>
  <c r="D429" i="3"/>
  <c r="D430" i="3"/>
  <c r="D431" i="3"/>
  <c r="D432" i="3"/>
  <c r="D433" i="3"/>
  <c r="D434" i="3"/>
  <c r="D435" i="3"/>
  <c r="D436" i="3"/>
  <c r="D437" i="3"/>
  <c r="D438" i="3"/>
  <c r="D439" i="3"/>
  <c r="D440" i="3"/>
  <c r="D441" i="3"/>
  <c r="D442" i="3"/>
  <c r="D443" i="3"/>
  <c r="D444" i="3"/>
  <c r="D445" i="3"/>
  <c r="D446" i="3"/>
  <c r="D447" i="3"/>
  <c r="D448" i="3"/>
  <c r="D449" i="3"/>
  <c r="D450" i="3"/>
  <c r="D451" i="3"/>
  <c r="D452" i="3"/>
  <c r="D453" i="3"/>
  <c r="D454" i="3"/>
  <c r="D455" i="3"/>
  <c r="D456" i="3"/>
  <c r="D457" i="3"/>
  <c r="D458" i="3"/>
  <c r="D459" i="3"/>
  <c r="D460" i="3"/>
  <c r="D461" i="3"/>
  <c r="D462" i="3"/>
  <c r="D463" i="3"/>
  <c r="D464" i="3"/>
  <c r="D465" i="3"/>
  <c r="D466" i="3"/>
  <c r="D467" i="3"/>
  <c r="D468" i="3"/>
  <c r="D469" i="3"/>
  <c r="D470" i="3"/>
  <c r="D471" i="3"/>
  <c r="D472" i="3"/>
  <c r="D473" i="3"/>
  <c r="D474" i="3"/>
  <c r="D475" i="3"/>
  <c r="D476" i="3"/>
  <c r="D477" i="3"/>
  <c r="D478" i="3"/>
  <c r="D479" i="3"/>
  <c r="D480" i="3"/>
  <c r="D481" i="3"/>
  <c r="D482" i="3"/>
  <c r="D483" i="3"/>
  <c r="D484" i="3"/>
  <c r="D485" i="3"/>
  <c r="D486" i="3"/>
  <c r="D487" i="3"/>
  <c r="D488" i="3"/>
  <c r="D489" i="3"/>
  <c r="D490" i="3"/>
  <c r="D491" i="3"/>
  <c r="D492" i="3"/>
  <c r="D493" i="3"/>
  <c r="D494" i="3"/>
  <c r="D495" i="3"/>
  <c r="D496" i="3"/>
  <c r="D497" i="3"/>
  <c r="D498" i="3"/>
  <c r="D499" i="3"/>
  <c r="D500" i="3"/>
  <c r="D501" i="3"/>
  <c r="D502" i="3"/>
  <c r="D503" i="3"/>
  <c r="D504" i="3"/>
  <c r="D505" i="3"/>
  <c r="D506" i="3"/>
  <c r="D507" i="3"/>
  <c r="D508" i="3"/>
  <c r="D509" i="3"/>
  <c r="D510" i="3"/>
  <c r="D511" i="3"/>
  <c r="D512" i="3"/>
  <c r="D513" i="3"/>
  <c r="D514" i="3"/>
  <c r="D515" i="3"/>
  <c r="D516" i="3"/>
  <c r="D517" i="3"/>
  <c r="D518" i="3"/>
  <c r="D519" i="3"/>
  <c r="D520" i="3"/>
  <c r="D521" i="3"/>
  <c r="D522" i="3"/>
  <c r="D523" i="3"/>
  <c r="D524" i="3"/>
  <c r="D525" i="3"/>
  <c r="D526" i="3"/>
  <c r="D527" i="3"/>
  <c r="D528" i="3"/>
  <c r="D529" i="3"/>
  <c r="D530" i="3"/>
  <c r="D531" i="3"/>
  <c r="D532" i="3"/>
  <c r="D533" i="3"/>
  <c r="D534" i="3"/>
  <c r="D535" i="3"/>
  <c r="D536" i="3"/>
  <c r="D537" i="3"/>
  <c r="D538" i="3"/>
  <c r="D539" i="3"/>
  <c r="D540" i="3"/>
  <c r="D541" i="3"/>
  <c r="D542" i="3"/>
  <c r="D543" i="3"/>
  <c r="D544" i="3"/>
  <c r="D545" i="3"/>
  <c r="D546" i="3"/>
  <c r="D547" i="3"/>
  <c r="D548" i="3"/>
  <c r="D549" i="3"/>
  <c r="D550" i="3"/>
  <c r="D551" i="3"/>
  <c r="D552" i="3"/>
  <c r="D553" i="3"/>
  <c r="D554" i="3"/>
  <c r="D555" i="3"/>
  <c r="D556" i="3"/>
  <c r="D557" i="3"/>
  <c r="D558" i="3"/>
  <c r="D559" i="3"/>
  <c r="D560" i="3"/>
  <c r="D561" i="3"/>
  <c r="D562" i="3"/>
  <c r="D563" i="3"/>
  <c r="D564" i="3"/>
  <c r="D565" i="3"/>
  <c r="D566" i="3"/>
  <c r="D567" i="3"/>
  <c r="D568" i="3"/>
  <c r="D569" i="3"/>
  <c r="D570" i="3"/>
  <c r="D571" i="3"/>
  <c r="D572" i="3"/>
  <c r="D573" i="3"/>
  <c r="D574" i="3"/>
  <c r="D575" i="3"/>
  <c r="D576" i="3"/>
  <c r="D577" i="3"/>
  <c r="D578" i="3"/>
  <c r="D579" i="3"/>
  <c r="D580" i="3"/>
  <c r="D581" i="3"/>
  <c r="D582" i="3"/>
  <c r="D583" i="3"/>
  <c r="D584" i="3"/>
  <c r="D585" i="3"/>
  <c r="D586" i="3"/>
  <c r="D587" i="3"/>
  <c r="D588" i="3"/>
  <c r="D589" i="3"/>
  <c r="D590" i="3"/>
  <c r="D591" i="3"/>
  <c r="D592" i="3"/>
  <c r="D593" i="3"/>
  <c r="D594" i="3"/>
  <c r="D595" i="3"/>
  <c r="D596" i="3"/>
  <c r="D597" i="3"/>
  <c r="D598" i="3"/>
  <c r="D599" i="3"/>
  <c r="D600" i="3"/>
  <c r="D601" i="3"/>
  <c r="D602" i="3"/>
  <c r="D603" i="3"/>
  <c r="D604" i="3"/>
  <c r="D605" i="3"/>
  <c r="D606" i="3"/>
  <c r="D607" i="3"/>
  <c r="D608" i="3"/>
  <c r="D609" i="3"/>
  <c r="D610" i="3"/>
  <c r="D611" i="3"/>
  <c r="D612" i="3"/>
  <c r="D613" i="3"/>
  <c r="D614" i="3"/>
  <c r="D615" i="3"/>
  <c r="D616" i="3"/>
  <c r="D617" i="3"/>
  <c r="D618" i="3"/>
  <c r="D619" i="3"/>
  <c r="D620" i="3"/>
  <c r="D621" i="3"/>
  <c r="D622" i="3"/>
  <c r="D623" i="3"/>
  <c r="D624" i="3"/>
  <c r="D625" i="3"/>
  <c r="D626" i="3"/>
  <c r="D627" i="3"/>
  <c r="D628" i="3"/>
  <c r="D629" i="3"/>
  <c r="D630" i="3"/>
  <c r="D631" i="3"/>
  <c r="D632" i="3"/>
  <c r="D633" i="3"/>
  <c r="G8" i="11" l="1"/>
  <c r="G12" i="11"/>
  <c r="G4" i="11"/>
  <c r="G15" i="11"/>
  <c r="G11" i="11"/>
  <c r="G7" i="11"/>
  <c r="G16" i="11"/>
  <c r="G18" i="11"/>
  <c r="G14" i="11"/>
  <c r="G10" i="11"/>
  <c r="G6" i="11"/>
  <c r="G17" i="11"/>
  <c r="G13" i="11"/>
  <c r="G9" i="11"/>
  <c r="AC3" i="3" l="1"/>
  <c r="AC4" i="3"/>
  <c r="AC5" i="3"/>
  <c r="AC6" i="3"/>
  <c r="AC7" i="3"/>
  <c r="AC8" i="3"/>
  <c r="AC9" i="3"/>
  <c r="AC10" i="3"/>
  <c r="AC11" i="3"/>
  <c r="AC12" i="3"/>
  <c r="AC13" i="3"/>
  <c r="AC14" i="3"/>
  <c r="AC15" i="3"/>
  <c r="AC16" i="3"/>
  <c r="AC17" i="3"/>
  <c r="AC18" i="3"/>
  <c r="AC19" i="3"/>
  <c r="AC20" i="3"/>
  <c r="AC21" i="3"/>
  <c r="AC22" i="3"/>
  <c r="AC23" i="3"/>
  <c r="AC24" i="3"/>
  <c r="AC25" i="3"/>
  <c r="AC26" i="3"/>
  <c r="AC27" i="3"/>
  <c r="AC28" i="3"/>
  <c r="AC29" i="3"/>
  <c r="AC30" i="3"/>
  <c r="AC31" i="3"/>
  <c r="AC32" i="3"/>
  <c r="AC33" i="3"/>
  <c r="AC34" i="3"/>
  <c r="AC35" i="3"/>
  <c r="AC36" i="3"/>
  <c r="AC37" i="3"/>
  <c r="AC38" i="3"/>
  <c r="AC39" i="3"/>
  <c r="AC40" i="3"/>
  <c r="AC41" i="3"/>
  <c r="AC42" i="3"/>
  <c r="AC43" i="3"/>
  <c r="AC44" i="3"/>
  <c r="AC45" i="3"/>
  <c r="AC46" i="3"/>
  <c r="AC47" i="3"/>
  <c r="AC48" i="3"/>
  <c r="AC49" i="3"/>
  <c r="AC50" i="3"/>
  <c r="AC51" i="3"/>
  <c r="AC52" i="3"/>
  <c r="AC53" i="3"/>
  <c r="AC54" i="3"/>
  <c r="AC55" i="3"/>
  <c r="AC56" i="3"/>
  <c r="AC57" i="3"/>
  <c r="AC58" i="3"/>
  <c r="AC59" i="3"/>
  <c r="AC60" i="3"/>
  <c r="AC61" i="3"/>
  <c r="AC62" i="3"/>
  <c r="AC63" i="3"/>
  <c r="AC64" i="3"/>
  <c r="AC65" i="3"/>
  <c r="AC66" i="3"/>
  <c r="AC67" i="3"/>
  <c r="AC68" i="3"/>
  <c r="AC69" i="3"/>
  <c r="AC70" i="3"/>
  <c r="AC71" i="3"/>
  <c r="AC72" i="3"/>
  <c r="AC73" i="3"/>
  <c r="AC74" i="3"/>
  <c r="AC75" i="3"/>
  <c r="AC76" i="3"/>
  <c r="AC77" i="3"/>
  <c r="AC78" i="3"/>
  <c r="AC79" i="3"/>
  <c r="AC80" i="3"/>
  <c r="AC81" i="3"/>
  <c r="AC82" i="3"/>
  <c r="AC83" i="3"/>
  <c r="AC84" i="3"/>
  <c r="AC85" i="3"/>
  <c r="AC86" i="3"/>
  <c r="AC87" i="3"/>
  <c r="AC88" i="3"/>
  <c r="AC89" i="3"/>
  <c r="AC90" i="3"/>
  <c r="AC91" i="3"/>
  <c r="AC92" i="3"/>
  <c r="AC93" i="3"/>
  <c r="AC94" i="3"/>
  <c r="AC95" i="3"/>
  <c r="AC96" i="3"/>
  <c r="AC97" i="3"/>
  <c r="AC98" i="3"/>
  <c r="AC99" i="3"/>
  <c r="AC100" i="3"/>
  <c r="AC101" i="3"/>
  <c r="AC102" i="3"/>
  <c r="AC103" i="3"/>
  <c r="AC104" i="3"/>
  <c r="AC105" i="3"/>
  <c r="AC106" i="3"/>
  <c r="AC107" i="3"/>
  <c r="AC108" i="3"/>
  <c r="AC109" i="3"/>
  <c r="AC110" i="3"/>
  <c r="AC111" i="3"/>
  <c r="AC112" i="3"/>
  <c r="AC113" i="3"/>
  <c r="AC114" i="3"/>
  <c r="AC115" i="3"/>
  <c r="AC116" i="3"/>
  <c r="AC117" i="3"/>
  <c r="AC118" i="3"/>
  <c r="AC119" i="3"/>
  <c r="AC120" i="3"/>
  <c r="AC121" i="3"/>
  <c r="AC122" i="3"/>
  <c r="AC123" i="3"/>
  <c r="AC124" i="3"/>
  <c r="AC125" i="3"/>
  <c r="AC126" i="3"/>
  <c r="AC127" i="3"/>
  <c r="AC128" i="3"/>
  <c r="AC129" i="3"/>
  <c r="AC130" i="3"/>
  <c r="AC131" i="3"/>
  <c r="AC132" i="3"/>
  <c r="AC133" i="3"/>
  <c r="AC134" i="3"/>
  <c r="AC135" i="3"/>
  <c r="AC136" i="3"/>
  <c r="AC137" i="3"/>
  <c r="AC138" i="3"/>
  <c r="AC139" i="3"/>
  <c r="AC140" i="3"/>
  <c r="AC141" i="3"/>
  <c r="AC142" i="3"/>
  <c r="AC143" i="3"/>
  <c r="AC144" i="3"/>
  <c r="AC145" i="3"/>
  <c r="AC146" i="3"/>
  <c r="AC147" i="3"/>
  <c r="AC148" i="3"/>
  <c r="AC149" i="3"/>
  <c r="AC150" i="3"/>
  <c r="AC151" i="3"/>
  <c r="AC152" i="3"/>
  <c r="AC153" i="3"/>
  <c r="AC154" i="3"/>
  <c r="AC155" i="3"/>
  <c r="AC156" i="3"/>
  <c r="AC157" i="3"/>
  <c r="AC158" i="3"/>
  <c r="AC159" i="3"/>
  <c r="AC160" i="3"/>
  <c r="AC161" i="3"/>
  <c r="AC162" i="3"/>
  <c r="AC163" i="3"/>
  <c r="AC164" i="3"/>
  <c r="AC165" i="3"/>
  <c r="AC166" i="3"/>
  <c r="AC167" i="3"/>
  <c r="AC168" i="3"/>
  <c r="AC169" i="3"/>
  <c r="AC170" i="3"/>
  <c r="AC171" i="3"/>
  <c r="AC172" i="3"/>
  <c r="AC173" i="3"/>
  <c r="AC174" i="3"/>
  <c r="AC175" i="3"/>
  <c r="AC176" i="3"/>
  <c r="AC177" i="3"/>
  <c r="AC178" i="3"/>
  <c r="AC179" i="3"/>
  <c r="AC180" i="3"/>
  <c r="AC181" i="3"/>
  <c r="AC182" i="3"/>
  <c r="AC183" i="3"/>
  <c r="AC184" i="3"/>
  <c r="AC185" i="3"/>
  <c r="AC186" i="3"/>
  <c r="AC187" i="3"/>
  <c r="AC188" i="3"/>
  <c r="AC189" i="3"/>
  <c r="AC190" i="3"/>
  <c r="AC191" i="3"/>
  <c r="AC192" i="3"/>
  <c r="AC193" i="3"/>
  <c r="AC194" i="3"/>
  <c r="AC195" i="3"/>
  <c r="AC196" i="3"/>
  <c r="AC197" i="3"/>
  <c r="AC198" i="3"/>
  <c r="AC199" i="3"/>
  <c r="AC200" i="3"/>
  <c r="AC201" i="3"/>
  <c r="AC202" i="3"/>
  <c r="AC203" i="3"/>
  <c r="AC204" i="3"/>
  <c r="AC205" i="3"/>
  <c r="AC206" i="3"/>
  <c r="AC207" i="3"/>
  <c r="AC208" i="3"/>
  <c r="AC209" i="3"/>
  <c r="AC210" i="3"/>
  <c r="AC211" i="3"/>
  <c r="AC212" i="3"/>
  <c r="AC213" i="3"/>
  <c r="AC214" i="3"/>
  <c r="AC215" i="3"/>
  <c r="AC216" i="3"/>
  <c r="AC217" i="3"/>
  <c r="AC218" i="3"/>
  <c r="AC219" i="3"/>
  <c r="AC220" i="3"/>
  <c r="AC221" i="3"/>
  <c r="AC222" i="3"/>
  <c r="AC223" i="3"/>
  <c r="AC224" i="3"/>
  <c r="AC225" i="3"/>
  <c r="AC226" i="3"/>
  <c r="AC227" i="3"/>
  <c r="AC228" i="3"/>
  <c r="AC229" i="3"/>
  <c r="AC230" i="3"/>
  <c r="AC231" i="3"/>
  <c r="AC232" i="3"/>
  <c r="AC233" i="3"/>
  <c r="AC234" i="3"/>
  <c r="AC235" i="3"/>
  <c r="AC236" i="3"/>
  <c r="AC237" i="3"/>
  <c r="AC238" i="3"/>
  <c r="AC239" i="3"/>
  <c r="AC240" i="3"/>
  <c r="AC241" i="3"/>
  <c r="AC242" i="3"/>
  <c r="AC243" i="3"/>
  <c r="AC244" i="3"/>
  <c r="AC245" i="3"/>
  <c r="AC246" i="3"/>
  <c r="AC247" i="3"/>
  <c r="AC248" i="3"/>
  <c r="AC249" i="3"/>
  <c r="AC250" i="3"/>
  <c r="AC251" i="3"/>
  <c r="AC252" i="3"/>
  <c r="AC253" i="3"/>
  <c r="AC254" i="3"/>
  <c r="AC255" i="3"/>
  <c r="AC256" i="3"/>
  <c r="AC257" i="3"/>
  <c r="AC258" i="3"/>
  <c r="AC259" i="3"/>
  <c r="AC260" i="3"/>
  <c r="AC261" i="3"/>
  <c r="AC262" i="3"/>
  <c r="AC263" i="3"/>
  <c r="AC264" i="3"/>
  <c r="AC265" i="3"/>
  <c r="AC266" i="3"/>
  <c r="AC267" i="3"/>
  <c r="AC268" i="3"/>
  <c r="AC269" i="3"/>
  <c r="AC270" i="3"/>
  <c r="AC271" i="3"/>
  <c r="AC272" i="3"/>
  <c r="AC273" i="3"/>
  <c r="AC274" i="3"/>
  <c r="AC275" i="3"/>
  <c r="AC276" i="3"/>
  <c r="AC277" i="3"/>
  <c r="AC278" i="3"/>
  <c r="AC279" i="3"/>
  <c r="AC280" i="3"/>
  <c r="AC281" i="3"/>
  <c r="AC282" i="3"/>
  <c r="AC283" i="3"/>
  <c r="AC284" i="3"/>
  <c r="AC285" i="3"/>
  <c r="AC286" i="3"/>
  <c r="AC287" i="3"/>
  <c r="AC288" i="3"/>
  <c r="AC289" i="3"/>
  <c r="AC290" i="3"/>
  <c r="AC291" i="3"/>
  <c r="AC292" i="3"/>
  <c r="AC293" i="3"/>
  <c r="AC294" i="3"/>
  <c r="AC295" i="3"/>
  <c r="AC296" i="3"/>
  <c r="AC297" i="3"/>
  <c r="AC298" i="3"/>
  <c r="AC299" i="3"/>
  <c r="AC300" i="3"/>
  <c r="AC301" i="3"/>
  <c r="AC302" i="3"/>
  <c r="AC303" i="3"/>
  <c r="AC304" i="3"/>
  <c r="AC305" i="3"/>
  <c r="AC306" i="3"/>
  <c r="AC307" i="3"/>
  <c r="AC308" i="3"/>
  <c r="AC309" i="3"/>
  <c r="AC310" i="3"/>
  <c r="AC311" i="3"/>
  <c r="AC312" i="3"/>
  <c r="AC313" i="3"/>
  <c r="AC314" i="3"/>
  <c r="AC315" i="3"/>
  <c r="AC316" i="3"/>
  <c r="AC317" i="3"/>
  <c r="AC318" i="3"/>
  <c r="AC319" i="3"/>
  <c r="AC320" i="3"/>
  <c r="AC321" i="3"/>
  <c r="AC322" i="3"/>
  <c r="AC323" i="3"/>
  <c r="AC324" i="3"/>
  <c r="AC325" i="3"/>
  <c r="AC326" i="3"/>
  <c r="AC327" i="3"/>
  <c r="AC328" i="3"/>
  <c r="AC329" i="3"/>
  <c r="AC330" i="3"/>
  <c r="AC331" i="3"/>
  <c r="AC332" i="3"/>
  <c r="AC333" i="3"/>
  <c r="AC334" i="3"/>
  <c r="AC335" i="3"/>
  <c r="AC336" i="3"/>
  <c r="AC337" i="3"/>
  <c r="AC338" i="3"/>
  <c r="AC339" i="3"/>
  <c r="AC340" i="3"/>
  <c r="AC341" i="3"/>
  <c r="AC342" i="3"/>
  <c r="AC343" i="3"/>
  <c r="AC344" i="3"/>
  <c r="AC345" i="3"/>
  <c r="AC346" i="3"/>
  <c r="AC347" i="3"/>
  <c r="AC348" i="3"/>
  <c r="AC349" i="3"/>
  <c r="AC350" i="3"/>
  <c r="AC351" i="3"/>
  <c r="AC352" i="3"/>
  <c r="AC353" i="3"/>
  <c r="AC354" i="3"/>
  <c r="AC355" i="3"/>
  <c r="AC356" i="3"/>
  <c r="AC357" i="3"/>
  <c r="AC358" i="3"/>
  <c r="AC359" i="3"/>
  <c r="AC360" i="3"/>
  <c r="AC361" i="3"/>
  <c r="AC362" i="3"/>
  <c r="AC363" i="3"/>
  <c r="AC364" i="3"/>
  <c r="AC365" i="3"/>
  <c r="AC366" i="3"/>
  <c r="AC367" i="3"/>
  <c r="AC368" i="3"/>
  <c r="AC369" i="3"/>
  <c r="AC370" i="3"/>
  <c r="AC371" i="3"/>
  <c r="AC372" i="3"/>
  <c r="AC373" i="3"/>
  <c r="AC374" i="3"/>
  <c r="AC375" i="3"/>
  <c r="AC376" i="3"/>
  <c r="AC377" i="3"/>
  <c r="AC378" i="3"/>
  <c r="AC379" i="3"/>
  <c r="AC380" i="3"/>
  <c r="AC381" i="3"/>
  <c r="AC382" i="3"/>
  <c r="AC383" i="3"/>
  <c r="AC384" i="3"/>
  <c r="AC385" i="3"/>
  <c r="AC386" i="3"/>
  <c r="AC387" i="3"/>
  <c r="AC388" i="3"/>
  <c r="AC389" i="3"/>
  <c r="AC390" i="3"/>
  <c r="AC391" i="3"/>
  <c r="AC392" i="3"/>
  <c r="AC393" i="3"/>
  <c r="AC394" i="3"/>
  <c r="AC395" i="3"/>
  <c r="AC396" i="3"/>
  <c r="AC397" i="3"/>
  <c r="AC398" i="3"/>
  <c r="AC399" i="3"/>
  <c r="AC400" i="3"/>
  <c r="AC401" i="3"/>
  <c r="AC402" i="3"/>
  <c r="AC403" i="3"/>
  <c r="AC404" i="3"/>
  <c r="AC405" i="3"/>
  <c r="AC406" i="3"/>
  <c r="AC407" i="3"/>
  <c r="AC408" i="3"/>
  <c r="AC409" i="3"/>
  <c r="AC410" i="3"/>
  <c r="AC411" i="3"/>
  <c r="AC412" i="3"/>
  <c r="AC413" i="3"/>
  <c r="AC414" i="3"/>
  <c r="AC415" i="3"/>
  <c r="AC416" i="3"/>
  <c r="AC417" i="3"/>
  <c r="AC418" i="3"/>
  <c r="AC419" i="3"/>
  <c r="AC420" i="3"/>
  <c r="AC421" i="3"/>
  <c r="AC422" i="3"/>
  <c r="AC423" i="3"/>
  <c r="AC424" i="3"/>
  <c r="AC425" i="3"/>
  <c r="AC426" i="3"/>
  <c r="AC427" i="3"/>
  <c r="AC428" i="3"/>
  <c r="AC429" i="3"/>
  <c r="AC430" i="3"/>
  <c r="AC431" i="3"/>
  <c r="AC432" i="3"/>
  <c r="AC433" i="3"/>
  <c r="AC434" i="3"/>
  <c r="AC435" i="3"/>
  <c r="AC436" i="3"/>
  <c r="AC437" i="3"/>
  <c r="AC438" i="3"/>
  <c r="AC439" i="3"/>
  <c r="AC440" i="3"/>
  <c r="AC441" i="3"/>
  <c r="AC442" i="3"/>
  <c r="AC443" i="3"/>
  <c r="AC444" i="3"/>
  <c r="AC445" i="3"/>
  <c r="AC446" i="3"/>
  <c r="AC447" i="3"/>
  <c r="AC448" i="3"/>
  <c r="AC449" i="3"/>
  <c r="AC450" i="3"/>
  <c r="AC451" i="3"/>
  <c r="AC452" i="3"/>
  <c r="AC453" i="3"/>
  <c r="AC454" i="3"/>
  <c r="AC455" i="3"/>
  <c r="AC456" i="3"/>
  <c r="AC457" i="3"/>
  <c r="AC458" i="3"/>
  <c r="AC459" i="3"/>
  <c r="AC460" i="3"/>
  <c r="AC461" i="3"/>
  <c r="AC462" i="3"/>
  <c r="AC463" i="3"/>
  <c r="AC464" i="3"/>
  <c r="AC465" i="3"/>
  <c r="AC466" i="3"/>
  <c r="AC467" i="3"/>
  <c r="AC468" i="3"/>
  <c r="AC469" i="3"/>
  <c r="AC470" i="3"/>
  <c r="AC471" i="3"/>
  <c r="AC472" i="3"/>
  <c r="AC473" i="3"/>
  <c r="AC474" i="3"/>
  <c r="AC475" i="3"/>
  <c r="AC476" i="3"/>
  <c r="AC477" i="3"/>
  <c r="AC478" i="3"/>
  <c r="AC479" i="3"/>
  <c r="AC480" i="3"/>
  <c r="AC481" i="3"/>
  <c r="AC482" i="3"/>
  <c r="AC483" i="3"/>
  <c r="AC484" i="3"/>
  <c r="AC485" i="3"/>
  <c r="AC486" i="3"/>
  <c r="AC487" i="3"/>
  <c r="AC488" i="3"/>
  <c r="AC489" i="3"/>
  <c r="AC490" i="3"/>
  <c r="AC491" i="3"/>
  <c r="AC492" i="3"/>
  <c r="AC493" i="3"/>
  <c r="AC494" i="3"/>
  <c r="AC495" i="3"/>
  <c r="AC496" i="3"/>
  <c r="AC497" i="3"/>
  <c r="AC498" i="3"/>
  <c r="AC499" i="3"/>
  <c r="AC500" i="3"/>
  <c r="AC501" i="3"/>
  <c r="AC502" i="3"/>
  <c r="AC503" i="3"/>
  <c r="AC504" i="3"/>
  <c r="AC505" i="3"/>
  <c r="AC506" i="3"/>
  <c r="AC507" i="3"/>
  <c r="AC508" i="3"/>
  <c r="AC509" i="3"/>
  <c r="AC510" i="3"/>
  <c r="AC511" i="3"/>
  <c r="AC512" i="3"/>
  <c r="AC513" i="3"/>
  <c r="AC514" i="3"/>
  <c r="AC515" i="3"/>
  <c r="AC516" i="3"/>
  <c r="AC517" i="3"/>
  <c r="AC518" i="3"/>
  <c r="AC519" i="3"/>
  <c r="AC520" i="3"/>
  <c r="AC521" i="3"/>
  <c r="AC522" i="3"/>
  <c r="AC523" i="3"/>
  <c r="AC524" i="3"/>
  <c r="AC525" i="3"/>
  <c r="AC526" i="3"/>
  <c r="AC527" i="3"/>
  <c r="AC528" i="3"/>
  <c r="AC529" i="3"/>
  <c r="AC530" i="3"/>
  <c r="AC531" i="3"/>
  <c r="AC532" i="3"/>
  <c r="AC533" i="3"/>
  <c r="AC534" i="3"/>
  <c r="AC535" i="3"/>
  <c r="AC536" i="3"/>
  <c r="AC537" i="3"/>
  <c r="AC538" i="3"/>
  <c r="AC539" i="3"/>
  <c r="AC540" i="3"/>
  <c r="AC541" i="3"/>
  <c r="AC542" i="3"/>
  <c r="AC543" i="3"/>
  <c r="AC544" i="3"/>
  <c r="AC545" i="3"/>
  <c r="AC546" i="3"/>
  <c r="AC547" i="3"/>
  <c r="AC548" i="3"/>
  <c r="AC549" i="3"/>
  <c r="AC550" i="3"/>
  <c r="AC551" i="3"/>
  <c r="AC552" i="3"/>
  <c r="AC553" i="3"/>
  <c r="AC554" i="3"/>
  <c r="AC555" i="3"/>
  <c r="AC556" i="3"/>
  <c r="AC557" i="3"/>
  <c r="AC558" i="3"/>
  <c r="AC559" i="3"/>
  <c r="AC560" i="3"/>
  <c r="AC561" i="3"/>
  <c r="AC562" i="3"/>
  <c r="AC563" i="3"/>
  <c r="AC564" i="3"/>
  <c r="AC565" i="3"/>
  <c r="AC566" i="3"/>
  <c r="AC567" i="3"/>
  <c r="AC568" i="3"/>
  <c r="AC569" i="3"/>
  <c r="AC570" i="3"/>
  <c r="AC571" i="3"/>
  <c r="AC572" i="3"/>
  <c r="AC573" i="3"/>
  <c r="AC574" i="3"/>
  <c r="AC575" i="3"/>
  <c r="AC576" i="3"/>
  <c r="AC577" i="3"/>
  <c r="AC578" i="3"/>
  <c r="AC579" i="3"/>
  <c r="AC580" i="3"/>
  <c r="AC581" i="3"/>
  <c r="AC582" i="3"/>
  <c r="AC583" i="3"/>
  <c r="AC584" i="3"/>
  <c r="AC585" i="3"/>
  <c r="AC586" i="3"/>
  <c r="AC587" i="3"/>
  <c r="AC588" i="3"/>
  <c r="AC589" i="3"/>
  <c r="AC590" i="3"/>
  <c r="AC591" i="3"/>
  <c r="AC592" i="3"/>
  <c r="AC593" i="3"/>
  <c r="AC594" i="3"/>
  <c r="AC595" i="3"/>
  <c r="AC596" i="3"/>
  <c r="AC597" i="3"/>
  <c r="AC598" i="3"/>
  <c r="AC599" i="3"/>
  <c r="AC600" i="3"/>
  <c r="AC601" i="3"/>
  <c r="AC602" i="3"/>
  <c r="AC603" i="3"/>
  <c r="AC604" i="3"/>
  <c r="AC605" i="3"/>
  <c r="AC606" i="3"/>
  <c r="AC607" i="3"/>
  <c r="AC608" i="3"/>
  <c r="AC609" i="3"/>
  <c r="AC610" i="3"/>
  <c r="AC611" i="3"/>
  <c r="AC612" i="3"/>
  <c r="AC613" i="3"/>
  <c r="AC614" i="3"/>
  <c r="AC615" i="3"/>
  <c r="AC616" i="3"/>
  <c r="AC617" i="3"/>
  <c r="AC618" i="3"/>
  <c r="AC619" i="3"/>
  <c r="AC620" i="3"/>
  <c r="AC621" i="3"/>
  <c r="AC622" i="3"/>
  <c r="AC623" i="3"/>
  <c r="AC624" i="3"/>
  <c r="AC625" i="3"/>
  <c r="AC626" i="3"/>
  <c r="AC627" i="3"/>
  <c r="AC628" i="3"/>
  <c r="AC629" i="3"/>
  <c r="AC630" i="3"/>
  <c r="AC631" i="3"/>
  <c r="AC632" i="3"/>
  <c r="AC633" i="3"/>
  <c r="AC2" i="3"/>
  <c r="H4" i="3"/>
  <c r="I4" i="3" s="1"/>
  <c r="H5" i="3"/>
  <c r="I5" i="3" s="1"/>
  <c r="H6" i="3"/>
  <c r="I6" i="3" s="1"/>
  <c r="H7" i="3"/>
  <c r="I7" i="3" s="1"/>
  <c r="H8" i="3"/>
  <c r="I8" i="3" s="1"/>
  <c r="H10" i="3"/>
  <c r="I10" i="3" s="1"/>
  <c r="H11" i="3"/>
  <c r="I11" i="3" s="1"/>
  <c r="H12" i="3"/>
  <c r="I12" i="3" s="1"/>
  <c r="H13" i="3"/>
  <c r="I13" i="3" s="1"/>
  <c r="H14" i="3"/>
  <c r="I14" i="3" s="1"/>
  <c r="H15" i="3"/>
  <c r="I15" i="3" s="1"/>
  <c r="H16" i="3"/>
  <c r="I16" i="3" s="1"/>
  <c r="H18" i="3"/>
  <c r="I18" i="3" s="1"/>
  <c r="H19" i="3"/>
  <c r="I19" i="3" s="1"/>
  <c r="H20" i="3"/>
  <c r="I20" i="3" s="1"/>
  <c r="H23" i="3"/>
  <c r="I23" i="3" s="1"/>
  <c r="H24" i="3"/>
  <c r="I24" i="3" s="1"/>
  <c r="H25" i="3"/>
  <c r="I25" i="3" s="1"/>
  <c r="H26" i="3"/>
  <c r="I26" i="3" s="1"/>
  <c r="H27" i="3"/>
  <c r="I27" i="3" s="1"/>
  <c r="H28" i="3"/>
  <c r="I28" i="3" s="1"/>
  <c r="H29" i="3"/>
  <c r="I29" i="3" s="1"/>
  <c r="H30" i="3"/>
  <c r="I30" i="3" s="1"/>
  <c r="H31" i="3"/>
  <c r="I31" i="3" s="1"/>
  <c r="H32" i="3"/>
  <c r="I32" i="3" s="1"/>
  <c r="H33" i="3"/>
  <c r="I33" i="3" s="1"/>
  <c r="H34" i="3"/>
  <c r="I34" i="3" s="1"/>
  <c r="H35" i="3"/>
  <c r="I35" i="3" s="1"/>
  <c r="H37" i="3"/>
  <c r="I37" i="3" s="1"/>
  <c r="H38" i="3"/>
  <c r="I38" i="3" s="1"/>
  <c r="H39" i="3"/>
  <c r="I39" i="3" s="1"/>
  <c r="H40" i="3"/>
  <c r="I40" i="3" s="1"/>
  <c r="H41" i="3"/>
  <c r="I41" i="3" s="1"/>
  <c r="H42" i="3"/>
  <c r="I42" i="3" s="1"/>
  <c r="H43" i="3"/>
  <c r="I43" i="3" s="1"/>
  <c r="H44" i="3"/>
  <c r="I44" i="3" s="1"/>
  <c r="H45" i="3"/>
  <c r="I45" i="3" s="1"/>
  <c r="H46" i="3"/>
  <c r="I46" i="3" s="1"/>
  <c r="H47" i="3"/>
  <c r="I47" i="3" s="1"/>
  <c r="H48" i="3"/>
  <c r="I48" i="3" s="1"/>
  <c r="H49" i="3"/>
  <c r="I49" i="3" s="1"/>
  <c r="H50" i="3"/>
  <c r="I50" i="3" s="1"/>
  <c r="H51" i="3"/>
  <c r="I51" i="3" s="1"/>
  <c r="H52" i="3"/>
  <c r="I52" i="3" s="1"/>
  <c r="H53" i="3"/>
  <c r="I53" i="3" s="1"/>
  <c r="H54" i="3"/>
  <c r="I54" i="3" s="1"/>
  <c r="H55" i="3"/>
  <c r="I55" i="3" s="1"/>
  <c r="H56" i="3"/>
  <c r="I56" i="3" s="1"/>
  <c r="H57" i="3"/>
  <c r="I57" i="3" s="1"/>
  <c r="H58" i="3"/>
  <c r="I58" i="3" s="1"/>
  <c r="H59" i="3"/>
  <c r="I59" i="3" s="1"/>
  <c r="H60" i="3"/>
  <c r="I60" i="3" s="1"/>
  <c r="H61" i="3"/>
  <c r="I61" i="3" s="1"/>
  <c r="H62" i="3"/>
  <c r="I62" i="3" s="1"/>
  <c r="H63" i="3"/>
  <c r="I63" i="3" s="1"/>
  <c r="H64" i="3"/>
  <c r="I64" i="3" s="1"/>
  <c r="H65" i="3"/>
  <c r="I65" i="3" s="1"/>
  <c r="H66" i="3"/>
  <c r="I66" i="3" s="1"/>
  <c r="H67" i="3"/>
  <c r="I67" i="3" s="1"/>
  <c r="H68" i="3"/>
  <c r="I68" i="3" s="1"/>
  <c r="H69" i="3"/>
  <c r="I69" i="3" s="1"/>
  <c r="H70" i="3"/>
  <c r="I70" i="3" s="1"/>
  <c r="H71" i="3"/>
  <c r="I71" i="3" s="1"/>
  <c r="H72" i="3"/>
  <c r="I72" i="3" s="1"/>
  <c r="H73" i="3"/>
  <c r="I73" i="3" s="1"/>
  <c r="H74" i="3"/>
  <c r="I74" i="3" s="1"/>
  <c r="H75" i="3"/>
  <c r="I75" i="3" s="1"/>
  <c r="H77" i="3"/>
  <c r="I77" i="3" s="1"/>
  <c r="H78" i="3"/>
  <c r="I78" i="3" s="1"/>
  <c r="H80" i="3"/>
  <c r="I80" i="3" s="1"/>
  <c r="H81" i="3"/>
  <c r="I81" i="3" s="1"/>
  <c r="H82" i="3"/>
  <c r="I82" i="3" s="1"/>
  <c r="H83" i="3"/>
  <c r="I83" i="3" s="1"/>
  <c r="H84" i="3"/>
  <c r="I84" i="3" s="1"/>
  <c r="H86" i="3"/>
  <c r="I86" i="3" s="1"/>
  <c r="H87" i="3"/>
  <c r="I87" i="3" s="1"/>
  <c r="H88" i="3"/>
  <c r="I88" i="3" s="1"/>
  <c r="H89" i="3"/>
  <c r="I89" i="3" s="1"/>
  <c r="H90" i="3"/>
  <c r="I90" i="3" s="1"/>
  <c r="H91" i="3"/>
  <c r="I91" i="3" s="1"/>
  <c r="H92" i="3"/>
  <c r="I92" i="3" s="1"/>
  <c r="H93" i="3"/>
  <c r="I93" i="3" s="1"/>
  <c r="H95" i="3"/>
  <c r="I95" i="3" s="1"/>
  <c r="H96" i="3"/>
  <c r="I96" i="3" s="1"/>
  <c r="H97" i="3"/>
  <c r="I97" i="3" s="1"/>
  <c r="H98" i="3"/>
  <c r="I98" i="3" s="1"/>
  <c r="H100" i="3"/>
  <c r="I100" i="3" s="1"/>
  <c r="H101" i="3"/>
  <c r="I101" i="3" s="1"/>
  <c r="H102" i="3"/>
  <c r="I102" i="3" s="1"/>
  <c r="H103" i="3"/>
  <c r="I103" i="3" s="1"/>
  <c r="H104" i="3"/>
  <c r="I104" i="3" s="1"/>
  <c r="H105" i="3"/>
  <c r="I105" i="3" s="1"/>
  <c r="H106" i="3"/>
  <c r="I106" i="3" s="1"/>
  <c r="H107" i="3"/>
  <c r="I107" i="3" s="1"/>
  <c r="H108" i="3"/>
  <c r="I108" i="3" s="1"/>
  <c r="H109" i="3"/>
  <c r="I109" i="3" s="1"/>
  <c r="H110" i="3"/>
  <c r="I110" i="3" s="1"/>
  <c r="H111" i="3"/>
  <c r="I111" i="3" s="1"/>
  <c r="H112" i="3"/>
  <c r="I112" i="3" s="1"/>
  <c r="H113" i="3"/>
  <c r="I113" i="3" s="1"/>
  <c r="H114" i="3"/>
  <c r="I114" i="3" s="1"/>
  <c r="H115" i="3"/>
  <c r="I115" i="3" s="1"/>
  <c r="H116" i="3"/>
  <c r="I116" i="3" s="1"/>
  <c r="H117" i="3"/>
  <c r="I117" i="3" s="1"/>
  <c r="H118" i="3"/>
  <c r="I118" i="3" s="1"/>
  <c r="H119" i="3"/>
  <c r="I119" i="3" s="1"/>
  <c r="H120" i="3"/>
  <c r="I120" i="3" s="1"/>
  <c r="H121" i="3"/>
  <c r="I121" i="3" s="1"/>
  <c r="H122" i="3"/>
  <c r="I122" i="3" s="1"/>
  <c r="H123" i="3"/>
  <c r="I123" i="3" s="1"/>
  <c r="H124" i="3"/>
  <c r="I124" i="3" s="1"/>
  <c r="H125" i="3"/>
  <c r="I125" i="3" s="1"/>
  <c r="H126" i="3"/>
  <c r="I126" i="3" s="1"/>
  <c r="H127" i="3"/>
  <c r="I127" i="3" s="1"/>
  <c r="H128" i="3"/>
  <c r="I128" i="3" s="1"/>
  <c r="H129" i="3"/>
  <c r="I129" i="3" s="1"/>
  <c r="H130" i="3"/>
  <c r="I130" i="3" s="1"/>
  <c r="H131" i="3"/>
  <c r="I131" i="3" s="1"/>
  <c r="H132" i="3"/>
  <c r="I132" i="3" s="1"/>
  <c r="H133" i="3"/>
  <c r="I133" i="3" s="1"/>
  <c r="H134" i="3"/>
  <c r="I134" i="3" s="1"/>
  <c r="H135" i="3"/>
  <c r="I135" i="3" s="1"/>
  <c r="H136" i="3"/>
  <c r="I136" i="3" s="1"/>
  <c r="H137" i="3"/>
  <c r="I137" i="3" s="1"/>
  <c r="H138" i="3"/>
  <c r="I138" i="3" s="1"/>
  <c r="H139" i="3"/>
  <c r="I139" i="3" s="1"/>
  <c r="H140" i="3"/>
  <c r="I140" i="3" s="1"/>
  <c r="H141" i="3"/>
  <c r="I141" i="3" s="1"/>
  <c r="H142" i="3"/>
  <c r="I142" i="3" s="1"/>
  <c r="H143" i="3"/>
  <c r="I143" i="3" s="1"/>
  <c r="H144" i="3"/>
  <c r="I144" i="3" s="1"/>
  <c r="H145" i="3"/>
  <c r="I145" i="3" s="1"/>
  <c r="H146" i="3"/>
  <c r="I146" i="3" s="1"/>
  <c r="H148" i="3"/>
  <c r="I148" i="3" s="1"/>
  <c r="H149" i="3"/>
  <c r="I149" i="3" s="1"/>
  <c r="H150" i="3"/>
  <c r="I150" i="3" s="1"/>
  <c r="H151" i="3"/>
  <c r="I151" i="3" s="1"/>
  <c r="H152" i="3"/>
  <c r="I152" i="3" s="1"/>
  <c r="H153" i="3"/>
  <c r="I153" i="3" s="1"/>
  <c r="H155" i="3"/>
  <c r="I155" i="3" s="1"/>
  <c r="H156" i="3"/>
  <c r="I156" i="3" s="1"/>
  <c r="H157" i="3"/>
  <c r="I157" i="3" s="1"/>
  <c r="H158" i="3"/>
  <c r="I158" i="3" s="1"/>
  <c r="H159" i="3"/>
  <c r="I159" i="3" s="1"/>
  <c r="H160" i="3"/>
  <c r="I160" i="3" s="1"/>
  <c r="H161" i="3"/>
  <c r="I161" i="3" s="1"/>
  <c r="H162" i="3"/>
  <c r="I162" i="3" s="1"/>
  <c r="H163" i="3"/>
  <c r="I163" i="3" s="1"/>
  <c r="H164" i="3"/>
  <c r="I164" i="3" s="1"/>
  <c r="H165" i="3"/>
  <c r="I165" i="3" s="1"/>
  <c r="H166" i="3"/>
  <c r="I166" i="3" s="1"/>
  <c r="H167" i="3"/>
  <c r="I167" i="3" s="1"/>
  <c r="H168" i="3"/>
  <c r="I168" i="3" s="1"/>
  <c r="H169" i="3"/>
  <c r="I169" i="3" s="1"/>
  <c r="H170" i="3"/>
  <c r="I170" i="3" s="1"/>
  <c r="H171" i="3"/>
  <c r="I171" i="3" s="1"/>
  <c r="H172" i="3"/>
  <c r="I172" i="3" s="1"/>
  <c r="H173" i="3"/>
  <c r="I173" i="3" s="1"/>
  <c r="H174" i="3"/>
  <c r="I174" i="3" s="1"/>
  <c r="H176" i="3"/>
  <c r="I176" i="3" s="1"/>
  <c r="H177" i="3"/>
  <c r="I177" i="3" s="1"/>
  <c r="H178" i="3"/>
  <c r="I178" i="3" s="1"/>
  <c r="H179" i="3"/>
  <c r="I179" i="3" s="1"/>
  <c r="H180" i="3"/>
  <c r="I180" i="3" s="1"/>
  <c r="H181" i="3"/>
  <c r="I181" i="3" s="1"/>
  <c r="H182" i="3"/>
  <c r="I182" i="3" s="1"/>
  <c r="H183" i="3"/>
  <c r="I183" i="3" s="1"/>
  <c r="H184" i="3"/>
  <c r="I184" i="3" s="1"/>
  <c r="H185" i="3"/>
  <c r="I185" i="3" s="1"/>
  <c r="H186" i="3"/>
  <c r="I186" i="3" s="1"/>
  <c r="H187" i="3"/>
  <c r="I187" i="3" s="1"/>
  <c r="H188" i="3"/>
  <c r="I188" i="3" s="1"/>
  <c r="H189" i="3"/>
  <c r="I189" i="3" s="1"/>
  <c r="H190" i="3"/>
  <c r="I190" i="3" s="1"/>
  <c r="H191" i="3"/>
  <c r="I191" i="3" s="1"/>
  <c r="H192" i="3"/>
  <c r="I192" i="3" s="1"/>
  <c r="H193" i="3"/>
  <c r="I193" i="3" s="1"/>
  <c r="H194" i="3"/>
  <c r="I194" i="3" s="1"/>
  <c r="H195" i="3"/>
  <c r="I195" i="3" s="1"/>
  <c r="H196" i="3"/>
  <c r="I196" i="3" s="1"/>
  <c r="H197" i="3"/>
  <c r="I197" i="3" s="1"/>
  <c r="H198" i="3"/>
  <c r="I198" i="3" s="1"/>
  <c r="H199" i="3"/>
  <c r="I199" i="3" s="1"/>
  <c r="H200" i="3"/>
  <c r="I200" i="3" s="1"/>
  <c r="H201" i="3"/>
  <c r="I201" i="3" s="1"/>
  <c r="H202" i="3"/>
  <c r="I202" i="3" s="1"/>
  <c r="H203" i="3"/>
  <c r="I203" i="3" s="1"/>
  <c r="H204" i="3"/>
  <c r="I204" i="3" s="1"/>
  <c r="H205" i="3"/>
  <c r="I205" i="3" s="1"/>
  <c r="H206" i="3"/>
  <c r="I206" i="3" s="1"/>
  <c r="H207" i="3"/>
  <c r="I207" i="3" s="1"/>
  <c r="H208" i="3"/>
  <c r="I208" i="3" s="1"/>
  <c r="H209" i="3"/>
  <c r="I209" i="3" s="1"/>
  <c r="H210" i="3"/>
  <c r="I210" i="3" s="1"/>
  <c r="H211" i="3"/>
  <c r="I211" i="3" s="1"/>
  <c r="H212" i="3"/>
  <c r="I212" i="3" s="1"/>
  <c r="H213" i="3"/>
  <c r="I213" i="3" s="1"/>
  <c r="H214" i="3"/>
  <c r="I214" i="3" s="1"/>
  <c r="H215" i="3"/>
  <c r="I215" i="3" s="1"/>
  <c r="H216" i="3"/>
  <c r="I216" i="3" s="1"/>
  <c r="H217" i="3"/>
  <c r="I217" i="3" s="1"/>
  <c r="H218" i="3"/>
  <c r="I218" i="3" s="1"/>
  <c r="H220" i="3"/>
  <c r="I220" i="3" s="1"/>
  <c r="H221" i="3"/>
  <c r="I221" i="3" s="1"/>
  <c r="H222" i="3"/>
  <c r="I222" i="3" s="1"/>
  <c r="H223" i="3"/>
  <c r="I223" i="3" s="1"/>
  <c r="H224" i="3"/>
  <c r="I224" i="3" s="1"/>
  <c r="H225" i="3"/>
  <c r="I225" i="3" s="1"/>
  <c r="H226" i="3"/>
  <c r="I226" i="3" s="1"/>
  <c r="H227" i="3"/>
  <c r="I227" i="3" s="1"/>
  <c r="H228" i="3"/>
  <c r="I228" i="3" s="1"/>
  <c r="H229" i="3"/>
  <c r="I229" i="3" s="1"/>
  <c r="H230" i="3"/>
  <c r="I230" i="3" s="1"/>
  <c r="H231" i="3"/>
  <c r="I231" i="3" s="1"/>
  <c r="H232" i="3"/>
  <c r="I232" i="3" s="1"/>
  <c r="H233" i="3"/>
  <c r="I233" i="3" s="1"/>
  <c r="H234" i="3"/>
  <c r="I234" i="3" s="1"/>
  <c r="H235" i="3"/>
  <c r="I235" i="3" s="1"/>
  <c r="H236" i="3"/>
  <c r="I236" i="3" s="1"/>
  <c r="H237" i="3"/>
  <c r="I237" i="3" s="1"/>
  <c r="H238" i="3"/>
  <c r="I238" i="3" s="1"/>
  <c r="H239" i="3"/>
  <c r="I239" i="3" s="1"/>
  <c r="H240" i="3"/>
  <c r="I240" i="3" s="1"/>
  <c r="H241" i="3"/>
  <c r="I241" i="3" s="1"/>
  <c r="H242" i="3"/>
  <c r="I242" i="3" s="1"/>
  <c r="H243" i="3"/>
  <c r="I243" i="3" s="1"/>
  <c r="H244" i="3"/>
  <c r="I244" i="3" s="1"/>
  <c r="H245" i="3"/>
  <c r="I245" i="3" s="1"/>
  <c r="H246" i="3"/>
  <c r="I246" i="3" s="1"/>
  <c r="H247" i="3"/>
  <c r="I247" i="3" s="1"/>
  <c r="H248" i="3"/>
  <c r="I248" i="3" s="1"/>
  <c r="H249" i="3"/>
  <c r="I249" i="3" s="1"/>
  <c r="H250" i="3"/>
  <c r="I250" i="3" s="1"/>
  <c r="H251" i="3"/>
  <c r="I251" i="3" s="1"/>
  <c r="H252" i="3"/>
  <c r="I252" i="3" s="1"/>
  <c r="H253" i="3"/>
  <c r="I253" i="3" s="1"/>
  <c r="H254" i="3"/>
  <c r="I254" i="3" s="1"/>
  <c r="H255" i="3"/>
  <c r="I255" i="3" s="1"/>
  <c r="H256" i="3"/>
  <c r="I256" i="3" s="1"/>
  <c r="H257" i="3"/>
  <c r="I257" i="3" s="1"/>
  <c r="H258" i="3"/>
  <c r="I258" i="3" s="1"/>
  <c r="H259" i="3"/>
  <c r="I259" i="3" s="1"/>
  <c r="H260" i="3"/>
  <c r="I260" i="3" s="1"/>
  <c r="H261" i="3"/>
  <c r="I261" i="3" s="1"/>
  <c r="H262" i="3"/>
  <c r="I262" i="3" s="1"/>
  <c r="H263" i="3"/>
  <c r="I263" i="3" s="1"/>
  <c r="H264" i="3"/>
  <c r="I264" i="3" s="1"/>
  <c r="H265" i="3"/>
  <c r="I265" i="3" s="1"/>
  <c r="H266" i="3"/>
  <c r="I266" i="3" s="1"/>
  <c r="H267" i="3"/>
  <c r="I267" i="3" s="1"/>
  <c r="H268" i="3"/>
  <c r="I268" i="3" s="1"/>
  <c r="H270" i="3"/>
  <c r="I270" i="3" s="1"/>
  <c r="H271" i="3"/>
  <c r="I271" i="3" s="1"/>
  <c r="H272" i="3"/>
  <c r="I272" i="3" s="1"/>
  <c r="H273" i="3"/>
  <c r="I273" i="3" s="1"/>
  <c r="H274" i="3"/>
  <c r="I274" i="3" s="1"/>
  <c r="H275" i="3"/>
  <c r="I275" i="3" s="1"/>
  <c r="H276" i="3"/>
  <c r="I276" i="3" s="1"/>
  <c r="H277" i="3"/>
  <c r="I277" i="3" s="1"/>
  <c r="H278" i="3"/>
  <c r="I278" i="3" s="1"/>
  <c r="H279" i="3"/>
  <c r="I279" i="3" s="1"/>
  <c r="H280" i="3"/>
  <c r="I280" i="3" s="1"/>
  <c r="H281" i="3"/>
  <c r="I281" i="3" s="1"/>
  <c r="H282" i="3"/>
  <c r="I282" i="3" s="1"/>
  <c r="H283" i="3"/>
  <c r="I283" i="3" s="1"/>
  <c r="H284" i="3"/>
  <c r="I284" i="3" s="1"/>
  <c r="H285" i="3"/>
  <c r="I285" i="3" s="1"/>
  <c r="H286" i="3"/>
  <c r="I286" i="3" s="1"/>
  <c r="H287" i="3"/>
  <c r="I287" i="3" s="1"/>
  <c r="H288" i="3"/>
  <c r="I288" i="3" s="1"/>
  <c r="H289" i="3"/>
  <c r="I289" i="3" s="1"/>
  <c r="H290" i="3"/>
  <c r="I290" i="3" s="1"/>
  <c r="H291" i="3"/>
  <c r="I291" i="3" s="1"/>
  <c r="H293" i="3"/>
  <c r="I293" i="3" s="1"/>
  <c r="H294" i="3"/>
  <c r="I294" i="3" s="1"/>
  <c r="H295" i="3"/>
  <c r="I295" i="3" s="1"/>
  <c r="H296" i="3"/>
  <c r="I296" i="3" s="1"/>
  <c r="H297" i="3"/>
  <c r="I297" i="3" s="1"/>
  <c r="H298" i="3"/>
  <c r="I298" i="3" s="1"/>
  <c r="H299" i="3"/>
  <c r="I299" i="3" s="1"/>
  <c r="H300" i="3"/>
  <c r="I300" i="3" s="1"/>
  <c r="H301" i="3"/>
  <c r="I301" i="3" s="1"/>
  <c r="H302" i="3"/>
  <c r="I302" i="3" s="1"/>
  <c r="H303" i="3"/>
  <c r="I303" i="3" s="1"/>
  <c r="H304" i="3"/>
  <c r="I304" i="3" s="1"/>
  <c r="H305" i="3"/>
  <c r="I305" i="3" s="1"/>
  <c r="H306" i="3"/>
  <c r="I306" i="3" s="1"/>
  <c r="H307" i="3"/>
  <c r="I307" i="3" s="1"/>
  <c r="H308" i="3"/>
  <c r="I308" i="3" s="1"/>
  <c r="H309" i="3"/>
  <c r="I309" i="3" s="1"/>
  <c r="H310" i="3"/>
  <c r="I310" i="3" s="1"/>
  <c r="H311" i="3"/>
  <c r="I311" i="3" s="1"/>
  <c r="H312" i="3"/>
  <c r="I312" i="3" s="1"/>
  <c r="H313" i="3"/>
  <c r="I313" i="3" s="1"/>
  <c r="H315" i="3"/>
  <c r="I315" i="3" s="1"/>
  <c r="H316" i="3"/>
  <c r="I316" i="3" s="1"/>
  <c r="H317" i="3"/>
  <c r="I317" i="3" s="1"/>
  <c r="H318" i="3"/>
  <c r="I318" i="3" s="1"/>
  <c r="H319" i="3"/>
  <c r="I319" i="3" s="1"/>
  <c r="H320" i="3"/>
  <c r="I320" i="3" s="1"/>
  <c r="H321" i="3"/>
  <c r="I321" i="3" s="1"/>
  <c r="H322" i="3"/>
  <c r="I322" i="3" s="1"/>
  <c r="H325" i="3"/>
  <c r="I325" i="3" s="1"/>
  <c r="H326" i="3"/>
  <c r="I326" i="3" s="1"/>
  <c r="H327" i="3"/>
  <c r="I327" i="3" s="1"/>
  <c r="H328" i="3"/>
  <c r="I328" i="3" s="1"/>
  <c r="H329" i="3"/>
  <c r="I329" i="3" s="1"/>
  <c r="H331" i="3"/>
  <c r="I331" i="3" s="1"/>
  <c r="H332" i="3"/>
  <c r="I332" i="3" s="1"/>
  <c r="H333" i="3"/>
  <c r="I333" i="3" s="1"/>
  <c r="H334" i="3"/>
  <c r="I334" i="3" s="1"/>
  <c r="H335" i="3"/>
  <c r="I335" i="3" s="1"/>
  <c r="H336" i="3"/>
  <c r="I336" i="3" s="1"/>
  <c r="H337" i="3"/>
  <c r="I337" i="3" s="1"/>
  <c r="H338" i="3"/>
  <c r="I338" i="3" s="1"/>
  <c r="H339" i="3"/>
  <c r="I339" i="3" s="1"/>
  <c r="H340" i="3"/>
  <c r="I340" i="3" s="1"/>
  <c r="H341" i="3"/>
  <c r="I341" i="3" s="1"/>
  <c r="H342" i="3"/>
  <c r="I342" i="3" s="1"/>
  <c r="H344" i="3"/>
  <c r="I344" i="3" s="1"/>
  <c r="H345" i="3"/>
  <c r="I345" i="3" s="1"/>
  <c r="H347" i="3"/>
  <c r="I347" i="3" s="1"/>
  <c r="H348" i="3"/>
  <c r="I348" i="3" s="1"/>
  <c r="H349" i="3"/>
  <c r="I349" i="3" s="1"/>
  <c r="H350" i="3"/>
  <c r="I350" i="3" s="1"/>
  <c r="H351" i="3"/>
  <c r="I351" i="3" s="1"/>
  <c r="H352" i="3"/>
  <c r="I352" i="3" s="1"/>
  <c r="H353" i="3"/>
  <c r="I353" i="3" s="1"/>
  <c r="H354" i="3"/>
  <c r="I354" i="3" s="1"/>
  <c r="H355" i="3"/>
  <c r="I355" i="3" s="1"/>
  <c r="H356" i="3"/>
  <c r="I356" i="3" s="1"/>
  <c r="H357" i="3"/>
  <c r="I357" i="3" s="1"/>
  <c r="H358" i="3"/>
  <c r="I358" i="3" s="1"/>
  <c r="H359" i="3"/>
  <c r="I359" i="3" s="1"/>
  <c r="H360" i="3"/>
  <c r="I360" i="3" s="1"/>
  <c r="H361" i="3"/>
  <c r="I361" i="3" s="1"/>
  <c r="H362" i="3"/>
  <c r="I362" i="3" s="1"/>
  <c r="H363" i="3"/>
  <c r="I363" i="3" s="1"/>
  <c r="H364" i="3"/>
  <c r="I364" i="3" s="1"/>
  <c r="H365" i="3"/>
  <c r="I365" i="3" s="1"/>
  <c r="H366" i="3"/>
  <c r="I366" i="3" s="1"/>
  <c r="H367" i="3"/>
  <c r="I367" i="3" s="1"/>
  <c r="H368" i="3"/>
  <c r="I368" i="3" s="1"/>
  <c r="H369" i="3"/>
  <c r="I369" i="3" s="1"/>
  <c r="H370" i="3"/>
  <c r="I370" i="3" s="1"/>
  <c r="H371" i="3"/>
  <c r="I371" i="3" s="1"/>
  <c r="H372" i="3"/>
  <c r="I372" i="3" s="1"/>
  <c r="H373" i="3"/>
  <c r="I373" i="3" s="1"/>
  <c r="H374" i="3"/>
  <c r="I374" i="3" s="1"/>
  <c r="H375" i="3"/>
  <c r="I375" i="3" s="1"/>
  <c r="H376" i="3"/>
  <c r="I376" i="3" s="1"/>
  <c r="H377" i="3"/>
  <c r="I377" i="3" s="1"/>
  <c r="H378" i="3"/>
  <c r="I378" i="3" s="1"/>
  <c r="H379" i="3"/>
  <c r="I379" i="3" s="1"/>
  <c r="H380" i="3"/>
  <c r="I380" i="3" s="1"/>
  <c r="H381" i="3"/>
  <c r="I381" i="3" s="1"/>
  <c r="H382" i="3"/>
  <c r="I382" i="3" s="1"/>
  <c r="H383" i="3"/>
  <c r="I383" i="3" s="1"/>
  <c r="H384" i="3"/>
  <c r="I384" i="3" s="1"/>
  <c r="H385" i="3"/>
  <c r="I385" i="3" s="1"/>
  <c r="H386" i="3"/>
  <c r="I386" i="3" s="1"/>
  <c r="H387" i="3"/>
  <c r="I387" i="3" s="1"/>
  <c r="H388" i="3"/>
  <c r="I388" i="3" s="1"/>
  <c r="H389" i="3"/>
  <c r="I389" i="3" s="1"/>
  <c r="H390" i="3"/>
  <c r="I390" i="3" s="1"/>
  <c r="H391" i="3"/>
  <c r="I391" i="3" s="1"/>
  <c r="H392" i="3"/>
  <c r="I392" i="3" s="1"/>
  <c r="H393" i="3"/>
  <c r="I393" i="3" s="1"/>
  <c r="H394" i="3"/>
  <c r="I394" i="3" s="1"/>
  <c r="H395" i="3"/>
  <c r="I395" i="3" s="1"/>
  <c r="H396" i="3"/>
  <c r="I396" i="3" s="1"/>
  <c r="H397" i="3"/>
  <c r="I397" i="3" s="1"/>
  <c r="H398" i="3"/>
  <c r="I398" i="3" s="1"/>
  <c r="H399" i="3"/>
  <c r="I399" i="3" s="1"/>
  <c r="H400" i="3"/>
  <c r="I400" i="3" s="1"/>
  <c r="H401" i="3"/>
  <c r="I401" i="3" s="1"/>
  <c r="H402" i="3"/>
  <c r="I402" i="3" s="1"/>
  <c r="H403" i="3"/>
  <c r="I403" i="3" s="1"/>
  <c r="H404" i="3"/>
  <c r="I404" i="3" s="1"/>
  <c r="H405" i="3"/>
  <c r="I405" i="3" s="1"/>
  <c r="H406" i="3"/>
  <c r="I406" i="3" s="1"/>
  <c r="H407" i="3"/>
  <c r="I407" i="3" s="1"/>
  <c r="H408" i="3"/>
  <c r="I408" i="3" s="1"/>
  <c r="H409" i="3"/>
  <c r="I409" i="3" s="1"/>
  <c r="H410" i="3"/>
  <c r="I410" i="3" s="1"/>
  <c r="H411" i="3"/>
  <c r="I411" i="3" s="1"/>
  <c r="H412" i="3"/>
  <c r="I412" i="3" s="1"/>
  <c r="H413" i="3"/>
  <c r="I413" i="3" s="1"/>
  <c r="H414" i="3"/>
  <c r="I414" i="3" s="1"/>
  <c r="H415" i="3"/>
  <c r="I415" i="3" s="1"/>
  <c r="H416" i="3"/>
  <c r="I416" i="3" s="1"/>
  <c r="H417" i="3"/>
  <c r="I417" i="3" s="1"/>
  <c r="H418" i="3"/>
  <c r="I418" i="3" s="1"/>
  <c r="H419" i="3"/>
  <c r="I419" i="3" s="1"/>
  <c r="H420" i="3"/>
  <c r="I420" i="3" s="1"/>
  <c r="H421" i="3"/>
  <c r="I421" i="3" s="1"/>
  <c r="H422" i="3"/>
  <c r="I422" i="3" s="1"/>
  <c r="H423" i="3"/>
  <c r="I423" i="3" s="1"/>
  <c r="H424" i="3"/>
  <c r="I424" i="3" s="1"/>
  <c r="H425" i="3"/>
  <c r="I425" i="3" s="1"/>
  <c r="H426" i="3"/>
  <c r="I426" i="3" s="1"/>
  <c r="H427" i="3"/>
  <c r="I427" i="3" s="1"/>
  <c r="H428" i="3"/>
  <c r="I428" i="3" s="1"/>
  <c r="H429" i="3"/>
  <c r="I429" i="3" s="1"/>
  <c r="H430" i="3"/>
  <c r="I430" i="3" s="1"/>
  <c r="H431" i="3"/>
  <c r="I431" i="3" s="1"/>
  <c r="H432" i="3"/>
  <c r="I432" i="3" s="1"/>
  <c r="H433" i="3"/>
  <c r="I433" i="3" s="1"/>
  <c r="H434" i="3"/>
  <c r="I434" i="3" s="1"/>
  <c r="H435" i="3"/>
  <c r="I435" i="3" s="1"/>
  <c r="H436" i="3"/>
  <c r="I436" i="3" s="1"/>
  <c r="H437" i="3"/>
  <c r="I437" i="3" s="1"/>
  <c r="H438" i="3"/>
  <c r="I438" i="3" s="1"/>
  <c r="H440" i="3"/>
  <c r="I440" i="3" s="1"/>
  <c r="H441" i="3"/>
  <c r="I441" i="3" s="1"/>
  <c r="H442" i="3"/>
  <c r="I442" i="3" s="1"/>
  <c r="H443" i="3"/>
  <c r="I443" i="3" s="1"/>
  <c r="H444" i="3"/>
  <c r="I444" i="3" s="1"/>
  <c r="H445" i="3"/>
  <c r="I445" i="3" s="1"/>
  <c r="H446" i="3"/>
  <c r="I446" i="3" s="1"/>
  <c r="H447" i="3"/>
  <c r="I447" i="3" s="1"/>
  <c r="H448" i="3"/>
  <c r="I448" i="3" s="1"/>
  <c r="H449" i="3"/>
  <c r="I449" i="3" s="1"/>
  <c r="H450" i="3"/>
  <c r="I450" i="3" s="1"/>
  <c r="H451" i="3"/>
  <c r="I451" i="3" s="1"/>
  <c r="H453" i="3"/>
  <c r="I453" i="3" s="1"/>
  <c r="H454" i="3"/>
  <c r="I454" i="3" s="1"/>
  <c r="H455" i="3"/>
  <c r="I455" i="3" s="1"/>
  <c r="H456" i="3"/>
  <c r="I456" i="3" s="1"/>
  <c r="H457" i="3"/>
  <c r="I457" i="3" s="1"/>
  <c r="H458" i="3"/>
  <c r="I458" i="3" s="1"/>
  <c r="H459" i="3"/>
  <c r="I459" i="3" s="1"/>
  <c r="H460" i="3"/>
  <c r="I460" i="3" s="1"/>
  <c r="H461" i="3"/>
  <c r="I461" i="3" s="1"/>
  <c r="H462" i="3"/>
  <c r="I462" i="3" s="1"/>
  <c r="H463" i="3"/>
  <c r="I463" i="3" s="1"/>
  <c r="H464" i="3"/>
  <c r="I464" i="3" s="1"/>
  <c r="H465" i="3"/>
  <c r="I465" i="3" s="1"/>
  <c r="H466" i="3"/>
  <c r="I466" i="3" s="1"/>
  <c r="H467" i="3"/>
  <c r="I467" i="3" s="1"/>
  <c r="H468" i="3"/>
  <c r="I468" i="3" s="1"/>
  <c r="H469" i="3"/>
  <c r="I469" i="3" s="1"/>
  <c r="H470" i="3"/>
  <c r="I470" i="3" s="1"/>
  <c r="H471" i="3"/>
  <c r="I471" i="3" s="1"/>
  <c r="H472" i="3"/>
  <c r="I472" i="3" s="1"/>
  <c r="H473" i="3"/>
  <c r="I473" i="3" s="1"/>
  <c r="H474" i="3"/>
  <c r="I474" i="3" s="1"/>
  <c r="H475" i="3"/>
  <c r="I475" i="3" s="1"/>
  <c r="H476" i="3"/>
  <c r="I476" i="3" s="1"/>
  <c r="H477" i="3"/>
  <c r="I477" i="3" s="1"/>
  <c r="H478" i="3"/>
  <c r="I478" i="3" s="1"/>
  <c r="H479" i="3"/>
  <c r="I479" i="3" s="1"/>
  <c r="H480" i="3"/>
  <c r="I480" i="3" s="1"/>
  <c r="H481" i="3"/>
  <c r="I481" i="3" s="1"/>
  <c r="H482" i="3"/>
  <c r="I482" i="3" s="1"/>
  <c r="H483" i="3"/>
  <c r="I483" i="3" s="1"/>
  <c r="H484" i="3"/>
  <c r="I484" i="3" s="1"/>
  <c r="H485" i="3"/>
  <c r="I485" i="3" s="1"/>
  <c r="H486" i="3"/>
  <c r="I486" i="3" s="1"/>
  <c r="H487" i="3"/>
  <c r="I487" i="3" s="1"/>
  <c r="H488" i="3"/>
  <c r="I488" i="3" s="1"/>
  <c r="H489" i="3"/>
  <c r="I489" i="3" s="1"/>
  <c r="H490" i="3"/>
  <c r="I490" i="3" s="1"/>
  <c r="H491" i="3"/>
  <c r="I491" i="3" s="1"/>
  <c r="H492" i="3"/>
  <c r="I492" i="3" s="1"/>
  <c r="H493" i="3"/>
  <c r="I493" i="3" s="1"/>
  <c r="H494" i="3"/>
  <c r="I494" i="3" s="1"/>
  <c r="H496" i="3"/>
  <c r="I496" i="3" s="1"/>
  <c r="H497" i="3"/>
  <c r="I497" i="3" s="1"/>
  <c r="H498" i="3"/>
  <c r="I498" i="3" s="1"/>
  <c r="H499" i="3"/>
  <c r="I499" i="3" s="1"/>
  <c r="H500" i="3"/>
  <c r="I500" i="3" s="1"/>
  <c r="H501" i="3"/>
  <c r="I501" i="3" s="1"/>
  <c r="H502" i="3"/>
  <c r="I502" i="3" s="1"/>
  <c r="H504" i="3"/>
  <c r="I504" i="3" s="1"/>
  <c r="H505" i="3"/>
  <c r="I505" i="3" s="1"/>
  <c r="H506" i="3"/>
  <c r="I506" i="3" s="1"/>
  <c r="H507" i="3"/>
  <c r="I507" i="3" s="1"/>
  <c r="H508" i="3"/>
  <c r="I508" i="3" s="1"/>
  <c r="H509" i="3"/>
  <c r="I509" i="3" s="1"/>
  <c r="H510" i="3"/>
  <c r="I510" i="3" s="1"/>
  <c r="H511" i="3"/>
  <c r="I511" i="3" s="1"/>
  <c r="H512" i="3"/>
  <c r="I512" i="3" s="1"/>
  <c r="H513" i="3"/>
  <c r="I513" i="3" s="1"/>
  <c r="H514" i="3"/>
  <c r="I514" i="3" s="1"/>
  <c r="H515" i="3"/>
  <c r="I515" i="3" s="1"/>
  <c r="H516" i="3"/>
  <c r="I516" i="3" s="1"/>
  <c r="H517" i="3"/>
  <c r="I517" i="3" s="1"/>
  <c r="H518" i="3"/>
  <c r="I518" i="3" s="1"/>
  <c r="H519" i="3"/>
  <c r="I519" i="3" s="1"/>
  <c r="H520" i="3"/>
  <c r="I520" i="3" s="1"/>
  <c r="H521" i="3"/>
  <c r="I521" i="3" s="1"/>
  <c r="H522" i="3"/>
  <c r="I522" i="3" s="1"/>
  <c r="H523" i="3"/>
  <c r="I523" i="3" s="1"/>
  <c r="H524" i="3"/>
  <c r="I524" i="3" s="1"/>
  <c r="H525" i="3"/>
  <c r="I525" i="3" s="1"/>
  <c r="H526" i="3"/>
  <c r="I526" i="3" s="1"/>
  <c r="H527" i="3"/>
  <c r="I527" i="3" s="1"/>
  <c r="H528" i="3"/>
  <c r="I528" i="3" s="1"/>
  <c r="H529" i="3"/>
  <c r="I529" i="3" s="1"/>
  <c r="H530" i="3"/>
  <c r="I530" i="3" s="1"/>
  <c r="H531" i="3"/>
  <c r="I531" i="3" s="1"/>
  <c r="H532" i="3"/>
  <c r="I532" i="3" s="1"/>
  <c r="H533" i="3"/>
  <c r="I533" i="3" s="1"/>
  <c r="H534" i="3"/>
  <c r="I534" i="3" s="1"/>
  <c r="H535" i="3"/>
  <c r="I535" i="3" s="1"/>
  <c r="H536" i="3"/>
  <c r="I536" i="3" s="1"/>
  <c r="H537" i="3"/>
  <c r="I537" i="3" s="1"/>
  <c r="H538" i="3"/>
  <c r="I538" i="3" s="1"/>
  <c r="H539" i="3"/>
  <c r="I539" i="3" s="1"/>
  <c r="H540" i="3"/>
  <c r="I540" i="3" s="1"/>
  <c r="H541" i="3"/>
  <c r="I541" i="3" s="1"/>
  <c r="H542" i="3"/>
  <c r="I542" i="3" s="1"/>
  <c r="H543" i="3"/>
  <c r="I543" i="3" s="1"/>
  <c r="H544" i="3"/>
  <c r="I544" i="3" s="1"/>
  <c r="H545" i="3"/>
  <c r="I545" i="3" s="1"/>
  <c r="H546" i="3"/>
  <c r="I546" i="3" s="1"/>
  <c r="H547" i="3"/>
  <c r="I547" i="3" s="1"/>
  <c r="H548" i="3"/>
  <c r="I548" i="3" s="1"/>
  <c r="H549" i="3"/>
  <c r="I549" i="3" s="1"/>
  <c r="H550" i="3"/>
  <c r="I550" i="3" s="1"/>
  <c r="H551" i="3"/>
  <c r="I551" i="3" s="1"/>
  <c r="H552" i="3"/>
  <c r="I552" i="3" s="1"/>
  <c r="H553" i="3"/>
  <c r="I553" i="3" s="1"/>
  <c r="H554" i="3"/>
  <c r="I554" i="3" s="1"/>
  <c r="H555" i="3"/>
  <c r="I555" i="3" s="1"/>
  <c r="H556" i="3"/>
  <c r="I556" i="3" s="1"/>
  <c r="H557" i="3"/>
  <c r="I557" i="3" s="1"/>
  <c r="H558" i="3"/>
  <c r="I558" i="3" s="1"/>
  <c r="H560" i="3"/>
  <c r="I560" i="3" s="1"/>
  <c r="H561" i="3"/>
  <c r="I561" i="3" s="1"/>
  <c r="H562" i="3"/>
  <c r="I562" i="3" s="1"/>
  <c r="H563" i="3"/>
  <c r="I563" i="3" s="1"/>
  <c r="H564" i="3"/>
  <c r="I564" i="3" s="1"/>
  <c r="H565" i="3"/>
  <c r="I565" i="3" s="1"/>
  <c r="H566" i="3"/>
  <c r="I566" i="3" s="1"/>
  <c r="H567" i="3"/>
  <c r="I567" i="3" s="1"/>
  <c r="H568" i="3"/>
  <c r="I568" i="3" s="1"/>
  <c r="H569" i="3"/>
  <c r="I569" i="3" s="1"/>
  <c r="H570" i="3"/>
  <c r="I570" i="3" s="1"/>
  <c r="H571" i="3"/>
  <c r="I571" i="3" s="1"/>
  <c r="H572" i="3"/>
  <c r="I572" i="3" s="1"/>
  <c r="H573" i="3"/>
  <c r="I573" i="3" s="1"/>
  <c r="H574" i="3"/>
  <c r="I574" i="3" s="1"/>
  <c r="H575" i="3"/>
  <c r="I575" i="3" s="1"/>
  <c r="H576" i="3"/>
  <c r="I576" i="3" s="1"/>
  <c r="H577" i="3"/>
  <c r="I577" i="3" s="1"/>
  <c r="H578" i="3"/>
  <c r="I578" i="3" s="1"/>
  <c r="H579" i="3"/>
  <c r="I579" i="3" s="1"/>
  <c r="H580" i="3"/>
  <c r="I580" i="3" s="1"/>
  <c r="H581" i="3"/>
  <c r="I581" i="3" s="1"/>
  <c r="H582" i="3"/>
  <c r="I582" i="3" s="1"/>
  <c r="H583" i="3"/>
  <c r="I583" i="3" s="1"/>
  <c r="H584" i="3"/>
  <c r="I584" i="3" s="1"/>
  <c r="H586" i="3"/>
  <c r="I586" i="3" s="1"/>
  <c r="H587" i="3"/>
  <c r="I587" i="3" s="1"/>
  <c r="H588" i="3"/>
  <c r="I588" i="3" s="1"/>
  <c r="H589" i="3"/>
  <c r="I589" i="3" s="1"/>
  <c r="H590" i="3"/>
  <c r="I590" i="3" s="1"/>
  <c r="H591" i="3"/>
  <c r="I591" i="3" s="1"/>
  <c r="H592" i="3"/>
  <c r="I592" i="3" s="1"/>
  <c r="H593" i="3"/>
  <c r="I593" i="3" s="1"/>
  <c r="H595" i="3"/>
  <c r="I595" i="3" s="1"/>
  <c r="H596" i="3"/>
  <c r="I596" i="3" s="1"/>
  <c r="H597" i="3"/>
  <c r="I597" i="3" s="1"/>
  <c r="H599" i="3"/>
  <c r="I599" i="3" s="1"/>
  <c r="H600" i="3"/>
  <c r="I600" i="3" s="1"/>
  <c r="H602" i="3"/>
  <c r="I602" i="3" s="1"/>
  <c r="H603" i="3"/>
  <c r="I603" i="3" s="1"/>
  <c r="H604" i="3"/>
  <c r="I604" i="3" s="1"/>
  <c r="H605" i="3"/>
  <c r="I605" i="3" s="1"/>
  <c r="H606" i="3"/>
  <c r="I606" i="3" s="1"/>
  <c r="H607" i="3"/>
  <c r="I607" i="3" s="1"/>
  <c r="H608" i="3"/>
  <c r="I608" i="3" s="1"/>
  <c r="H609" i="3"/>
  <c r="I609" i="3" s="1"/>
  <c r="H610" i="3"/>
  <c r="I610" i="3" s="1"/>
  <c r="H612" i="3"/>
  <c r="I612" i="3" s="1"/>
  <c r="H613" i="3"/>
  <c r="I613" i="3" s="1"/>
  <c r="H614" i="3"/>
  <c r="I614" i="3" s="1"/>
  <c r="H615" i="3"/>
  <c r="I615" i="3" s="1"/>
  <c r="H616" i="3"/>
  <c r="I616" i="3" s="1"/>
  <c r="H617" i="3"/>
  <c r="I617" i="3" s="1"/>
  <c r="H618" i="3"/>
  <c r="I618" i="3" s="1"/>
  <c r="H619" i="3"/>
  <c r="I619" i="3" s="1"/>
  <c r="H620" i="3"/>
  <c r="I620" i="3" s="1"/>
  <c r="H621" i="3"/>
  <c r="I621" i="3" s="1"/>
  <c r="H622" i="3"/>
  <c r="I622" i="3" s="1"/>
  <c r="H623" i="3"/>
  <c r="I623" i="3" s="1"/>
  <c r="H624" i="3"/>
  <c r="I624" i="3" s="1"/>
  <c r="H625" i="3"/>
  <c r="I625" i="3" s="1"/>
  <c r="H627" i="3"/>
  <c r="I627" i="3" s="1"/>
  <c r="H628" i="3"/>
  <c r="I628" i="3" s="1"/>
  <c r="H629" i="3"/>
  <c r="I629" i="3" s="1"/>
  <c r="H630" i="3"/>
  <c r="I630" i="3" s="1"/>
  <c r="H631" i="3"/>
  <c r="I631" i="3" s="1"/>
  <c r="H632" i="3"/>
  <c r="I632" i="3" s="1"/>
  <c r="H633" i="3"/>
  <c r="I633" i="3" s="1"/>
  <c r="H2" i="3"/>
  <c r="I2" i="3" s="1"/>
  <c r="F626" i="3"/>
  <c r="H626" i="3" s="1"/>
  <c r="I626" i="3" s="1"/>
  <c r="F452" i="3"/>
  <c r="H452" i="3" s="1"/>
  <c r="I452" i="3" s="1"/>
  <c r="F324" i="3"/>
  <c r="H324" i="3" s="1"/>
  <c r="I324" i="3" s="1"/>
  <c r="F594" i="3"/>
  <c r="H594" i="3" s="1"/>
  <c r="I594" i="3" s="1"/>
  <c r="F343" i="3"/>
  <c r="H343" i="3" s="1"/>
  <c r="I343" i="3" s="1"/>
  <c r="F323" i="3"/>
  <c r="H323" i="3" s="1"/>
  <c r="I323" i="3" s="1"/>
  <c r="F85" i="3"/>
  <c r="H85" i="3" s="1"/>
  <c r="I85" i="3" s="1"/>
  <c r="F559" i="3"/>
  <c r="H559" i="3" s="1"/>
  <c r="I559" i="3" s="1"/>
  <c r="F598" i="3"/>
  <c r="H598" i="3" s="1"/>
  <c r="I598" i="3" s="1"/>
  <c r="F314" i="3"/>
  <c r="H314" i="3" s="1"/>
  <c r="I314" i="3" s="1"/>
  <c r="F219" i="3"/>
  <c r="H219" i="3" s="1"/>
  <c r="I219" i="3" s="1"/>
  <c r="F585" i="3"/>
  <c r="H585" i="3" s="1"/>
  <c r="I585" i="3" s="1"/>
  <c r="F439" i="3"/>
  <c r="H439" i="3" s="1"/>
  <c r="I439" i="3" s="1"/>
  <c r="F346" i="3"/>
  <c r="H346" i="3" s="1"/>
  <c r="I346" i="3" s="1"/>
  <c r="F154" i="3"/>
  <c r="H154" i="3" s="1"/>
  <c r="I154" i="3" s="1"/>
  <c r="F601" i="3"/>
  <c r="H601" i="3" s="1"/>
  <c r="I601" i="3" s="1"/>
  <c r="F495" i="3"/>
  <c r="H495" i="3" s="1"/>
  <c r="I495" i="3" s="1"/>
  <c r="F330" i="3"/>
  <c r="H330" i="3" s="1"/>
  <c r="I330" i="3" s="1"/>
  <c r="F94" i="3"/>
  <c r="H94" i="3" s="1"/>
  <c r="I94" i="3" s="1"/>
  <c r="F79" i="3"/>
  <c r="H79" i="3" s="1"/>
  <c r="I79" i="3" s="1"/>
  <c r="F611" i="3"/>
  <c r="H611" i="3" s="1"/>
  <c r="I611" i="3" s="1"/>
  <c r="F175" i="3"/>
  <c r="H175" i="3" s="1"/>
  <c r="I175" i="3" s="1"/>
  <c r="F147" i="3"/>
  <c r="H147" i="3" s="1"/>
  <c r="I147" i="3" s="1"/>
  <c r="F76" i="3"/>
  <c r="H76" i="3" s="1"/>
  <c r="I76" i="3" s="1"/>
  <c r="F36" i="3"/>
  <c r="H36" i="3" s="1"/>
  <c r="I36" i="3" s="1"/>
  <c r="F503" i="3"/>
  <c r="H503" i="3" s="1"/>
  <c r="I503" i="3" s="1"/>
  <c r="F21" i="3"/>
  <c r="H21" i="3" s="1"/>
  <c r="I21" i="3" s="1"/>
  <c r="F22" i="3"/>
  <c r="H22" i="3" s="1"/>
  <c r="I22" i="3" s="1"/>
  <c r="F17" i="3"/>
  <c r="H17" i="3" s="1"/>
  <c r="I17" i="3" s="1"/>
  <c r="G17" i="3"/>
  <c r="F292" i="3"/>
  <c r="H292" i="3" s="1"/>
  <c r="I292" i="3" s="1"/>
  <c r="F269" i="3"/>
  <c r="H269" i="3" s="1"/>
  <c r="I269" i="3" s="1"/>
  <c r="F99" i="3"/>
  <c r="H99" i="3" s="1"/>
  <c r="I99" i="3" s="1"/>
  <c r="F9" i="3"/>
  <c r="H9" i="3" s="1"/>
  <c r="I9" i="3" s="1"/>
  <c r="F3" i="3"/>
  <c r="H3" i="3" s="1"/>
  <c r="I3" i="3" s="1"/>
  <c r="G3" i="3"/>
  <c r="G4" i="3"/>
  <c r="G5" i="3"/>
  <c r="G6" i="3"/>
  <c r="G7" i="3"/>
  <c r="G8" i="3"/>
  <c r="G9" i="3"/>
  <c r="G10" i="3"/>
  <c r="G11" i="3"/>
  <c r="G12" i="3"/>
  <c r="G13" i="3"/>
  <c r="G14" i="3"/>
  <c r="G15" i="3"/>
  <c r="G16" i="3"/>
  <c r="G18" i="3"/>
  <c r="G19" i="3"/>
  <c r="G20" i="3"/>
  <c r="G21" i="3"/>
  <c r="G22" i="3"/>
  <c r="G23" i="3"/>
  <c r="G24" i="3"/>
  <c r="G25" i="3"/>
  <c r="G26" i="3"/>
  <c r="G27" i="3"/>
  <c r="G28" i="3"/>
  <c r="G29" i="3"/>
  <c r="G30" i="3"/>
  <c r="G31" i="3"/>
  <c r="G32" i="3"/>
  <c r="G33" i="3"/>
  <c r="G34" i="3"/>
  <c r="G35" i="3"/>
  <c r="G36" i="3"/>
  <c r="G37" i="3"/>
  <c r="G38" i="3"/>
  <c r="G39" i="3"/>
  <c r="G40" i="3"/>
  <c r="G41" i="3"/>
  <c r="G42" i="3"/>
  <c r="G43" i="3"/>
  <c r="G44" i="3"/>
  <c r="G45" i="3"/>
  <c r="G46" i="3"/>
  <c r="G47" i="3"/>
  <c r="G48" i="3"/>
  <c r="G49" i="3"/>
  <c r="G50" i="3"/>
  <c r="G51" i="3"/>
  <c r="G52" i="3"/>
  <c r="G53" i="3"/>
  <c r="G54" i="3"/>
  <c r="G55" i="3"/>
  <c r="G56" i="3"/>
  <c r="G57" i="3"/>
  <c r="G58" i="3"/>
  <c r="G59" i="3"/>
  <c r="G60" i="3"/>
  <c r="G61" i="3"/>
  <c r="G62" i="3"/>
  <c r="G63" i="3"/>
  <c r="G64" i="3"/>
  <c r="G65" i="3"/>
  <c r="G66" i="3"/>
  <c r="G67" i="3"/>
  <c r="G68" i="3"/>
  <c r="G69" i="3"/>
  <c r="G70" i="3"/>
  <c r="G71" i="3"/>
  <c r="G72" i="3"/>
  <c r="G73" i="3"/>
  <c r="G74" i="3"/>
  <c r="G75" i="3"/>
  <c r="G76" i="3"/>
  <c r="G77" i="3"/>
  <c r="G78" i="3"/>
  <c r="G79" i="3"/>
  <c r="G80" i="3"/>
  <c r="G81" i="3"/>
  <c r="G82" i="3"/>
  <c r="G83" i="3"/>
  <c r="G84" i="3"/>
  <c r="G85" i="3"/>
  <c r="G86" i="3"/>
  <c r="G87" i="3"/>
  <c r="G88" i="3"/>
  <c r="G89" i="3"/>
  <c r="G90" i="3"/>
  <c r="G91" i="3"/>
  <c r="G92" i="3"/>
  <c r="G93" i="3"/>
  <c r="G94" i="3"/>
  <c r="G95" i="3"/>
  <c r="G96" i="3"/>
  <c r="G97" i="3"/>
  <c r="G98" i="3"/>
  <c r="G99" i="3"/>
  <c r="G100" i="3"/>
  <c r="G101" i="3"/>
  <c r="G102" i="3"/>
  <c r="G103" i="3"/>
  <c r="G104" i="3"/>
  <c r="G105" i="3"/>
  <c r="G106" i="3"/>
  <c r="G107" i="3"/>
  <c r="G108" i="3"/>
  <c r="G109" i="3"/>
  <c r="G110" i="3"/>
  <c r="G111" i="3"/>
  <c r="G112" i="3"/>
  <c r="G113" i="3"/>
  <c r="G114" i="3"/>
  <c r="G115" i="3"/>
  <c r="G116" i="3"/>
  <c r="G117" i="3"/>
  <c r="G118" i="3"/>
  <c r="G119" i="3"/>
  <c r="G120" i="3"/>
  <c r="G121" i="3"/>
  <c r="G122" i="3"/>
  <c r="G123" i="3"/>
  <c r="G124" i="3"/>
  <c r="G125" i="3"/>
  <c r="G126" i="3"/>
  <c r="G127" i="3"/>
  <c r="G128" i="3"/>
  <c r="G129" i="3"/>
  <c r="G130" i="3"/>
  <c r="G131" i="3"/>
  <c r="G132" i="3"/>
  <c r="G133" i="3"/>
  <c r="G134" i="3"/>
  <c r="G135" i="3"/>
  <c r="G136" i="3"/>
  <c r="G137" i="3"/>
  <c r="G138" i="3"/>
  <c r="G139" i="3"/>
  <c r="G140" i="3"/>
  <c r="G141" i="3"/>
  <c r="G142" i="3"/>
  <c r="G143" i="3"/>
  <c r="G144" i="3"/>
  <c r="G145" i="3"/>
  <c r="G146" i="3"/>
  <c r="G147" i="3"/>
  <c r="G148" i="3"/>
  <c r="G149" i="3"/>
  <c r="G150" i="3"/>
  <c r="G151" i="3"/>
  <c r="G152" i="3"/>
  <c r="G153" i="3"/>
  <c r="G154" i="3"/>
  <c r="G155" i="3"/>
  <c r="G156" i="3"/>
  <c r="G157" i="3"/>
  <c r="G158" i="3"/>
  <c r="G159" i="3"/>
  <c r="G160" i="3"/>
  <c r="G161" i="3"/>
  <c r="G162" i="3"/>
  <c r="G163" i="3"/>
  <c r="G164" i="3"/>
  <c r="G165" i="3"/>
  <c r="G166" i="3"/>
  <c r="G167" i="3"/>
  <c r="G168" i="3"/>
  <c r="G169" i="3"/>
  <c r="G170" i="3"/>
  <c r="G171" i="3"/>
  <c r="G172" i="3"/>
  <c r="G173" i="3"/>
  <c r="G174" i="3"/>
  <c r="G175" i="3"/>
  <c r="G176" i="3"/>
  <c r="G177" i="3"/>
  <c r="G178" i="3"/>
  <c r="G179" i="3"/>
  <c r="G180" i="3"/>
  <c r="G181" i="3"/>
  <c r="G182" i="3"/>
  <c r="G183" i="3"/>
  <c r="G184" i="3"/>
  <c r="G185" i="3"/>
  <c r="G186" i="3"/>
  <c r="G187" i="3"/>
  <c r="G188" i="3"/>
  <c r="G189" i="3"/>
  <c r="G190" i="3"/>
  <c r="G191" i="3"/>
  <c r="G192" i="3"/>
  <c r="G193" i="3"/>
  <c r="G194" i="3"/>
  <c r="G195" i="3"/>
  <c r="G196" i="3"/>
  <c r="G197" i="3"/>
  <c r="G198" i="3"/>
  <c r="G199" i="3"/>
  <c r="G200" i="3"/>
  <c r="G201" i="3"/>
  <c r="G202" i="3"/>
  <c r="G203" i="3"/>
  <c r="G204" i="3"/>
  <c r="G205" i="3"/>
  <c r="G206" i="3"/>
  <c r="G207" i="3"/>
  <c r="G208" i="3"/>
  <c r="G209" i="3"/>
  <c r="G210" i="3"/>
  <c r="G211" i="3"/>
  <c r="G212" i="3"/>
  <c r="G213" i="3"/>
  <c r="G214" i="3"/>
  <c r="G215" i="3"/>
  <c r="G216" i="3"/>
  <c r="G217" i="3"/>
  <c r="G218" i="3"/>
  <c r="G219" i="3"/>
  <c r="G220" i="3"/>
  <c r="G221" i="3"/>
  <c r="G222" i="3"/>
  <c r="G223" i="3"/>
  <c r="G224" i="3"/>
  <c r="G225" i="3"/>
  <c r="G226" i="3"/>
  <c r="G227" i="3"/>
  <c r="G228" i="3"/>
  <c r="G229" i="3"/>
  <c r="G230" i="3"/>
  <c r="G231" i="3"/>
  <c r="G232" i="3"/>
  <c r="G233" i="3"/>
  <c r="G234" i="3"/>
  <c r="G235" i="3"/>
  <c r="G236" i="3"/>
  <c r="G237" i="3"/>
  <c r="G238" i="3"/>
  <c r="G239" i="3"/>
  <c r="G240" i="3"/>
  <c r="G241" i="3"/>
  <c r="G242" i="3"/>
  <c r="G243" i="3"/>
  <c r="G244" i="3"/>
  <c r="G245" i="3"/>
  <c r="G246" i="3"/>
  <c r="G247" i="3"/>
  <c r="G248" i="3"/>
  <c r="G249" i="3"/>
  <c r="G250" i="3"/>
  <c r="G251" i="3"/>
  <c r="G252" i="3"/>
  <c r="G253" i="3"/>
  <c r="G254" i="3"/>
  <c r="G255" i="3"/>
  <c r="G256" i="3"/>
  <c r="G257" i="3"/>
  <c r="G258" i="3"/>
  <c r="G259" i="3"/>
  <c r="G260" i="3"/>
  <c r="G261" i="3"/>
  <c r="G262" i="3"/>
  <c r="G263" i="3"/>
  <c r="G264" i="3"/>
  <c r="G265" i="3"/>
  <c r="G266" i="3"/>
  <c r="G267" i="3"/>
  <c r="G268" i="3"/>
  <c r="G269" i="3"/>
  <c r="G270" i="3"/>
  <c r="G271" i="3"/>
  <c r="G272" i="3"/>
  <c r="G273" i="3"/>
  <c r="G274" i="3"/>
  <c r="G275" i="3"/>
  <c r="G276" i="3"/>
  <c r="G277" i="3"/>
  <c r="G278" i="3"/>
  <c r="G279" i="3"/>
  <c r="G280" i="3"/>
  <c r="G281" i="3"/>
  <c r="G282" i="3"/>
  <c r="G283" i="3"/>
  <c r="G284" i="3"/>
  <c r="G285" i="3"/>
  <c r="G286" i="3"/>
  <c r="G287" i="3"/>
  <c r="G288" i="3"/>
  <c r="G289" i="3"/>
  <c r="G290" i="3"/>
  <c r="G291" i="3"/>
  <c r="G292" i="3"/>
  <c r="G293" i="3"/>
  <c r="G294" i="3"/>
  <c r="G295" i="3"/>
  <c r="G296" i="3"/>
  <c r="G297" i="3"/>
  <c r="G298" i="3"/>
  <c r="G299" i="3"/>
  <c r="G300" i="3"/>
  <c r="G301" i="3"/>
  <c r="G302" i="3"/>
  <c r="G303" i="3"/>
  <c r="G304" i="3"/>
  <c r="G305" i="3"/>
  <c r="G306" i="3"/>
  <c r="G307" i="3"/>
  <c r="G308" i="3"/>
  <c r="G309" i="3"/>
  <c r="G310" i="3"/>
  <c r="G311" i="3"/>
  <c r="G312" i="3"/>
  <c r="G313" i="3"/>
  <c r="G314" i="3"/>
  <c r="G315" i="3"/>
  <c r="G316" i="3"/>
  <c r="G317" i="3"/>
  <c r="G318" i="3"/>
  <c r="G319" i="3"/>
  <c r="G320" i="3"/>
  <c r="G321" i="3"/>
  <c r="G322" i="3"/>
  <c r="G323" i="3"/>
  <c r="G324" i="3"/>
  <c r="G325" i="3"/>
  <c r="G326" i="3"/>
  <c r="G327" i="3"/>
  <c r="G328" i="3"/>
  <c r="G329" i="3"/>
  <c r="G330" i="3"/>
  <c r="G331" i="3"/>
  <c r="G332" i="3"/>
  <c r="G333" i="3"/>
  <c r="G334" i="3"/>
  <c r="G335" i="3"/>
  <c r="G336" i="3"/>
  <c r="G337" i="3"/>
  <c r="G338" i="3"/>
  <c r="G339" i="3"/>
  <c r="G340" i="3"/>
  <c r="G341" i="3"/>
  <c r="G342" i="3"/>
  <c r="G343" i="3"/>
  <c r="G344" i="3"/>
  <c r="G345" i="3"/>
  <c r="G346" i="3"/>
  <c r="G347" i="3"/>
  <c r="G348" i="3"/>
  <c r="G349" i="3"/>
  <c r="G350" i="3"/>
  <c r="G351" i="3"/>
  <c r="G352" i="3"/>
  <c r="G353" i="3"/>
  <c r="G354" i="3"/>
  <c r="G355" i="3"/>
  <c r="G356" i="3"/>
  <c r="G357" i="3"/>
  <c r="G358" i="3"/>
  <c r="G359" i="3"/>
  <c r="G360" i="3"/>
  <c r="G361" i="3"/>
  <c r="G362" i="3"/>
  <c r="G363" i="3"/>
  <c r="G364" i="3"/>
  <c r="G365" i="3"/>
  <c r="G366" i="3"/>
  <c r="G367" i="3"/>
  <c r="G368" i="3"/>
  <c r="G369" i="3"/>
  <c r="G370" i="3"/>
  <c r="G371" i="3"/>
  <c r="G372" i="3"/>
  <c r="G373" i="3"/>
  <c r="G374" i="3"/>
  <c r="G375" i="3"/>
  <c r="G376" i="3"/>
  <c r="G377" i="3"/>
  <c r="G378" i="3"/>
  <c r="G379" i="3"/>
  <c r="G380" i="3"/>
  <c r="G381" i="3"/>
  <c r="G382" i="3"/>
  <c r="G383" i="3"/>
  <c r="G384" i="3"/>
  <c r="G385" i="3"/>
  <c r="G386" i="3"/>
  <c r="G387" i="3"/>
  <c r="G388" i="3"/>
  <c r="G389" i="3"/>
  <c r="G390" i="3"/>
  <c r="G391" i="3"/>
  <c r="G392" i="3"/>
  <c r="G393" i="3"/>
  <c r="G394" i="3"/>
  <c r="G395" i="3"/>
  <c r="G396" i="3"/>
  <c r="G397" i="3"/>
  <c r="G398" i="3"/>
  <c r="G399" i="3"/>
  <c r="G400" i="3"/>
  <c r="G401" i="3"/>
  <c r="G402" i="3"/>
  <c r="G403" i="3"/>
  <c r="G404" i="3"/>
  <c r="G405" i="3"/>
  <c r="G406" i="3"/>
  <c r="G407" i="3"/>
  <c r="G408" i="3"/>
  <c r="G409" i="3"/>
  <c r="G410" i="3"/>
  <c r="G411" i="3"/>
  <c r="G412" i="3"/>
  <c r="G413" i="3"/>
  <c r="G414" i="3"/>
  <c r="G415" i="3"/>
  <c r="G416" i="3"/>
  <c r="G417" i="3"/>
  <c r="G418" i="3"/>
  <c r="G419" i="3"/>
  <c r="G420" i="3"/>
  <c r="G421" i="3"/>
  <c r="G422" i="3"/>
  <c r="G423" i="3"/>
  <c r="G424" i="3"/>
  <c r="G425" i="3"/>
  <c r="G426" i="3"/>
  <c r="G427" i="3"/>
  <c r="G428" i="3"/>
  <c r="G429" i="3"/>
  <c r="G430" i="3"/>
  <c r="G431" i="3"/>
  <c r="G432" i="3"/>
  <c r="G433" i="3"/>
  <c r="G434" i="3"/>
  <c r="G435" i="3"/>
  <c r="G436" i="3"/>
  <c r="G437" i="3"/>
  <c r="G438" i="3"/>
  <c r="G439" i="3"/>
  <c r="G440" i="3"/>
  <c r="G441" i="3"/>
  <c r="G442" i="3"/>
  <c r="G443" i="3"/>
  <c r="G444" i="3"/>
  <c r="G445" i="3"/>
  <c r="G446" i="3"/>
  <c r="G447" i="3"/>
  <c r="G448" i="3"/>
  <c r="G449" i="3"/>
  <c r="G450" i="3"/>
  <c r="G451" i="3"/>
  <c r="G452" i="3"/>
  <c r="G453" i="3"/>
  <c r="G454" i="3"/>
  <c r="G455" i="3"/>
  <c r="G456" i="3"/>
  <c r="G457" i="3"/>
  <c r="G458" i="3"/>
  <c r="G459" i="3"/>
  <c r="G460" i="3"/>
  <c r="G461" i="3"/>
  <c r="G462" i="3"/>
  <c r="G463" i="3"/>
  <c r="G464" i="3"/>
  <c r="G465" i="3"/>
  <c r="G466" i="3"/>
  <c r="G467" i="3"/>
  <c r="G468" i="3"/>
  <c r="G469" i="3"/>
  <c r="G470" i="3"/>
  <c r="G471" i="3"/>
  <c r="G472" i="3"/>
  <c r="G473" i="3"/>
  <c r="G474" i="3"/>
  <c r="G475" i="3"/>
  <c r="G476" i="3"/>
  <c r="G477" i="3"/>
  <c r="G478" i="3"/>
  <c r="G479" i="3"/>
  <c r="G480" i="3"/>
  <c r="G481" i="3"/>
  <c r="G482" i="3"/>
  <c r="G483" i="3"/>
  <c r="G484" i="3"/>
  <c r="G485" i="3"/>
  <c r="G486" i="3"/>
  <c r="G487" i="3"/>
  <c r="G488" i="3"/>
  <c r="G489" i="3"/>
  <c r="G490" i="3"/>
  <c r="G491" i="3"/>
  <c r="G492" i="3"/>
  <c r="G493" i="3"/>
  <c r="G494" i="3"/>
  <c r="G495" i="3"/>
  <c r="G496" i="3"/>
  <c r="G497" i="3"/>
  <c r="G498" i="3"/>
  <c r="G499" i="3"/>
  <c r="G500" i="3"/>
  <c r="G501" i="3"/>
  <c r="G502" i="3"/>
  <c r="G503" i="3"/>
  <c r="G504" i="3"/>
  <c r="G505" i="3"/>
  <c r="G506" i="3"/>
  <c r="G507" i="3"/>
  <c r="G508" i="3"/>
  <c r="G509" i="3"/>
  <c r="G510" i="3"/>
  <c r="G511" i="3"/>
  <c r="G512" i="3"/>
  <c r="G513" i="3"/>
  <c r="G514" i="3"/>
  <c r="G515" i="3"/>
  <c r="G516" i="3"/>
  <c r="G517" i="3"/>
  <c r="G518" i="3"/>
  <c r="G519" i="3"/>
  <c r="G520" i="3"/>
  <c r="G521" i="3"/>
  <c r="G522" i="3"/>
  <c r="G523" i="3"/>
  <c r="G524" i="3"/>
  <c r="G525" i="3"/>
  <c r="G526" i="3"/>
  <c r="G527" i="3"/>
  <c r="G528" i="3"/>
  <c r="G529" i="3"/>
  <c r="G530" i="3"/>
  <c r="G531" i="3"/>
  <c r="G532" i="3"/>
  <c r="G533" i="3"/>
  <c r="G534" i="3"/>
  <c r="G535" i="3"/>
  <c r="G536" i="3"/>
  <c r="G537" i="3"/>
  <c r="G538" i="3"/>
  <c r="G539" i="3"/>
  <c r="G540" i="3"/>
  <c r="G541" i="3"/>
  <c r="G542" i="3"/>
  <c r="G543" i="3"/>
  <c r="G544" i="3"/>
  <c r="G545" i="3"/>
  <c r="G546" i="3"/>
  <c r="G547" i="3"/>
  <c r="G548" i="3"/>
  <c r="G549" i="3"/>
  <c r="G550" i="3"/>
  <c r="G551" i="3"/>
  <c r="G552" i="3"/>
  <c r="G553" i="3"/>
  <c r="G554" i="3"/>
  <c r="G555" i="3"/>
  <c r="G556" i="3"/>
  <c r="G557" i="3"/>
  <c r="G558" i="3"/>
  <c r="G559" i="3"/>
  <c r="G560" i="3"/>
  <c r="G561" i="3"/>
  <c r="G562" i="3"/>
  <c r="G563" i="3"/>
  <c r="G564" i="3"/>
  <c r="G565" i="3"/>
  <c r="G566" i="3"/>
  <c r="G567" i="3"/>
  <c r="G568" i="3"/>
  <c r="G569" i="3"/>
  <c r="G570" i="3"/>
  <c r="G571" i="3"/>
  <c r="G572" i="3"/>
  <c r="G573" i="3"/>
  <c r="G574" i="3"/>
  <c r="G575" i="3"/>
  <c r="G576" i="3"/>
  <c r="G577" i="3"/>
  <c r="G578" i="3"/>
  <c r="G579" i="3"/>
  <c r="G580" i="3"/>
  <c r="G581" i="3"/>
  <c r="G582" i="3"/>
  <c r="G583" i="3"/>
  <c r="G584" i="3"/>
  <c r="G585" i="3"/>
  <c r="G586" i="3"/>
  <c r="G587" i="3"/>
  <c r="G588" i="3"/>
  <c r="G589" i="3"/>
  <c r="G590" i="3"/>
  <c r="G591" i="3"/>
  <c r="G592" i="3"/>
  <c r="G593" i="3"/>
  <c r="G594" i="3"/>
  <c r="G595" i="3"/>
  <c r="G596" i="3"/>
  <c r="G597" i="3"/>
  <c r="G598" i="3"/>
  <c r="G599" i="3"/>
  <c r="G600" i="3"/>
  <c r="G601" i="3"/>
  <c r="G602" i="3"/>
  <c r="G603" i="3"/>
  <c r="G604" i="3"/>
  <c r="G605" i="3"/>
  <c r="G606" i="3"/>
  <c r="G607" i="3"/>
  <c r="G608" i="3"/>
  <c r="G609" i="3"/>
  <c r="G610" i="3"/>
  <c r="G611" i="3"/>
  <c r="G612" i="3"/>
  <c r="G613" i="3"/>
  <c r="G614" i="3"/>
  <c r="G615" i="3"/>
  <c r="G616" i="3"/>
  <c r="G617" i="3"/>
  <c r="G618" i="3"/>
  <c r="G619" i="3"/>
  <c r="G620" i="3"/>
  <c r="G621" i="3"/>
  <c r="G622" i="3"/>
  <c r="G623" i="3"/>
  <c r="G624" i="3"/>
  <c r="G625" i="3"/>
  <c r="G626" i="3"/>
  <c r="G627" i="3"/>
  <c r="G628" i="3"/>
  <c r="G629" i="3"/>
  <c r="G630" i="3"/>
  <c r="G631" i="3"/>
  <c r="G632" i="3"/>
  <c r="G633" i="3"/>
  <c r="G2" i="3"/>
  <c r="Y4" i="3"/>
  <c r="AF4" i="3" s="1"/>
  <c r="Y2" i="3"/>
  <c r="AF2" i="3" s="1"/>
  <c r="Y3" i="3"/>
  <c r="AF3" i="3" s="1"/>
  <c r="Y5" i="3"/>
  <c r="AF5" i="3" s="1"/>
  <c r="Y6" i="3"/>
  <c r="AF6" i="3" s="1"/>
  <c r="Y7" i="3"/>
  <c r="AF7" i="3" s="1"/>
  <c r="Y8" i="3"/>
  <c r="AF8" i="3" s="1"/>
  <c r="Y9" i="3"/>
  <c r="AF9" i="3" s="1"/>
  <c r="Y10" i="3"/>
  <c r="AF10" i="3" s="1"/>
  <c r="Y11" i="3"/>
  <c r="AF11" i="3" s="1"/>
  <c r="Y12" i="3"/>
  <c r="AF12" i="3" s="1"/>
  <c r="Y13" i="3"/>
  <c r="AF13" i="3" s="1"/>
  <c r="Y14" i="3"/>
  <c r="AF14" i="3" s="1"/>
  <c r="Y15" i="3"/>
  <c r="AF15" i="3" s="1"/>
  <c r="Y16" i="3"/>
  <c r="AF16" i="3" s="1"/>
  <c r="Y17" i="3"/>
  <c r="AF17" i="3" s="1"/>
  <c r="Y18" i="3"/>
  <c r="AF18" i="3" s="1"/>
  <c r="Y19" i="3"/>
  <c r="AF19" i="3" s="1"/>
  <c r="Y20" i="3"/>
  <c r="AF20" i="3" s="1"/>
  <c r="Y21" i="3"/>
  <c r="AF21" i="3" s="1"/>
  <c r="Y22" i="3"/>
  <c r="AF22" i="3" s="1"/>
  <c r="Y23" i="3"/>
  <c r="AF23" i="3" s="1"/>
  <c r="Y24" i="3"/>
  <c r="AF24" i="3" s="1"/>
  <c r="Y25" i="3"/>
  <c r="AF25" i="3" s="1"/>
  <c r="Y26" i="3"/>
  <c r="AF26" i="3" s="1"/>
  <c r="Y27" i="3"/>
  <c r="AF27" i="3" s="1"/>
  <c r="Y28" i="3"/>
  <c r="AF28" i="3" s="1"/>
  <c r="Y29" i="3"/>
  <c r="AF29" i="3" s="1"/>
  <c r="Y30" i="3"/>
  <c r="AF30" i="3" s="1"/>
  <c r="Y31" i="3"/>
  <c r="AF31" i="3" s="1"/>
  <c r="Y32" i="3"/>
  <c r="AF32" i="3" s="1"/>
  <c r="Y33" i="3"/>
  <c r="AF33" i="3" s="1"/>
  <c r="Y34" i="3"/>
  <c r="AF34" i="3" s="1"/>
  <c r="Y35" i="3"/>
  <c r="AF35" i="3" s="1"/>
  <c r="Y36" i="3"/>
  <c r="AF36" i="3" s="1"/>
  <c r="Y37" i="3"/>
  <c r="AF37" i="3" s="1"/>
  <c r="Y38" i="3"/>
  <c r="AF38" i="3" s="1"/>
  <c r="Y39" i="3"/>
  <c r="AF39" i="3" s="1"/>
  <c r="Y40" i="3"/>
  <c r="AF40" i="3" s="1"/>
  <c r="Y41" i="3"/>
  <c r="AF41" i="3" s="1"/>
  <c r="Y42" i="3"/>
  <c r="AF42" i="3" s="1"/>
  <c r="Y43" i="3"/>
  <c r="AF43" i="3" s="1"/>
  <c r="Y44" i="3"/>
  <c r="AF44" i="3" s="1"/>
  <c r="Y45" i="3"/>
  <c r="AF45" i="3" s="1"/>
  <c r="Y46" i="3"/>
  <c r="AF46" i="3" s="1"/>
  <c r="Y47" i="3"/>
  <c r="AF47" i="3" s="1"/>
  <c r="Y48" i="3"/>
  <c r="AF48" i="3" s="1"/>
  <c r="Y49" i="3"/>
  <c r="AF49" i="3" s="1"/>
  <c r="Y50" i="3"/>
  <c r="AF50" i="3" s="1"/>
  <c r="Y51" i="3"/>
  <c r="AF51" i="3" s="1"/>
  <c r="Y52" i="3"/>
  <c r="AF52" i="3" s="1"/>
  <c r="Y53" i="3"/>
  <c r="AF53" i="3" s="1"/>
  <c r="Y54" i="3"/>
  <c r="AF54" i="3" s="1"/>
  <c r="Y55" i="3"/>
  <c r="AF55" i="3" s="1"/>
  <c r="Y56" i="3"/>
  <c r="AF56" i="3" s="1"/>
  <c r="Y57" i="3"/>
  <c r="AF57" i="3" s="1"/>
  <c r="Y58" i="3"/>
  <c r="AF58" i="3" s="1"/>
  <c r="Y59" i="3"/>
  <c r="AF59" i="3" s="1"/>
  <c r="Y60" i="3"/>
  <c r="AF60" i="3" s="1"/>
  <c r="Y61" i="3"/>
  <c r="AF61" i="3" s="1"/>
  <c r="Y62" i="3"/>
  <c r="AF62" i="3" s="1"/>
  <c r="Y63" i="3"/>
  <c r="AF63" i="3" s="1"/>
  <c r="Y64" i="3"/>
  <c r="AF64" i="3" s="1"/>
  <c r="Y65" i="3"/>
  <c r="AF65" i="3" s="1"/>
  <c r="Y66" i="3"/>
  <c r="AF66" i="3" s="1"/>
  <c r="Y67" i="3"/>
  <c r="AF67" i="3" s="1"/>
  <c r="Y68" i="3"/>
  <c r="AF68" i="3" s="1"/>
  <c r="Y69" i="3"/>
  <c r="AF69" i="3" s="1"/>
  <c r="Y70" i="3"/>
  <c r="AF70" i="3" s="1"/>
  <c r="Y71" i="3"/>
  <c r="AF71" i="3" s="1"/>
  <c r="Y72" i="3"/>
  <c r="AF72" i="3" s="1"/>
  <c r="Y73" i="3"/>
  <c r="AF73" i="3" s="1"/>
  <c r="Y74" i="3"/>
  <c r="AF74" i="3" s="1"/>
  <c r="Y75" i="3"/>
  <c r="AF75" i="3" s="1"/>
  <c r="Y76" i="3"/>
  <c r="AF76" i="3" s="1"/>
  <c r="Y77" i="3"/>
  <c r="AF77" i="3" s="1"/>
  <c r="Y78" i="3"/>
  <c r="AF78" i="3" s="1"/>
  <c r="Y79" i="3"/>
  <c r="AF79" i="3" s="1"/>
  <c r="Y80" i="3"/>
  <c r="AF80" i="3" s="1"/>
  <c r="Y81" i="3"/>
  <c r="AF81" i="3" s="1"/>
  <c r="Y82" i="3"/>
  <c r="AF82" i="3" s="1"/>
  <c r="Y83" i="3"/>
  <c r="AF83" i="3" s="1"/>
  <c r="Y84" i="3"/>
  <c r="AF84" i="3" s="1"/>
  <c r="Y85" i="3"/>
  <c r="AF85" i="3" s="1"/>
  <c r="Y86" i="3"/>
  <c r="AF86" i="3" s="1"/>
  <c r="Y87" i="3"/>
  <c r="AF87" i="3" s="1"/>
  <c r="Y88" i="3"/>
  <c r="AF88" i="3" s="1"/>
  <c r="Y89" i="3"/>
  <c r="AF89" i="3" s="1"/>
  <c r="Y90" i="3"/>
  <c r="AF90" i="3" s="1"/>
  <c r="Y91" i="3"/>
  <c r="AF91" i="3" s="1"/>
  <c r="Y92" i="3"/>
  <c r="AF92" i="3" s="1"/>
  <c r="Y93" i="3"/>
  <c r="AF93" i="3" s="1"/>
  <c r="Y94" i="3"/>
  <c r="AF94" i="3" s="1"/>
  <c r="Y95" i="3"/>
  <c r="AF95" i="3" s="1"/>
  <c r="Y96" i="3"/>
  <c r="AF96" i="3" s="1"/>
  <c r="Y97" i="3"/>
  <c r="AF97" i="3" s="1"/>
  <c r="Y98" i="3"/>
  <c r="AF98" i="3" s="1"/>
  <c r="Y99" i="3"/>
  <c r="AF99" i="3" s="1"/>
  <c r="Y100" i="3"/>
  <c r="AF100" i="3" s="1"/>
  <c r="Y101" i="3"/>
  <c r="AF101" i="3" s="1"/>
  <c r="Y102" i="3"/>
  <c r="AF102" i="3" s="1"/>
  <c r="Y103" i="3"/>
  <c r="AF103" i="3" s="1"/>
  <c r="Y104" i="3"/>
  <c r="AF104" i="3" s="1"/>
  <c r="Y105" i="3"/>
  <c r="AF105" i="3" s="1"/>
  <c r="Y106" i="3"/>
  <c r="AF106" i="3" s="1"/>
  <c r="Y107" i="3"/>
  <c r="AF107" i="3" s="1"/>
  <c r="Y108" i="3"/>
  <c r="AF108" i="3" s="1"/>
  <c r="Y109" i="3"/>
  <c r="AF109" i="3" s="1"/>
  <c r="Y110" i="3"/>
  <c r="AF110" i="3" s="1"/>
  <c r="Y111" i="3"/>
  <c r="AF111" i="3" s="1"/>
  <c r="Y112" i="3"/>
  <c r="AF112" i="3" s="1"/>
  <c r="Y113" i="3"/>
  <c r="AF113" i="3" s="1"/>
  <c r="Y114" i="3"/>
  <c r="AF114" i="3" s="1"/>
  <c r="Y115" i="3"/>
  <c r="AF115" i="3" s="1"/>
  <c r="Y116" i="3"/>
  <c r="AF116" i="3" s="1"/>
  <c r="Y117" i="3"/>
  <c r="AF117" i="3" s="1"/>
  <c r="Y118" i="3"/>
  <c r="AF118" i="3" s="1"/>
  <c r="Y119" i="3"/>
  <c r="AF119" i="3" s="1"/>
  <c r="Y120" i="3"/>
  <c r="AF120" i="3" s="1"/>
  <c r="Y121" i="3"/>
  <c r="AF121" i="3" s="1"/>
  <c r="Y122" i="3"/>
  <c r="AF122" i="3" s="1"/>
  <c r="Y123" i="3"/>
  <c r="AF123" i="3" s="1"/>
  <c r="Y124" i="3"/>
  <c r="AF124" i="3" s="1"/>
  <c r="Y125" i="3"/>
  <c r="AF125" i="3" s="1"/>
  <c r="Y126" i="3"/>
  <c r="AF126" i="3" s="1"/>
  <c r="Y127" i="3"/>
  <c r="AF127" i="3" s="1"/>
  <c r="Y128" i="3"/>
  <c r="AF128" i="3" s="1"/>
  <c r="Y129" i="3"/>
  <c r="AF129" i="3" s="1"/>
  <c r="Y130" i="3"/>
  <c r="AF130" i="3" s="1"/>
  <c r="Y131" i="3"/>
  <c r="AF131" i="3" s="1"/>
  <c r="Y132" i="3"/>
  <c r="AF132" i="3" s="1"/>
  <c r="Y133" i="3"/>
  <c r="AF133" i="3" s="1"/>
  <c r="Y134" i="3"/>
  <c r="AF134" i="3" s="1"/>
  <c r="Y135" i="3"/>
  <c r="AF135" i="3" s="1"/>
  <c r="Y136" i="3"/>
  <c r="AF136" i="3" s="1"/>
  <c r="Y137" i="3"/>
  <c r="AF137" i="3" s="1"/>
  <c r="Y138" i="3"/>
  <c r="AF138" i="3" s="1"/>
  <c r="Y139" i="3"/>
  <c r="AF139" i="3" s="1"/>
  <c r="Y140" i="3"/>
  <c r="AF140" i="3" s="1"/>
  <c r="Y141" i="3"/>
  <c r="AF141" i="3" s="1"/>
  <c r="Y142" i="3"/>
  <c r="AF142" i="3" s="1"/>
  <c r="Y143" i="3"/>
  <c r="AF143" i="3" s="1"/>
  <c r="Y144" i="3"/>
  <c r="AF144" i="3" s="1"/>
  <c r="Y145" i="3"/>
  <c r="AF145" i="3" s="1"/>
  <c r="Y146" i="3"/>
  <c r="AF146" i="3" s="1"/>
  <c r="Y147" i="3"/>
  <c r="AF147" i="3" s="1"/>
  <c r="Y148" i="3"/>
  <c r="AF148" i="3" s="1"/>
  <c r="Y149" i="3"/>
  <c r="AF149" i="3" s="1"/>
  <c r="Y150" i="3"/>
  <c r="AF150" i="3" s="1"/>
  <c r="Y151" i="3"/>
  <c r="AF151" i="3" s="1"/>
  <c r="Y152" i="3"/>
  <c r="AF152" i="3" s="1"/>
  <c r="Y153" i="3"/>
  <c r="AF153" i="3" s="1"/>
  <c r="Y154" i="3"/>
  <c r="AF154" i="3" s="1"/>
  <c r="Y155" i="3"/>
  <c r="AF155" i="3" s="1"/>
  <c r="Y156" i="3"/>
  <c r="AF156" i="3" s="1"/>
  <c r="Y157" i="3"/>
  <c r="AF157" i="3" s="1"/>
  <c r="Y158" i="3"/>
  <c r="AF158" i="3" s="1"/>
  <c r="Y159" i="3"/>
  <c r="AF159" i="3" s="1"/>
  <c r="Y160" i="3"/>
  <c r="AF160" i="3" s="1"/>
  <c r="Y161" i="3"/>
  <c r="AF161" i="3" s="1"/>
  <c r="Y162" i="3"/>
  <c r="AF162" i="3" s="1"/>
  <c r="Y163" i="3"/>
  <c r="AF163" i="3" s="1"/>
  <c r="Y164" i="3"/>
  <c r="AF164" i="3" s="1"/>
  <c r="Y165" i="3"/>
  <c r="AF165" i="3" s="1"/>
  <c r="Y166" i="3"/>
  <c r="AF166" i="3" s="1"/>
  <c r="Y167" i="3"/>
  <c r="AF167" i="3" s="1"/>
  <c r="Y168" i="3"/>
  <c r="AF168" i="3" s="1"/>
  <c r="Y169" i="3"/>
  <c r="AF169" i="3" s="1"/>
  <c r="Y170" i="3"/>
  <c r="AF170" i="3" s="1"/>
  <c r="Y171" i="3"/>
  <c r="AF171" i="3" s="1"/>
  <c r="Y172" i="3"/>
  <c r="AF172" i="3" s="1"/>
  <c r="Y173" i="3"/>
  <c r="AF173" i="3" s="1"/>
  <c r="Y174" i="3"/>
  <c r="AF174" i="3" s="1"/>
  <c r="Y175" i="3"/>
  <c r="AF175" i="3" s="1"/>
  <c r="Y176" i="3"/>
  <c r="AF176" i="3" s="1"/>
  <c r="Y177" i="3"/>
  <c r="AF177" i="3" s="1"/>
  <c r="Y178" i="3"/>
  <c r="AF178" i="3" s="1"/>
  <c r="Y179" i="3"/>
  <c r="AF179" i="3" s="1"/>
  <c r="Y180" i="3"/>
  <c r="AF180" i="3" s="1"/>
  <c r="Y181" i="3"/>
  <c r="AF181" i="3" s="1"/>
  <c r="Y182" i="3"/>
  <c r="AF182" i="3" s="1"/>
  <c r="Y183" i="3"/>
  <c r="AF183" i="3" s="1"/>
  <c r="Y184" i="3"/>
  <c r="AF184" i="3" s="1"/>
  <c r="Y185" i="3"/>
  <c r="AF185" i="3" s="1"/>
  <c r="Y186" i="3"/>
  <c r="AF186" i="3" s="1"/>
  <c r="Y187" i="3"/>
  <c r="AF187" i="3" s="1"/>
  <c r="Y188" i="3"/>
  <c r="AF188" i="3" s="1"/>
  <c r="Y189" i="3"/>
  <c r="AF189" i="3" s="1"/>
  <c r="Y190" i="3"/>
  <c r="AF190" i="3" s="1"/>
  <c r="Y191" i="3"/>
  <c r="AF191" i="3" s="1"/>
  <c r="Y192" i="3"/>
  <c r="AF192" i="3" s="1"/>
  <c r="Y193" i="3"/>
  <c r="AF193" i="3" s="1"/>
  <c r="Y194" i="3"/>
  <c r="AF194" i="3" s="1"/>
  <c r="Y195" i="3"/>
  <c r="AF195" i="3" s="1"/>
  <c r="Y196" i="3"/>
  <c r="AF196" i="3" s="1"/>
  <c r="Y197" i="3"/>
  <c r="AF197" i="3" s="1"/>
  <c r="Y198" i="3"/>
  <c r="AF198" i="3" s="1"/>
  <c r="Y199" i="3"/>
  <c r="AF199" i="3" s="1"/>
  <c r="Y200" i="3"/>
  <c r="AF200" i="3" s="1"/>
  <c r="Y201" i="3"/>
  <c r="AF201" i="3" s="1"/>
  <c r="Y202" i="3"/>
  <c r="AF202" i="3" s="1"/>
  <c r="Y203" i="3"/>
  <c r="AF203" i="3" s="1"/>
  <c r="Y204" i="3"/>
  <c r="AF204" i="3" s="1"/>
  <c r="Y205" i="3"/>
  <c r="AF205" i="3" s="1"/>
  <c r="Y206" i="3"/>
  <c r="AF206" i="3" s="1"/>
  <c r="Y207" i="3"/>
  <c r="AF207" i="3" s="1"/>
  <c r="Y208" i="3"/>
  <c r="AF208" i="3" s="1"/>
  <c r="Y209" i="3"/>
  <c r="AF209" i="3" s="1"/>
  <c r="Y210" i="3"/>
  <c r="AF210" i="3" s="1"/>
  <c r="Y211" i="3"/>
  <c r="AF211" i="3" s="1"/>
  <c r="Y212" i="3"/>
  <c r="AF212" i="3" s="1"/>
  <c r="Y213" i="3"/>
  <c r="AF213" i="3" s="1"/>
  <c r="Y214" i="3"/>
  <c r="AF214" i="3" s="1"/>
  <c r="Y215" i="3"/>
  <c r="AF215" i="3" s="1"/>
  <c r="Y216" i="3"/>
  <c r="AF216" i="3" s="1"/>
  <c r="Y217" i="3"/>
  <c r="AF217" i="3" s="1"/>
  <c r="Y218" i="3"/>
  <c r="AF218" i="3" s="1"/>
  <c r="Y219" i="3"/>
  <c r="AF219" i="3" s="1"/>
  <c r="Y220" i="3"/>
  <c r="AF220" i="3" s="1"/>
  <c r="Y221" i="3"/>
  <c r="AF221" i="3" s="1"/>
  <c r="Y222" i="3"/>
  <c r="AF222" i="3" s="1"/>
  <c r="Y223" i="3"/>
  <c r="AF223" i="3" s="1"/>
  <c r="Y224" i="3"/>
  <c r="AF224" i="3" s="1"/>
  <c r="Y225" i="3"/>
  <c r="AF225" i="3" s="1"/>
  <c r="Y226" i="3"/>
  <c r="AF226" i="3" s="1"/>
  <c r="Y227" i="3"/>
  <c r="AF227" i="3" s="1"/>
  <c r="Y228" i="3"/>
  <c r="AF228" i="3" s="1"/>
  <c r="Y229" i="3"/>
  <c r="AF229" i="3" s="1"/>
  <c r="Y230" i="3"/>
  <c r="AF230" i="3" s="1"/>
  <c r="Y231" i="3"/>
  <c r="AF231" i="3" s="1"/>
  <c r="Y232" i="3"/>
  <c r="AF232" i="3" s="1"/>
  <c r="Y233" i="3"/>
  <c r="AF233" i="3" s="1"/>
  <c r="Y234" i="3"/>
  <c r="AF234" i="3" s="1"/>
  <c r="Y235" i="3"/>
  <c r="AF235" i="3" s="1"/>
  <c r="Y236" i="3"/>
  <c r="AF236" i="3" s="1"/>
  <c r="Y237" i="3"/>
  <c r="AF237" i="3" s="1"/>
  <c r="Y238" i="3"/>
  <c r="AF238" i="3" s="1"/>
  <c r="Y239" i="3"/>
  <c r="AF239" i="3" s="1"/>
  <c r="Y240" i="3"/>
  <c r="AF240" i="3" s="1"/>
  <c r="Y241" i="3"/>
  <c r="AF241" i="3" s="1"/>
  <c r="Y242" i="3"/>
  <c r="AF242" i="3" s="1"/>
  <c r="Y243" i="3"/>
  <c r="AF243" i="3" s="1"/>
  <c r="Y244" i="3"/>
  <c r="AF244" i="3" s="1"/>
  <c r="Y245" i="3"/>
  <c r="AF245" i="3" s="1"/>
  <c r="Y246" i="3"/>
  <c r="AF246" i="3" s="1"/>
  <c r="Y247" i="3"/>
  <c r="AF247" i="3" s="1"/>
  <c r="Y248" i="3"/>
  <c r="AF248" i="3" s="1"/>
  <c r="Y249" i="3"/>
  <c r="AF249" i="3" s="1"/>
  <c r="Y250" i="3"/>
  <c r="AF250" i="3" s="1"/>
  <c r="Y251" i="3"/>
  <c r="AF251" i="3" s="1"/>
  <c r="Y252" i="3"/>
  <c r="AF252" i="3" s="1"/>
  <c r="Y253" i="3"/>
  <c r="AF253" i="3" s="1"/>
  <c r="Y254" i="3"/>
  <c r="AF254" i="3" s="1"/>
  <c r="Y255" i="3"/>
  <c r="AF255" i="3" s="1"/>
  <c r="Y256" i="3"/>
  <c r="AF256" i="3" s="1"/>
  <c r="Y257" i="3"/>
  <c r="AF257" i="3" s="1"/>
  <c r="Y258" i="3"/>
  <c r="AF258" i="3" s="1"/>
  <c r="Y259" i="3"/>
  <c r="AF259" i="3" s="1"/>
  <c r="Y260" i="3"/>
  <c r="AF260" i="3" s="1"/>
  <c r="Y261" i="3"/>
  <c r="AF261" i="3" s="1"/>
  <c r="Y262" i="3"/>
  <c r="AF262" i="3" s="1"/>
  <c r="Y263" i="3"/>
  <c r="AF263" i="3" s="1"/>
  <c r="Y264" i="3"/>
  <c r="AF264" i="3" s="1"/>
  <c r="Y265" i="3"/>
  <c r="AF265" i="3" s="1"/>
  <c r="Y266" i="3"/>
  <c r="AF266" i="3" s="1"/>
  <c r="Y267" i="3"/>
  <c r="AF267" i="3" s="1"/>
  <c r="Y268" i="3"/>
  <c r="AF268" i="3" s="1"/>
  <c r="Y269" i="3"/>
  <c r="AF269" i="3" s="1"/>
  <c r="Y270" i="3"/>
  <c r="AF270" i="3" s="1"/>
  <c r="Y271" i="3"/>
  <c r="AF271" i="3" s="1"/>
  <c r="Y272" i="3"/>
  <c r="AF272" i="3" s="1"/>
  <c r="Y273" i="3"/>
  <c r="AF273" i="3" s="1"/>
  <c r="Y274" i="3"/>
  <c r="AF274" i="3" s="1"/>
  <c r="Y275" i="3"/>
  <c r="AF275" i="3" s="1"/>
  <c r="Y276" i="3"/>
  <c r="AF276" i="3" s="1"/>
  <c r="Y277" i="3"/>
  <c r="AF277" i="3" s="1"/>
  <c r="Y278" i="3"/>
  <c r="AF278" i="3" s="1"/>
  <c r="Y279" i="3"/>
  <c r="AF279" i="3" s="1"/>
  <c r="Y280" i="3"/>
  <c r="AF280" i="3" s="1"/>
  <c r="Y281" i="3"/>
  <c r="AF281" i="3" s="1"/>
  <c r="Y282" i="3"/>
  <c r="AF282" i="3" s="1"/>
  <c r="Y283" i="3"/>
  <c r="AF283" i="3" s="1"/>
  <c r="Y284" i="3"/>
  <c r="AF284" i="3" s="1"/>
  <c r="Y285" i="3"/>
  <c r="AF285" i="3" s="1"/>
  <c r="Y286" i="3"/>
  <c r="AF286" i="3" s="1"/>
  <c r="Y287" i="3"/>
  <c r="AF287" i="3" s="1"/>
  <c r="Y288" i="3"/>
  <c r="AF288" i="3" s="1"/>
  <c r="Y289" i="3"/>
  <c r="AF289" i="3" s="1"/>
  <c r="Y290" i="3"/>
  <c r="AF290" i="3" s="1"/>
  <c r="Y291" i="3"/>
  <c r="AF291" i="3" s="1"/>
  <c r="Y292" i="3"/>
  <c r="AF292" i="3" s="1"/>
  <c r="Y293" i="3"/>
  <c r="AF293" i="3" s="1"/>
  <c r="Y294" i="3"/>
  <c r="AF294" i="3" s="1"/>
  <c r="Y295" i="3"/>
  <c r="AF295" i="3" s="1"/>
  <c r="Y296" i="3"/>
  <c r="AF296" i="3" s="1"/>
  <c r="Y297" i="3"/>
  <c r="AF297" i="3" s="1"/>
  <c r="Y298" i="3"/>
  <c r="AF298" i="3" s="1"/>
  <c r="Y299" i="3"/>
  <c r="AF299" i="3" s="1"/>
  <c r="Y300" i="3"/>
  <c r="AF300" i="3" s="1"/>
  <c r="Y301" i="3"/>
  <c r="AF301" i="3" s="1"/>
  <c r="Y302" i="3"/>
  <c r="AF302" i="3" s="1"/>
  <c r="Y303" i="3"/>
  <c r="AF303" i="3" s="1"/>
  <c r="Y304" i="3"/>
  <c r="AF304" i="3" s="1"/>
  <c r="Y305" i="3"/>
  <c r="AF305" i="3" s="1"/>
  <c r="Y306" i="3"/>
  <c r="AF306" i="3" s="1"/>
  <c r="Y307" i="3"/>
  <c r="AF307" i="3" s="1"/>
  <c r="Y308" i="3"/>
  <c r="AF308" i="3" s="1"/>
  <c r="Y309" i="3"/>
  <c r="AF309" i="3" s="1"/>
  <c r="Y310" i="3"/>
  <c r="AF310" i="3" s="1"/>
  <c r="Y311" i="3"/>
  <c r="AF311" i="3" s="1"/>
  <c r="Y312" i="3"/>
  <c r="AF312" i="3" s="1"/>
  <c r="Y313" i="3"/>
  <c r="AF313" i="3" s="1"/>
  <c r="Y314" i="3"/>
  <c r="AF314" i="3" s="1"/>
  <c r="Y315" i="3"/>
  <c r="AF315" i="3" s="1"/>
  <c r="Y316" i="3"/>
  <c r="AF316" i="3" s="1"/>
  <c r="Y317" i="3"/>
  <c r="AF317" i="3" s="1"/>
  <c r="Y318" i="3"/>
  <c r="AF318" i="3" s="1"/>
  <c r="Y319" i="3"/>
  <c r="AF319" i="3" s="1"/>
  <c r="Y320" i="3"/>
  <c r="AF320" i="3" s="1"/>
  <c r="Y321" i="3"/>
  <c r="AF321" i="3" s="1"/>
  <c r="Y322" i="3"/>
  <c r="AF322" i="3" s="1"/>
  <c r="Y323" i="3"/>
  <c r="AF323" i="3" s="1"/>
  <c r="Y324" i="3"/>
  <c r="AF324" i="3" s="1"/>
  <c r="Y325" i="3"/>
  <c r="AF325" i="3" s="1"/>
  <c r="Y326" i="3"/>
  <c r="AF326" i="3" s="1"/>
  <c r="Y327" i="3"/>
  <c r="AF327" i="3" s="1"/>
  <c r="Y328" i="3"/>
  <c r="AF328" i="3" s="1"/>
  <c r="Y329" i="3"/>
  <c r="AF329" i="3" s="1"/>
  <c r="Y330" i="3"/>
  <c r="AF330" i="3" s="1"/>
  <c r="Y331" i="3"/>
  <c r="AF331" i="3" s="1"/>
  <c r="Y332" i="3"/>
  <c r="AF332" i="3" s="1"/>
  <c r="Y333" i="3"/>
  <c r="AF333" i="3" s="1"/>
  <c r="Y334" i="3"/>
  <c r="AF334" i="3" s="1"/>
  <c r="Y335" i="3"/>
  <c r="AF335" i="3" s="1"/>
  <c r="Y336" i="3"/>
  <c r="AF336" i="3" s="1"/>
  <c r="Y337" i="3"/>
  <c r="AF337" i="3" s="1"/>
  <c r="Y338" i="3"/>
  <c r="AF338" i="3" s="1"/>
  <c r="Y339" i="3"/>
  <c r="AF339" i="3" s="1"/>
  <c r="Y340" i="3"/>
  <c r="AF340" i="3" s="1"/>
  <c r="Y341" i="3"/>
  <c r="AF341" i="3" s="1"/>
  <c r="Y342" i="3"/>
  <c r="AF342" i="3" s="1"/>
  <c r="Y343" i="3"/>
  <c r="AF343" i="3" s="1"/>
  <c r="Y344" i="3"/>
  <c r="AF344" i="3" s="1"/>
  <c r="Y345" i="3"/>
  <c r="AF345" i="3" s="1"/>
  <c r="Y346" i="3"/>
  <c r="AF346" i="3" s="1"/>
  <c r="Y347" i="3"/>
  <c r="AF347" i="3" s="1"/>
  <c r="Y348" i="3"/>
  <c r="AF348" i="3" s="1"/>
  <c r="Y349" i="3"/>
  <c r="AF349" i="3" s="1"/>
  <c r="Y350" i="3"/>
  <c r="AF350" i="3" s="1"/>
  <c r="Y351" i="3"/>
  <c r="AF351" i="3" s="1"/>
  <c r="Y352" i="3"/>
  <c r="AF352" i="3" s="1"/>
  <c r="Y353" i="3"/>
  <c r="AF353" i="3" s="1"/>
  <c r="Y354" i="3"/>
  <c r="AF354" i="3" s="1"/>
  <c r="Y355" i="3"/>
  <c r="AF355" i="3" s="1"/>
  <c r="Y356" i="3"/>
  <c r="AF356" i="3" s="1"/>
  <c r="Y357" i="3"/>
  <c r="AF357" i="3" s="1"/>
  <c r="Y358" i="3"/>
  <c r="AF358" i="3" s="1"/>
  <c r="Y359" i="3"/>
  <c r="AF359" i="3" s="1"/>
  <c r="Y360" i="3"/>
  <c r="AF360" i="3" s="1"/>
  <c r="Y361" i="3"/>
  <c r="AF361" i="3" s="1"/>
  <c r="Y362" i="3"/>
  <c r="AF362" i="3" s="1"/>
  <c r="Y363" i="3"/>
  <c r="AF363" i="3" s="1"/>
  <c r="Y364" i="3"/>
  <c r="AF364" i="3" s="1"/>
  <c r="Y365" i="3"/>
  <c r="AF365" i="3" s="1"/>
  <c r="Y366" i="3"/>
  <c r="AF366" i="3" s="1"/>
  <c r="Y367" i="3"/>
  <c r="AF367" i="3" s="1"/>
  <c r="Y368" i="3"/>
  <c r="AF368" i="3" s="1"/>
  <c r="Y369" i="3"/>
  <c r="AF369" i="3" s="1"/>
  <c r="Y370" i="3"/>
  <c r="AF370" i="3" s="1"/>
  <c r="Y371" i="3"/>
  <c r="AF371" i="3" s="1"/>
  <c r="Y372" i="3"/>
  <c r="AF372" i="3" s="1"/>
  <c r="Y373" i="3"/>
  <c r="AF373" i="3" s="1"/>
  <c r="Y374" i="3"/>
  <c r="AF374" i="3" s="1"/>
  <c r="Y375" i="3"/>
  <c r="AF375" i="3" s="1"/>
  <c r="Y376" i="3"/>
  <c r="AF376" i="3" s="1"/>
  <c r="Y377" i="3"/>
  <c r="AF377" i="3" s="1"/>
  <c r="Y378" i="3"/>
  <c r="AF378" i="3" s="1"/>
  <c r="Y379" i="3"/>
  <c r="AF379" i="3" s="1"/>
  <c r="Y380" i="3"/>
  <c r="AF380" i="3" s="1"/>
  <c r="Y381" i="3"/>
  <c r="AF381" i="3" s="1"/>
  <c r="Y382" i="3"/>
  <c r="AF382" i="3" s="1"/>
  <c r="Y383" i="3"/>
  <c r="AF383" i="3" s="1"/>
  <c r="Y384" i="3"/>
  <c r="AF384" i="3" s="1"/>
  <c r="Y385" i="3"/>
  <c r="AF385" i="3" s="1"/>
  <c r="Y386" i="3"/>
  <c r="AF386" i="3" s="1"/>
  <c r="Y387" i="3"/>
  <c r="AF387" i="3" s="1"/>
  <c r="Y388" i="3"/>
  <c r="AF388" i="3" s="1"/>
  <c r="Y389" i="3"/>
  <c r="AF389" i="3" s="1"/>
  <c r="Y390" i="3"/>
  <c r="AF390" i="3" s="1"/>
  <c r="Y391" i="3"/>
  <c r="AF391" i="3" s="1"/>
  <c r="Y392" i="3"/>
  <c r="AF392" i="3" s="1"/>
  <c r="Y393" i="3"/>
  <c r="AF393" i="3" s="1"/>
  <c r="Y394" i="3"/>
  <c r="AF394" i="3" s="1"/>
  <c r="Y395" i="3"/>
  <c r="AF395" i="3" s="1"/>
  <c r="Y396" i="3"/>
  <c r="AF396" i="3" s="1"/>
  <c r="Y397" i="3"/>
  <c r="AF397" i="3" s="1"/>
  <c r="Y398" i="3"/>
  <c r="AF398" i="3" s="1"/>
  <c r="Y399" i="3"/>
  <c r="AF399" i="3" s="1"/>
  <c r="Y400" i="3"/>
  <c r="AF400" i="3" s="1"/>
  <c r="Y401" i="3"/>
  <c r="AF401" i="3" s="1"/>
  <c r="Y402" i="3"/>
  <c r="AF402" i="3" s="1"/>
  <c r="Y403" i="3"/>
  <c r="AF403" i="3" s="1"/>
  <c r="Y404" i="3"/>
  <c r="AF404" i="3" s="1"/>
  <c r="Y405" i="3"/>
  <c r="AF405" i="3" s="1"/>
  <c r="Y406" i="3"/>
  <c r="AF406" i="3" s="1"/>
  <c r="Y407" i="3"/>
  <c r="AF407" i="3" s="1"/>
  <c r="Y408" i="3"/>
  <c r="AF408" i="3" s="1"/>
  <c r="Y409" i="3"/>
  <c r="AF409" i="3" s="1"/>
  <c r="Y410" i="3"/>
  <c r="AF410" i="3" s="1"/>
  <c r="Y411" i="3"/>
  <c r="AF411" i="3" s="1"/>
  <c r="Y412" i="3"/>
  <c r="AF412" i="3" s="1"/>
  <c r="Y413" i="3"/>
  <c r="AF413" i="3" s="1"/>
  <c r="Y414" i="3"/>
  <c r="AF414" i="3" s="1"/>
  <c r="Y415" i="3"/>
  <c r="AF415" i="3" s="1"/>
  <c r="Y416" i="3"/>
  <c r="AF416" i="3" s="1"/>
  <c r="Y417" i="3"/>
  <c r="AF417" i="3" s="1"/>
  <c r="Y418" i="3"/>
  <c r="AF418" i="3" s="1"/>
  <c r="Y419" i="3"/>
  <c r="AF419" i="3" s="1"/>
  <c r="Y420" i="3"/>
  <c r="AF420" i="3" s="1"/>
  <c r="Y421" i="3"/>
  <c r="AF421" i="3" s="1"/>
  <c r="Y422" i="3"/>
  <c r="AF422" i="3" s="1"/>
  <c r="Y423" i="3"/>
  <c r="AF423" i="3" s="1"/>
  <c r="Y424" i="3"/>
  <c r="AF424" i="3" s="1"/>
  <c r="Y425" i="3"/>
  <c r="AF425" i="3" s="1"/>
  <c r="Y426" i="3"/>
  <c r="AF426" i="3" s="1"/>
  <c r="Y427" i="3"/>
  <c r="AF427" i="3" s="1"/>
  <c r="Y428" i="3"/>
  <c r="AF428" i="3" s="1"/>
  <c r="Y429" i="3"/>
  <c r="AF429" i="3" s="1"/>
  <c r="Y430" i="3"/>
  <c r="AF430" i="3" s="1"/>
  <c r="Y431" i="3"/>
  <c r="AF431" i="3" s="1"/>
  <c r="Y432" i="3"/>
  <c r="AF432" i="3" s="1"/>
  <c r="Y433" i="3"/>
  <c r="AF433" i="3" s="1"/>
  <c r="Y434" i="3"/>
  <c r="AF434" i="3" s="1"/>
  <c r="Y435" i="3"/>
  <c r="AF435" i="3" s="1"/>
  <c r="Y436" i="3"/>
  <c r="AF436" i="3" s="1"/>
  <c r="Y437" i="3"/>
  <c r="AF437" i="3" s="1"/>
  <c r="Y438" i="3"/>
  <c r="AF438" i="3" s="1"/>
  <c r="Y439" i="3"/>
  <c r="AF439" i="3" s="1"/>
  <c r="Y440" i="3"/>
  <c r="AF440" i="3" s="1"/>
  <c r="Y441" i="3"/>
  <c r="AF441" i="3" s="1"/>
  <c r="Y442" i="3"/>
  <c r="AF442" i="3" s="1"/>
  <c r="Y443" i="3"/>
  <c r="AF443" i="3" s="1"/>
  <c r="Y444" i="3"/>
  <c r="AF444" i="3" s="1"/>
  <c r="Y445" i="3"/>
  <c r="AF445" i="3" s="1"/>
  <c r="Y446" i="3"/>
  <c r="AF446" i="3" s="1"/>
  <c r="Y447" i="3"/>
  <c r="AF447" i="3" s="1"/>
  <c r="Y448" i="3"/>
  <c r="AF448" i="3" s="1"/>
  <c r="Y449" i="3"/>
  <c r="AF449" i="3" s="1"/>
  <c r="Y450" i="3"/>
  <c r="AF450" i="3" s="1"/>
  <c r="Y451" i="3"/>
  <c r="AF451" i="3" s="1"/>
  <c r="Y452" i="3"/>
  <c r="AF452" i="3" s="1"/>
  <c r="Y453" i="3"/>
  <c r="AF453" i="3" s="1"/>
  <c r="Y454" i="3"/>
  <c r="AF454" i="3" s="1"/>
  <c r="Y455" i="3"/>
  <c r="AF455" i="3" s="1"/>
  <c r="Y456" i="3"/>
  <c r="AF456" i="3" s="1"/>
  <c r="Y457" i="3"/>
  <c r="AF457" i="3" s="1"/>
  <c r="Y458" i="3"/>
  <c r="AF458" i="3" s="1"/>
  <c r="Y459" i="3"/>
  <c r="AF459" i="3" s="1"/>
  <c r="Y460" i="3"/>
  <c r="AF460" i="3" s="1"/>
  <c r="Y461" i="3"/>
  <c r="AF461" i="3" s="1"/>
  <c r="Y462" i="3"/>
  <c r="AF462" i="3" s="1"/>
  <c r="Y463" i="3"/>
  <c r="AF463" i="3" s="1"/>
  <c r="Y464" i="3"/>
  <c r="AF464" i="3" s="1"/>
  <c r="Y465" i="3"/>
  <c r="AF465" i="3" s="1"/>
  <c r="Y466" i="3"/>
  <c r="AF466" i="3" s="1"/>
  <c r="Y467" i="3"/>
  <c r="AF467" i="3" s="1"/>
  <c r="Y468" i="3"/>
  <c r="AF468" i="3" s="1"/>
  <c r="Y469" i="3"/>
  <c r="AF469" i="3" s="1"/>
  <c r="Y470" i="3"/>
  <c r="AF470" i="3" s="1"/>
  <c r="Y471" i="3"/>
  <c r="AF471" i="3" s="1"/>
  <c r="Y472" i="3"/>
  <c r="AF472" i="3" s="1"/>
  <c r="Y473" i="3"/>
  <c r="AF473" i="3" s="1"/>
  <c r="Y474" i="3"/>
  <c r="AF474" i="3" s="1"/>
  <c r="Y475" i="3"/>
  <c r="AF475" i="3" s="1"/>
  <c r="Y476" i="3"/>
  <c r="AF476" i="3" s="1"/>
  <c r="Y477" i="3"/>
  <c r="AF477" i="3" s="1"/>
  <c r="Y478" i="3"/>
  <c r="AF478" i="3" s="1"/>
  <c r="Y479" i="3"/>
  <c r="AF479" i="3" s="1"/>
  <c r="Y480" i="3"/>
  <c r="AF480" i="3" s="1"/>
  <c r="Y481" i="3"/>
  <c r="AF481" i="3" s="1"/>
  <c r="Y482" i="3"/>
  <c r="AF482" i="3" s="1"/>
  <c r="Y483" i="3"/>
  <c r="AF483" i="3" s="1"/>
  <c r="Y484" i="3"/>
  <c r="AF484" i="3" s="1"/>
  <c r="Y485" i="3"/>
  <c r="AF485" i="3" s="1"/>
  <c r="Y486" i="3"/>
  <c r="AF486" i="3" s="1"/>
  <c r="Y487" i="3"/>
  <c r="AF487" i="3" s="1"/>
  <c r="Y488" i="3"/>
  <c r="AF488" i="3" s="1"/>
  <c r="Y489" i="3"/>
  <c r="AF489" i="3" s="1"/>
  <c r="Y490" i="3"/>
  <c r="AF490" i="3" s="1"/>
  <c r="Y491" i="3"/>
  <c r="AF491" i="3" s="1"/>
  <c r="Y492" i="3"/>
  <c r="AF492" i="3" s="1"/>
  <c r="Y493" i="3"/>
  <c r="AF493" i="3" s="1"/>
  <c r="Y494" i="3"/>
  <c r="AF494" i="3" s="1"/>
  <c r="Y495" i="3"/>
  <c r="AF495" i="3" s="1"/>
  <c r="Y496" i="3"/>
  <c r="AF496" i="3" s="1"/>
  <c r="Y497" i="3"/>
  <c r="AF497" i="3" s="1"/>
  <c r="Y498" i="3"/>
  <c r="AF498" i="3" s="1"/>
  <c r="Y499" i="3"/>
  <c r="AF499" i="3" s="1"/>
  <c r="Y500" i="3"/>
  <c r="AF500" i="3" s="1"/>
  <c r="Y501" i="3"/>
  <c r="AF501" i="3" s="1"/>
  <c r="Y502" i="3"/>
  <c r="AF502" i="3" s="1"/>
  <c r="Y503" i="3"/>
  <c r="AF503" i="3" s="1"/>
  <c r="Y504" i="3"/>
  <c r="AF504" i="3" s="1"/>
  <c r="Y505" i="3"/>
  <c r="AF505" i="3" s="1"/>
  <c r="Y506" i="3"/>
  <c r="AF506" i="3" s="1"/>
  <c r="Y507" i="3"/>
  <c r="AF507" i="3" s="1"/>
  <c r="Y508" i="3"/>
  <c r="AF508" i="3" s="1"/>
  <c r="Y509" i="3"/>
  <c r="AF509" i="3" s="1"/>
  <c r="Y510" i="3"/>
  <c r="AF510" i="3" s="1"/>
  <c r="Y511" i="3"/>
  <c r="AF511" i="3" s="1"/>
  <c r="Y512" i="3"/>
  <c r="AF512" i="3" s="1"/>
  <c r="Y513" i="3"/>
  <c r="AF513" i="3" s="1"/>
  <c r="Y514" i="3"/>
  <c r="AF514" i="3" s="1"/>
  <c r="Y515" i="3"/>
  <c r="AF515" i="3" s="1"/>
  <c r="Y516" i="3"/>
  <c r="AF516" i="3" s="1"/>
  <c r="Y517" i="3"/>
  <c r="AF517" i="3" s="1"/>
  <c r="Y518" i="3"/>
  <c r="AF518" i="3" s="1"/>
  <c r="Y519" i="3"/>
  <c r="AF519" i="3" s="1"/>
  <c r="Y520" i="3"/>
  <c r="AF520" i="3" s="1"/>
  <c r="Y521" i="3"/>
  <c r="AF521" i="3" s="1"/>
  <c r="Y522" i="3"/>
  <c r="AF522" i="3" s="1"/>
  <c r="Y523" i="3"/>
  <c r="AF523" i="3" s="1"/>
  <c r="Y524" i="3"/>
  <c r="AF524" i="3" s="1"/>
  <c r="Y525" i="3"/>
  <c r="AF525" i="3" s="1"/>
  <c r="Y526" i="3"/>
  <c r="AF526" i="3" s="1"/>
  <c r="Y527" i="3"/>
  <c r="AF527" i="3" s="1"/>
  <c r="Y528" i="3"/>
  <c r="AF528" i="3" s="1"/>
  <c r="Y529" i="3"/>
  <c r="AF529" i="3" s="1"/>
  <c r="Y530" i="3"/>
  <c r="AF530" i="3" s="1"/>
  <c r="Y531" i="3"/>
  <c r="AF531" i="3" s="1"/>
  <c r="Y532" i="3"/>
  <c r="AF532" i="3" s="1"/>
  <c r="Y533" i="3"/>
  <c r="AF533" i="3" s="1"/>
  <c r="Y534" i="3"/>
  <c r="AF534" i="3" s="1"/>
  <c r="Y535" i="3"/>
  <c r="AF535" i="3" s="1"/>
  <c r="Y536" i="3"/>
  <c r="AF536" i="3" s="1"/>
  <c r="Y537" i="3"/>
  <c r="AF537" i="3" s="1"/>
  <c r="Y538" i="3"/>
  <c r="AF538" i="3" s="1"/>
  <c r="Y539" i="3"/>
  <c r="AF539" i="3" s="1"/>
  <c r="Y540" i="3"/>
  <c r="AF540" i="3" s="1"/>
  <c r="Y541" i="3"/>
  <c r="AF541" i="3" s="1"/>
  <c r="Y542" i="3"/>
  <c r="AF542" i="3" s="1"/>
  <c r="Y543" i="3"/>
  <c r="AF543" i="3" s="1"/>
  <c r="Y544" i="3"/>
  <c r="AF544" i="3" s="1"/>
  <c r="Y545" i="3"/>
  <c r="AF545" i="3" s="1"/>
  <c r="Y546" i="3"/>
  <c r="AF546" i="3" s="1"/>
  <c r="Y547" i="3"/>
  <c r="AF547" i="3" s="1"/>
  <c r="Y548" i="3"/>
  <c r="AF548" i="3" s="1"/>
  <c r="Y549" i="3"/>
  <c r="AF549" i="3" s="1"/>
  <c r="Y550" i="3"/>
  <c r="AF550" i="3" s="1"/>
  <c r="Y551" i="3"/>
  <c r="AF551" i="3" s="1"/>
  <c r="Y552" i="3"/>
  <c r="AF552" i="3" s="1"/>
  <c r="Y553" i="3"/>
  <c r="AF553" i="3" s="1"/>
  <c r="Y554" i="3"/>
  <c r="AF554" i="3" s="1"/>
  <c r="Y555" i="3"/>
  <c r="AF555" i="3" s="1"/>
  <c r="Y556" i="3"/>
  <c r="AF556" i="3" s="1"/>
  <c r="Y557" i="3"/>
  <c r="AF557" i="3" s="1"/>
  <c r="Y558" i="3"/>
  <c r="AF558" i="3" s="1"/>
  <c r="Y559" i="3"/>
  <c r="AF559" i="3" s="1"/>
  <c r="Y560" i="3"/>
  <c r="AF560" i="3" s="1"/>
  <c r="Y561" i="3"/>
  <c r="AF561" i="3" s="1"/>
  <c r="Y562" i="3"/>
  <c r="AF562" i="3" s="1"/>
  <c r="Y563" i="3"/>
  <c r="AF563" i="3" s="1"/>
  <c r="Y564" i="3"/>
  <c r="AF564" i="3" s="1"/>
  <c r="Y565" i="3"/>
  <c r="AF565" i="3" s="1"/>
  <c r="Y566" i="3"/>
  <c r="AF566" i="3" s="1"/>
  <c r="Y567" i="3"/>
  <c r="AF567" i="3" s="1"/>
  <c r="Y568" i="3"/>
  <c r="AF568" i="3" s="1"/>
  <c r="Y569" i="3"/>
  <c r="AF569" i="3" s="1"/>
  <c r="Y570" i="3"/>
  <c r="AF570" i="3" s="1"/>
  <c r="Y571" i="3"/>
  <c r="AF571" i="3" s="1"/>
  <c r="Y572" i="3"/>
  <c r="AF572" i="3" s="1"/>
  <c r="Y573" i="3"/>
  <c r="AF573" i="3" s="1"/>
  <c r="Y574" i="3"/>
  <c r="AF574" i="3" s="1"/>
  <c r="Y575" i="3"/>
  <c r="AF575" i="3" s="1"/>
  <c r="Y576" i="3"/>
  <c r="AF576" i="3" s="1"/>
  <c r="Y577" i="3"/>
  <c r="AF577" i="3" s="1"/>
  <c r="Y578" i="3"/>
  <c r="AF578" i="3" s="1"/>
  <c r="Y579" i="3"/>
  <c r="AF579" i="3" s="1"/>
  <c r="Y580" i="3"/>
  <c r="AF580" i="3" s="1"/>
  <c r="Y581" i="3"/>
  <c r="AF581" i="3" s="1"/>
  <c r="Y582" i="3"/>
  <c r="AF582" i="3" s="1"/>
  <c r="Y583" i="3"/>
  <c r="AF583" i="3" s="1"/>
  <c r="Y584" i="3"/>
  <c r="AF584" i="3" s="1"/>
  <c r="Y585" i="3"/>
  <c r="AF585" i="3" s="1"/>
  <c r="Y586" i="3"/>
  <c r="AF586" i="3" s="1"/>
  <c r="Y587" i="3"/>
  <c r="AF587" i="3" s="1"/>
  <c r="Y588" i="3"/>
  <c r="AF588" i="3" s="1"/>
  <c r="Y589" i="3"/>
  <c r="AF589" i="3" s="1"/>
  <c r="Y590" i="3"/>
  <c r="AF590" i="3" s="1"/>
  <c r="Y591" i="3"/>
  <c r="AF591" i="3" s="1"/>
  <c r="Y592" i="3"/>
  <c r="AF592" i="3" s="1"/>
  <c r="Y593" i="3"/>
  <c r="AF593" i="3" s="1"/>
  <c r="Y594" i="3"/>
  <c r="AF594" i="3" s="1"/>
  <c r="Y595" i="3"/>
  <c r="AF595" i="3" s="1"/>
  <c r="Y596" i="3"/>
  <c r="AF596" i="3" s="1"/>
  <c r="Y597" i="3"/>
  <c r="AF597" i="3" s="1"/>
  <c r="Y598" i="3"/>
  <c r="AF598" i="3" s="1"/>
  <c r="Y599" i="3"/>
  <c r="AF599" i="3" s="1"/>
  <c r="Y600" i="3"/>
  <c r="AF600" i="3" s="1"/>
  <c r="Y601" i="3"/>
  <c r="AF601" i="3" s="1"/>
  <c r="Y602" i="3"/>
  <c r="AF602" i="3" s="1"/>
  <c r="Y603" i="3"/>
  <c r="AF603" i="3" s="1"/>
  <c r="Y604" i="3"/>
  <c r="AF604" i="3" s="1"/>
  <c r="Y605" i="3"/>
  <c r="AF605" i="3" s="1"/>
  <c r="Y606" i="3"/>
  <c r="AF606" i="3" s="1"/>
  <c r="Y607" i="3"/>
  <c r="AF607" i="3" s="1"/>
  <c r="Y608" i="3"/>
  <c r="AF608" i="3" s="1"/>
  <c r="Y609" i="3"/>
  <c r="AF609" i="3" s="1"/>
  <c r="Y610" i="3"/>
  <c r="AF610" i="3" s="1"/>
  <c r="Y611" i="3"/>
  <c r="AF611" i="3" s="1"/>
  <c r="Y612" i="3"/>
  <c r="AF612" i="3" s="1"/>
  <c r="Y613" i="3"/>
  <c r="AF613" i="3" s="1"/>
  <c r="Y614" i="3"/>
  <c r="AF614" i="3" s="1"/>
  <c r="Y615" i="3"/>
  <c r="AF615" i="3" s="1"/>
  <c r="Y616" i="3"/>
  <c r="AF616" i="3" s="1"/>
  <c r="Y617" i="3"/>
  <c r="AF617" i="3" s="1"/>
  <c r="Y618" i="3"/>
  <c r="AF618" i="3" s="1"/>
  <c r="Y619" i="3"/>
  <c r="AF619" i="3" s="1"/>
  <c r="Y620" i="3"/>
  <c r="AF620" i="3" s="1"/>
  <c r="Y621" i="3"/>
  <c r="AF621" i="3" s="1"/>
  <c r="Y622" i="3"/>
  <c r="AF622" i="3" s="1"/>
  <c r="Y623" i="3"/>
  <c r="AF623" i="3" s="1"/>
  <c r="Y624" i="3"/>
  <c r="AF624" i="3" s="1"/>
  <c r="Y625" i="3"/>
  <c r="AF625" i="3" s="1"/>
  <c r="Y626" i="3"/>
  <c r="AF626" i="3" s="1"/>
  <c r="Y627" i="3"/>
  <c r="AF627" i="3" s="1"/>
  <c r="Y628" i="3"/>
  <c r="AF628" i="3" s="1"/>
  <c r="Y629" i="3"/>
  <c r="AF629" i="3" s="1"/>
  <c r="Y630" i="3"/>
  <c r="AF630" i="3" s="1"/>
  <c r="Y631" i="3"/>
  <c r="AF631" i="3" s="1"/>
  <c r="Y632" i="3"/>
  <c r="AF632" i="3" s="1"/>
  <c r="Y633" i="3"/>
  <c r="AF633" i="3" s="1"/>
  <c r="V3" i="3"/>
  <c r="V4" i="3"/>
  <c r="AI4" i="3" s="1"/>
  <c r="AJ4" i="3" s="1"/>
  <c r="V5" i="3"/>
  <c r="V6" i="3"/>
  <c r="V7" i="3"/>
  <c r="V8" i="3"/>
  <c r="V9" i="3"/>
  <c r="V10" i="3"/>
  <c r="V11" i="3"/>
  <c r="V12" i="3"/>
  <c r="V13" i="3"/>
  <c r="V14" i="3"/>
  <c r="V15" i="3"/>
  <c r="V16" i="3"/>
  <c r="V17" i="3"/>
  <c r="V18" i="3"/>
  <c r="V19" i="3"/>
  <c r="V20" i="3"/>
  <c r="V21" i="3"/>
  <c r="V22" i="3"/>
  <c r="V23" i="3"/>
  <c r="V24" i="3"/>
  <c r="V25" i="3"/>
  <c r="V26" i="3"/>
  <c r="V27" i="3"/>
  <c r="V28" i="3"/>
  <c r="V29" i="3"/>
  <c r="V30" i="3"/>
  <c r="V31" i="3"/>
  <c r="V32" i="3"/>
  <c r="V33" i="3"/>
  <c r="V34" i="3"/>
  <c r="V35" i="3"/>
  <c r="V36" i="3"/>
  <c r="V37" i="3"/>
  <c r="V38" i="3"/>
  <c r="V39" i="3"/>
  <c r="V40" i="3"/>
  <c r="V41" i="3"/>
  <c r="V42" i="3"/>
  <c r="V43" i="3"/>
  <c r="V44" i="3"/>
  <c r="V45" i="3"/>
  <c r="V46" i="3"/>
  <c r="V47" i="3"/>
  <c r="V48" i="3"/>
  <c r="V49" i="3"/>
  <c r="V50" i="3"/>
  <c r="V51" i="3"/>
  <c r="V52" i="3"/>
  <c r="V53" i="3"/>
  <c r="V54" i="3"/>
  <c r="V55" i="3"/>
  <c r="V56" i="3"/>
  <c r="V57" i="3"/>
  <c r="V58" i="3"/>
  <c r="V59" i="3"/>
  <c r="V60" i="3"/>
  <c r="V61" i="3"/>
  <c r="V62" i="3"/>
  <c r="V63" i="3"/>
  <c r="V64" i="3"/>
  <c r="V65" i="3"/>
  <c r="V66" i="3"/>
  <c r="V67" i="3"/>
  <c r="V68" i="3"/>
  <c r="V69" i="3"/>
  <c r="V70" i="3"/>
  <c r="V71" i="3"/>
  <c r="V72" i="3"/>
  <c r="V73" i="3"/>
  <c r="V74" i="3"/>
  <c r="V75" i="3"/>
  <c r="V76" i="3"/>
  <c r="V77" i="3"/>
  <c r="V78" i="3"/>
  <c r="V79" i="3"/>
  <c r="V80" i="3"/>
  <c r="V81" i="3"/>
  <c r="V82" i="3"/>
  <c r="V83" i="3"/>
  <c r="V84" i="3"/>
  <c r="V85" i="3"/>
  <c r="V86" i="3"/>
  <c r="V87" i="3"/>
  <c r="V88" i="3"/>
  <c r="V89" i="3"/>
  <c r="V90" i="3"/>
  <c r="V91" i="3"/>
  <c r="V92" i="3"/>
  <c r="V93" i="3"/>
  <c r="V94" i="3"/>
  <c r="V95" i="3"/>
  <c r="V96" i="3"/>
  <c r="V97" i="3"/>
  <c r="V98" i="3"/>
  <c r="V99" i="3"/>
  <c r="V100" i="3"/>
  <c r="V101" i="3"/>
  <c r="V102" i="3"/>
  <c r="V103" i="3"/>
  <c r="V104" i="3"/>
  <c r="V105" i="3"/>
  <c r="V106" i="3"/>
  <c r="V107" i="3"/>
  <c r="V108" i="3"/>
  <c r="V109" i="3"/>
  <c r="V110" i="3"/>
  <c r="V111" i="3"/>
  <c r="V112" i="3"/>
  <c r="V113" i="3"/>
  <c r="V114" i="3"/>
  <c r="V115" i="3"/>
  <c r="V116" i="3"/>
  <c r="V117" i="3"/>
  <c r="V118" i="3"/>
  <c r="V119" i="3"/>
  <c r="V120" i="3"/>
  <c r="V121" i="3"/>
  <c r="V122" i="3"/>
  <c r="V123" i="3"/>
  <c r="V124" i="3"/>
  <c r="V125" i="3"/>
  <c r="V126" i="3"/>
  <c r="V127" i="3"/>
  <c r="V128" i="3"/>
  <c r="V129" i="3"/>
  <c r="V130" i="3"/>
  <c r="V131" i="3"/>
  <c r="V132" i="3"/>
  <c r="V133" i="3"/>
  <c r="V134" i="3"/>
  <c r="V135" i="3"/>
  <c r="V136" i="3"/>
  <c r="V137" i="3"/>
  <c r="V138" i="3"/>
  <c r="V139" i="3"/>
  <c r="V140" i="3"/>
  <c r="V141" i="3"/>
  <c r="V142" i="3"/>
  <c r="V143" i="3"/>
  <c r="V144" i="3"/>
  <c r="V145" i="3"/>
  <c r="V146" i="3"/>
  <c r="V147" i="3"/>
  <c r="V148" i="3"/>
  <c r="V149" i="3"/>
  <c r="V150" i="3"/>
  <c r="V151" i="3"/>
  <c r="V152" i="3"/>
  <c r="V153" i="3"/>
  <c r="V154" i="3"/>
  <c r="V155" i="3"/>
  <c r="V156" i="3"/>
  <c r="V157" i="3"/>
  <c r="V158" i="3"/>
  <c r="V159" i="3"/>
  <c r="V160" i="3"/>
  <c r="V161" i="3"/>
  <c r="V162" i="3"/>
  <c r="V163" i="3"/>
  <c r="V164" i="3"/>
  <c r="V165" i="3"/>
  <c r="V166" i="3"/>
  <c r="V167" i="3"/>
  <c r="V168" i="3"/>
  <c r="V169" i="3"/>
  <c r="V170" i="3"/>
  <c r="V171" i="3"/>
  <c r="V172" i="3"/>
  <c r="V173" i="3"/>
  <c r="V174" i="3"/>
  <c r="V175" i="3"/>
  <c r="V176" i="3"/>
  <c r="V177" i="3"/>
  <c r="V178" i="3"/>
  <c r="V179" i="3"/>
  <c r="V180" i="3"/>
  <c r="V181" i="3"/>
  <c r="V182" i="3"/>
  <c r="V183" i="3"/>
  <c r="V184" i="3"/>
  <c r="V185" i="3"/>
  <c r="V186" i="3"/>
  <c r="V187" i="3"/>
  <c r="V188" i="3"/>
  <c r="V189" i="3"/>
  <c r="V190" i="3"/>
  <c r="V191" i="3"/>
  <c r="V192" i="3"/>
  <c r="V193" i="3"/>
  <c r="V194" i="3"/>
  <c r="V195" i="3"/>
  <c r="V196" i="3"/>
  <c r="V197" i="3"/>
  <c r="V198" i="3"/>
  <c r="V199" i="3"/>
  <c r="V200" i="3"/>
  <c r="V201" i="3"/>
  <c r="V202" i="3"/>
  <c r="V203" i="3"/>
  <c r="V204" i="3"/>
  <c r="V205" i="3"/>
  <c r="V206" i="3"/>
  <c r="V207" i="3"/>
  <c r="V208" i="3"/>
  <c r="V209" i="3"/>
  <c r="V210" i="3"/>
  <c r="V211" i="3"/>
  <c r="V212" i="3"/>
  <c r="V213" i="3"/>
  <c r="V214" i="3"/>
  <c r="V215" i="3"/>
  <c r="V216" i="3"/>
  <c r="V217" i="3"/>
  <c r="V218" i="3"/>
  <c r="V219" i="3"/>
  <c r="V220" i="3"/>
  <c r="V221" i="3"/>
  <c r="V222" i="3"/>
  <c r="V223" i="3"/>
  <c r="V224" i="3"/>
  <c r="V225" i="3"/>
  <c r="V226" i="3"/>
  <c r="V227" i="3"/>
  <c r="V228" i="3"/>
  <c r="V229" i="3"/>
  <c r="V230" i="3"/>
  <c r="V231" i="3"/>
  <c r="V232" i="3"/>
  <c r="V233" i="3"/>
  <c r="V234" i="3"/>
  <c r="V235" i="3"/>
  <c r="V236" i="3"/>
  <c r="V237" i="3"/>
  <c r="V238" i="3"/>
  <c r="V239" i="3"/>
  <c r="V240" i="3"/>
  <c r="V241" i="3"/>
  <c r="V242" i="3"/>
  <c r="V243" i="3"/>
  <c r="V244" i="3"/>
  <c r="V245" i="3"/>
  <c r="V246" i="3"/>
  <c r="V247" i="3"/>
  <c r="V248" i="3"/>
  <c r="V249" i="3"/>
  <c r="V250" i="3"/>
  <c r="V251" i="3"/>
  <c r="V252" i="3"/>
  <c r="V253" i="3"/>
  <c r="V254" i="3"/>
  <c r="V255" i="3"/>
  <c r="V256" i="3"/>
  <c r="V257" i="3"/>
  <c r="V258" i="3"/>
  <c r="V259" i="3"/>
  <c r="V260" i="3"/>
  <c r="V261" i="3"/>
  <c r="V262" i="3"/>
  <c r="V263" i="3"/>
  <c r="V264" i="3"/>
  <c r="V265" i="3"/>
  <c r="V266" i="3"/>
  <c r="V267" i="3"/>
  <c r="V268" i="3"/>
  <c r="V269" i="3"/>
  <c r="V270" i="3"/>
  <c r="V271" i="3"/>
  <c r="V272" i="3"/>
  <c r="V273" i="3"/>
  <c r="V274" i="3"/>
  <c r="V275" i="3"/>
  <c r="V276" i="3"/>
  <c r="V277" i="3"/>
  <c r="V278" i="3"/>
  <c r="V279" i="3"/>
  <c r="V280" i="3"/>
  <c r="V281" i="3"/>
  <c r="V282" i="3"/>
  <c r="V283" i="3"/>
  <c r="V284" i="3"/>
  <c r="V285" i="3"/>
  <c r="V286" i="3"/>
  <c r="V287" i="3"/>
  <c r="V288" i="3"/>
  <c r="V289" i="3"/>
  <c r="V290" i="3"/>
  <c r="V291" i="3"/>
  <c r="V292" i="3"/>
  <c r="V293" i="3"/>
  <c r="V294" i="3"/>
  <c r="V295" i="3"/>
  <c r="V296" i="3"/>
  <c r="V297" i="3"/>
  <c r="V298" i="3"/>
  <c r="V299" i="3"/>
  <c r="V300" i="3"/>
  <c r="V301" i="3"/>
  <c r="V302" i="3"/>
  <c r="V303" i="3"/>
  <c r="V304" i="3"/>
  <c r="V305" i="3"/>
  <c r="V306" i="3"/>
  <c r="V307" i="3"/>
  <c r="V308" i="3"/>
  <c r="V309" i="3"/>
  <c r="V310" i="3"/>
  <c r="V311" i="3"/>
  <c r="V312" i="3"/>
  <c r="V313" i="3"/>
  <c r="V314" i="3"/>
  <c r="V315" i="3"/>
  <c r="V316" i="3"/>
  <c r="V317" i="3"/>
  <c r="V318" i="3"/>
  <c r="V319" i="3"/>
  <c r="V320" i="3"/>
  <c r="V321" i="3"/>
  <c r="V322" i="3"/>
  <c r="V323" i="3"/>
  <c r="V324" i="3"/>
  <c r="V325" i="3"/>
  <c r="V326" i="3"/>
  <c r="V327" i="3"/>
  <c r="V328" i="3"/>
  <c r="V329" i="3"/>
  <c r="V330" i="3"/>
  <c r="V331" i="3"/>
  <c r="V332" i="3"/>
  <c r="V333" i="3"/>
  <c r="V334" i="3"/>
  <c r="V335" i="3"/>
  <c r="V336" i="3"/>
  <c r="V337" i="3"/>
  <c r="V338" i="3"/>
  <c r="V339" i="3"/>
  <c r="V340" i="3"/>
  <c r="V341" i="3"/>
  <c r="V342" i="3"/>
  <c r="V343" i="3"/>
  <c r="V344" i="3"/>
  <c r="V345" i="3"/>
  <c r="V346" i="3"/>
  <c r="V347" i="3"/>
  <c r="V348" i="3"/>
  <c r="V349" i="3"/>
  <c r="V350" i="3"/>
  <c r="V351" i="3"/>
  <c r="V352" i="3"/>
  <c r="V353" i="3"/>
  <c r="V354" i="3"/>
  <c r="V355" i="3"/>
  <c r="V356" i="3"/>
  <c r="V357" i="3"/>
  <c r="V358" i="3"/>
  <c r="V359" i="3"/>
  <c r="V360" i="3"/>
  <c r="V361" i="3"/>
  <c r="V362" i="3"/>
  <c r="V363" i="3"/>
  <c r="V364" i="3"/>
  <c r="V365" i="3"/>
  <c r="V366" i="3"/>
  <c r="V367" i="3"/>
  <c r="V368" i="3"/>
  <c r="V369" i="3"/>
  <c r="V370" i="3"/>
  <c r="V371" i="3"/>
  <c r="V372" i="3"/>
  <c r="V373" i="3"/>
  <c r="V374" i="3"/>
  <c r="V375" i="3"/>
  <c r="V376" i="3"/>
  <c r="V377" i="3"/>
  <c r="V378" i="3"/>
  <c r="V379" i="3"/>
  <c r="V380" i="3"/>
  <c r="V381" i="3"/>
  <c r="V382" i="3"/>
  <c r="V383" i="3"/>
  <c r="V384" i="3"/>
  <c r="V385" i="3"/>
  <c r="V386" i="3"/>
  <c r="V387" i="3"/>
  <c r="V388" i="3"/>
  <c r="V389" i="3"/>
  <c r="V390" i="3"/>
  <c r="V391" i="3"/>
  <c r="V392" i="3"/>
  <c r="V393" i="3"/>
  <c r="V394" i="3"/>
  <c r="V395" i="3"/>
  <c r="V396" i="3"/>
  <c r="V397" i="3"/>
  <c r="V398" i="3"/>
  <c r="V399" i="3"/>
  <c r="V400" i="3"/>
  <c r="V401" i="3"/>
  <c r="V402" i="3"/>
  <c r="V403" i="3"/>
  <c r="V404" i="3"/>
  <c r="V405" i="3"/>
  <c r="V406" i="3"/>
  <c r="V407" i="3"/>
  <c r="V408" i="3"/>
  <c r="V409" i="3"/>
  <c r="V410" i="3"/>
  <c r="V411" i="3"/>
  <c r="V412" i="3"/>
  <c r="V413" i="3"/>
  <c r="V414" i="3"/>
  <c r="V415" i="3"/>
  <c r="V416" i="3"/>
  <c r="V417" i="3"/>
  <c r="V418" i="3"/>
  <c r="V419" i="3"/>
  <c r="V420" i="3"/>
  <c r="V421" i="3"/>
  <c r="V422" i="3"/>
  <c r="V423" i="3"/>
  <c r="V424" i="3"/>
  <c r="V425" i="3"/>
  <c r="V426" i="3"/>
  <c r="V427" i="3"/>
  <c r="V428" i="3"/>
  <c r="V429" i="3"/>
  <c r="V430" i="3"/>
  <c r="V431" i="3"/>
  <c r="V432" i="3"/>
  <c r="V433" i="3"/>
  <c r="V434" i="3"/>
  <c r="V435" i="3"/>
  <c r="V436" i="3"/>
  <c r="V437" i="3"/>
  <c r="V438" i="3"/>
  <c r="V439" i="3"/>
  <c r="V440" i="3"/>
  <c r="V441" i="3"/>
  <c r="V442" i="3"/>
  <c r="V443" i="3"/>
  <c r="V444" i="3"/>
  <c r="V445" i="3"/>
  <c r="V446" i="3"/>
  <c r="V447" i="3"/>
  <c r="V448" i="3"/>
  <c r="V449" i="3"/>
  <c r="V450" i="3"/>
  <c r="V451" i="3"/>
  <c r="V452" i="3"/>
  <c r="V453" i="3"/>
  <c r="V454" i="3"/>
  <c r="V455" i="3"/>
  <c r="V456" i="3"/>
  <c r="V457" i="3"/>
  <c r="V458" i="3"/>
  <c r="V459" i="3"/>
  <c r="V460" i="3"/>
  <c r="V461" i="3"/>
  <c r="V462" i="3"/>
  <c r="V463" i="3"/>
  <c r="V464" i="3"/>
  <c r="V465" i="3"/>
  <c r="V466" i="3"/>
  <c r="V467" i="3"/>
  <c r="V468" i="3"/>
  <c r="V469" i="3"/>
  <c r="V470" i="3"/>
  <c r="V471" i="3"/>
  <c r="V472" i="3"/>
  <c r="V473" i="3"/>
  <c r="V474" i="3"/>
  <c r="V475" i="3"/>
  <c r="V476" i="3"/>
  <c r="V477" i="3"/>
  <c r="V478" i="3"/>
  <c r="V479" i="3"/>
  <c r="V480" i="3"/>
  <c r="V481" i="3"/>
  <c r="V482" i="3"/>
  <c r="V483" i="3"/>
  <c r="V484" i="3"/>
  <c r="V485" i="3"/>
  <c r="V486" i="3"/>
  <c r="V487" i="3"/>
  <c r="V488" i="3"/>
  <c r="V489" i="3"/>
  <c r="V490" i="3"/>
  <c r="V491" i="3"/>
  <c r="V492" i="3"/>
  <c r="V493" i="3"/>
  <c r="V494" i="3"/>
  <c r="V495" i="3"/>
  <c r="V496" i="3"/>
  <c r="V497" i="3"/>
  <c r="V498" i="3"/>
  <c r="V499" i="3"/>
  <c r="V500" i="3"/>
  <c r="V501" i="3"/>
  <c r="V502" i="3"/>
  <c r="V503" i="3"/>
  <c r="V504" i="3"/>
  <c r="V505" i="3"/>
  <c r="V506" i="3"/>
  <c r="V507" i="3"/>
  <c r="V508" i="3"/>
  <c r="V509" i="3"/>
  <c r="V510" i="3"/>
  <c r="V511" i="3"/>
  <c r="V512" i="3"/>
  <c r="V513" i="3"/>
  <c r="V514" i="3"/>
  <c r="V515" i="3"/>
  <c r="V516" i="3"/>
  <c r="V517" i="3"/>
  <c r="V518" i="3"/>
  <c r="V519" i="3"/>
  <c r="V520" i="3"/>
  <c r="V521" i="3"/>
  <c r="V522" i="3"/>
  <c r="V523" i="3"/>
  <c r="V524" i="3"/>
  <c r="V525" i="3"/>
  <c r="V526" i="3"/>
  <c r="V527" i="3"/>
  <c r="V528" i="3"/>
  <c r="V529" i="3"/>
  <c r="V530" i="3"/>
  <c r="V531" i="3"/>
  <c r="V532" i="3"/>
  <c r="V533" i="3"/>
  <c r="V534" i="3"/>
  <c r="V535" i="3"/>
  <c r="V536" i="3"/>
  <c r="V537" i="3"/>
  <c r="V538" i="3"/>
  <c r="V539" i="3"/>
  <c r="V540" i="3"/>
  <c r="V541" i="3"/>
  <c r="V542" i="3"/>
  <c r="V543" i="3"/>
  <c r="V544" i="3"/>
  <c r="V545" i="3"/>
  <c r="V546" i="3"/>
  <c r="V547" i="3"/>
  <c r="V548" i="3"/>
  <c r="V549" i="3"/>
  <c r="V550" i="3"/>
  <c r="V551" i="3"/>
  <c r="V552" i="3"/>
  <c r="V553" i="3"/>
  <c r="V554" i="3"/>
  <c r="V555" i="3"/>
  <c r="V556" i="3"/>
  <c r="V557" i="3"/>
  <c r="V558" i="3"/>
  <c r="V559" i="3"/>
  <c r="V560" i="3"/>
  <c r="V561" i="3"/>
  <c r="V562" i="3"/>
  <c r="V563" i="3"/>
  <c r="V564" i="3"/>
  <c r="V565" i="3"/>
  <c r="V566" i="3"/>
  <c r="V567" i="3"/>
  <c r="V568" i="3"/>
  <c r="V569" i="3"/>
  <c r="V570" i="3"/>
  <c r="V571" i="3"/>
  <c r="V572" i="3"/>
  <c r="V573" i="3"/>
  <c r="V574" i="3"/>
  <c r="V575" i="3"/>
  <c r="V576" i="3"/>
  <c r="V577" i="3"/>
  <c r="V578" i="3"/>
  <c r="V579" i="3"/>
  <c r="V580" i="3"/>
  <c r="V581" i="3"/>
  <c r="V582" i="3"/>
  <c r="V583" i="3"/>
  <c r="V584" i="3"/>
  <c r="V585" i="3"/>
  <c r="V586" i="3"/>
  <c r="V587" i="3"/>
  <c r="V588" i="3"/>
  <c r="V589" i="3"/>
  <c r="V590" i="3"/>
  <c r="V591" i="3"/>
  <c r="V592" i="3"/>
  <c r="V593" i="3"/>
  <c r="V594" i="3"/>
  <c r="V595" i="3"/>
  <c r="V596" i="3"/>
  <c r="V597" i="3"/>
  <c r="V598" i="3"/>
  <c r="V599" i="3"/>
  <c r="V600" i="3"/>
  <c r="V601" i="3"/>
  <c r="V602" i="3"/>
  <c r="V603" i="3"/>
  <c r="V604" i="3"/>
  <c r="V605" i="3"/>
  <c r="V606" i="3"/>
  <c r="V607" i="3"/>
  <c r="V608" i="3"/>
  <c r="V609" i="3"/>
  <c r="V610" i="3"/>
  <c r="V611" i="3"/>
  <c r="V612" i="3"/>
  <c r="V613" i="3"/>
  <c r="V614" i="3"/>
  <c r="V615" i="3"/>
  <c r="V616" i="3"/>
  <c r="V617" i="3"/>
  <c r="V618" i="3"/>
  <c r="V619" i="3"/>
  <c r="V620" i="3"/>
  <c r="V621" i="3"/>
  <c r="V622" i="3"/>
  <c r="V623" i="3"/>
  <c r="V624" i="3"/>
  <c r="V625" i="3"/>
  <c r="V626" i="3"/>
  <c r="V627" i="3"/>
  <c r="V628" i="3"/>
  <c r="V629" i="3"/>
  <c r="V630" i="3"/>
  <c r="V631" i="3"/>
  <c r="V632" i="3"/>
  <c r="V633" i="3"/>
  <c r="V2" i="3"/>
  <c r="AI2" i="3" l="1"/>
  <c r="AI614" i="3"/>
  <c r="AJ614" i="3" s="1"/>
  <c r="AI582" i="3"/>
  <c r="AJ582" i="3" s="1"/>
  <c r="AI550" i="3"/>
  <c r="AJ550" i="3" s="1"/>
  <c r="AI514" i="3"/>
  <c r="AJ514" i="3" s="1"/>
  <c r="AI474" i="3"/>
  <c r="AJ474" i="3" s="1"/>
  <c r="AI438" i="3"/>
  <c r="AJ438" i="3" s="1"/>
  <c r="AI430" i="3"/>
  <c r="AJ430" i="3" s="1"/>
  <c r="AI386" i="3"/>
  <c r="AJ386" i="3" s="1"/>
  <c r="AI346" i="3"/>
  <c r="AJ346" i="3" s="1"/>
  <c r="AI310" i="3"/>
  <c r="AJ310" i="3" s="1"/>
  <c r="AI302" i="3"/>
  <c r="AJ302" i="3" s="1"/>
  <c r="AI258" i="3"/>
  <c r="AJ258" i="3" s="1"/>
  <c r="AI218" i="3"/>
  <c r="AJ218" i="3" s="1"/>
  <c r="AI182" i="3"/>
  <c r="AJ182" i="3" s="1"/>
  <c r="AI174" i="3"/>
  <c r="AJ174" i="3" s="1"/>
  <c r="AI94" i="3"/>
  <c r="AJ94" i="3" s="1"/>
  <c r="AI54" i="3"/>
  <c r="AJ54" i="3" s="1"/>
  <c r="AI10" i="3"/>
  <c r="AJ10" i="3" s="1"/>
  <c r="AI631" i="3"/>
  <c r="AJ631" i="3" s="1"/>
  <c r="AI627" i="3"/>
  <c r="AJ627" i="3" s="1"/>
  <c r="AI623" i="3"/>
  <c r="AJ623" i="3" s="1"/>
  <c r="AI619" i="3"/>
  <c r="AJ619" i="3" s="1"/>
  <c r="AI615" i="3"/>
  <c r="AJ615" i="3" s="1"/>
  <c r="AI611" i="3"/>
  <c r="AJ611" i="3" s="1"/>
  <c r="AI607" i="3"/>
  <c r="AJ607" i="3" s="1"/>
  <c r="AI603" i="3"/>
  <c r="AJ603" i="3" s="1"/>
  <c r="AI599" i="3"/>
  <c r="AJ599" i="3" s="1"/>
  <c r="AI595" i="3"/>
  <c r="AJ595" i="3" s="1"/>
  <c r="AI591" i="3"/>
  <c r="AJ591" i="3" s="1"/>
  <c r="AI587" i="3"/>
  <c r="AJ587" i="3" s="1"/>
  <c r="AI583" i="3"/>
  <c r="AJ583" i="3" s="1"/>
  <c r="AI579" i="3"/>
  <c r="AJ579" i="3" s="1"/>
  <c r="AI575" i="3"/>
  <c r="AJ575" i="3" s="1"/>
  <c r="AI571" i="3"/>
  <c r="AJ571" i="3" s="1"/>
  <c r="AI567" i="3"/>
  <c r="AJ567" i="3" s="1"/>
  <c r="AI563" i="3"/>
  <c r="AJ563" i="3" s="1"/>
  <c r="AI559" i="3"/>
  <c r="AJ559" i="3" s="1"/>
  <c r="AI555" i="3"/>
  <c r="AJ555" i="3" s="1"/>
  <c r="AI551" i="3"/>
  <c r="AJ551" i="3" s="1"/>
  <c r="AI547" i="3"/>
  <c r="AJ547" i="3" s="1"/>
  <c r="AI543" i="3"/>
  <c r="AJ543" i="3" s="1"/>
  <c r="AI539" i="3"/>
  <c r="AJ539" i="3" s="1"/>
  <c r="AI535" i="3"/>
  <c r="AJ535" i="3" s="1"/>
  <c r="AI531" i="3"/>
  <c r="AJ531" i="3" s="1"/>
  <c r="AI527" i="3"/>
  <c r="AJ527" i="3" s="1"/>
  <c r="AI523" i="3"/>
  <c r="AJ523" i="3" s="1"/>
  <c r="AI519" i="3"/>
  <c r="AJ519" i="3" s="1"/>
  <c r="AI515" i="3"/>
  <c r="AJ515" i="3" s="1"/>
  <c r="AI511" i="3"/>
  <c r="AJ511" i="3" s="1"/>
  <c r="AI507" i="3"/>
  <c r="AJ507" i="3" s="1"/>
  <c r="AI503" i="3"/>
  <c r="AJ503" i="3" s="1"/>
  <c r="AI499" i="3"/>
  <c r="AJ499" i="3" s="1"/>
  <c r="AI495" i="3"/>
  <c r="AJ495" i="3" s="1"/>
  <c r="AI491" i="3"/>
  <c r="AJ491" i="3" s="1"/>
  <c r="AI487" i="3"/>
  <c r="AJ487" i="3" s="1"/>
  <c r="AI483" i="3"/>
  <c r="AJ483" i="3" s="1"/>
  <c r="AI479" i="3"/>
  <c r="AJ479" i="3" s="1"/>
  <c r="AI475" i="3"/>
  <c r="AJ475" i="3" s="1"/>
  <c r="AI471" i="3"/>
  <c r="AJ471" i="3" s="1"/>
  <c r="AI467" i="3"/>
  <c r="AJ467" i="3" s="1"/>
  <c r="AI463" i="3"/>
  <c r="AJ463" i="3" s="1"/>
  <c r="AI459" i="3"/>
  <c r="AJ459" i="3" s="1"/>
  <c r="AI455" i="3"/>
  <c r="AJ455" i="3" s="1"/>
  <c r="AI451" i="3"/>
  <c r="AJ451" i="3" s="1"/>
  <c r="AI447" i="3"/>
  <c r="AJ447" i="3" s="1"/>
  <c r="AI443" i="3"/>
  <c r="AJ443" i="3" s="1"/>
  <c r="AI439" i="3"/>
  <c r="AJ439" i="3" s="1"/>
  <c r="AI435" i="3"/>
  <c r="AJ435" i="3" s="1"/>
  <c r="AI431" i="3"/>
  <c r="AJ431" i="3" s="1"/>
  <c r="AI427" i="3"/>
  <c r="AJ427" i="3" s="1"/>
  <c r="AI423" i="3"/>
  <c r="AJ423" i="3" s="1"/>
  <c r="AI419" i="3"/>
  <c r="AJ419" i="3" s="1"/>
  <c r="AI415" i="3"/>
  <c r="AJ415" i="3" s="1"/>
  <c r="AI411" i="3"/>
  <c r="AJ411" i="3" s="1"/>
  <c r="AI407" i="3"/>
  <c r="AJ407" i="3" s="1"/>
  <c r="AI403" i="3"/>
  <c r="AJ403" i="3" s="1"/>
  <c r="AI399" i="3"/>
  <c r="AJ399" i="3" s="1"/>
  <c r="AI395" i="3"/>
  <c r="AJ395" i="3" s="1"/>
  <c r="AI391" i="3"/>
  <c r="AJ391" i="3" s="1"/>
  <c r="AI387" i="3"/>
  <c r="AJ387" i="3" s="1"/>
  <c r="AI383" i="3"/>
  <c r="AJ383" i="3" s="1"/>
  <c r="AI379" i="3"/>
  <c r="AJ379" i="3" s="1"/>
  <c r="AI375" i="3"/>
  <c r="AJ375" i="3" s="1"/>
  <c r="AI371" i="3"/>
  <c r="AJ371" i="3" s="1"/>
  <c r="AI367" i="3"/>
  <c r="AJ367" i="3" s="1"/>
  <c r="AI363" i="3"/>
  <c r="AJ363" i="3" s="1"/>
  <c r="AI359" i="3"/>
  <c r="AJ359" i="3" s="1"/>
  <c r="AI355" i="3"/>
  <c r="AJ355" i="3" s="1"/>
  <c r="AI351" i="3"/>
  <c r="AJ351" i="3" s="1"/>
  <c r="AI347" i="3"/>
  <c r="AJ347" i="3" s="1"/>
  <c r="AI343" i="3"/>
  <c r="AJ343" i="3" s="1"/>
  <c r="AI339" i="3"/>
  <c r="AJ339" i="3" s="1"/>
  <c r="AI335" i="3"/>
  <c r="AJ335" i="3" s="1"/>
  <c r="AI331" i="3"/>
  <c r="AJ331" i="3" s="1"/>
  <c r="AI327" i="3"/>
  <c r="AJ327" i="3" s="1"/>
  <c r="AI323" i="3"/>
  <c r="AJ323" i="3" s="1"/>
  <c r="AI319" i="3"/>
  <c r="AJ319" i="3" s="1"/>
  <c r="AI315" i="3"/>
  <c r="AJ315" i="3" s="1"/>
  <c r="AI311" i="3"/>
  <c r="AJ311" i="3" s="1"/>
  <c r="AI307" i="3"/>
  <c r="AJ307" i="3" s="1"/>
  <c r="AI303" i="3"/>
  <c r="AJ303" i="3" s="1"/>
  <c r="AI299" i="3"/>
  <c r="AJ299" i="3" s="1"/>
  <c r="AI295" i="3"/>
  <c r="AJ295" i="3" s="1"/>
  <c r="AI291" i="3"/>
  <c r="AJ291" i="3" s="1"/>
  <c r="AI287" i="3"/>
  <c r="AJ287" i="3" s="1"/>
  <c r="AI283" i="3"/>
  <c r="AJ283" i="3" s="1"/>
  <c r="AI279" i="3"/>
  <c r="AJ279" i="3" s="1"/>
  <c r="AI275" i="3"/>
  <c r="AJ275" i="3" s="1"/>
  <c r="AI271" i="3"/>
  <c r="AJ271" i="3" s="1"/>
  <c r="AI267" i="3"/>
  <c r="AJ267" i="3" s="1"/>
  <c r="AI263" i="3"/>
  <c r="AJ263" i="3" s="1"/>
  <c r="AI259" i="3"/>
  <c r="AJ259" i="3" s="1"/>
  <c r="AI255" i="3"/>
  <c r="AJ255" i="3" s="1"/>
  <c r="AI251" i="3"/>
  <c r="AJ251" i="3" s="1"/>
  <c r="AI247" i="3"/>
  <c r="AJ247" i="3" s="1"/>
  <c r="AI243" i="3"/>
  <c r="AJ243" i="3" s="1"/>
  <c r="AI239" i="3"/>
  <c r="AJ239" i="3" s="1"/>
  <c r="AI235" i="3"/>
  <c r="AJ235" i="3" s="1"/>
  <c r="AI231" i="3"/>
  <c r="AJ231" i="3" s="1"/>
  <c r="AI227" i="3"/>
  <c r="AJ227" i="3" s="1"/>
  <c r="AI223" i="3"/>
  <c r="AJ223" i="3" s="1"/>
  <c r="AI219" i="3"/>
  <c r="AJ219" i="3" s="1"/>
  <c r="AI215" i="3"/>
  <c r="AJ215" i="3" s="1"/>
  <c r="AI211" i="3"/>
  <c r="AJ211" i="3" s="1"/>
  <c r="AI207" i="3"/>
  <c r="AJ207" i="3" s="1"/>
  <c r="AI203" i="3"/>
  <c r="AJ203" i="3" s="1"/>
  <c r="AI199" i="3"/>
  <c r="AJ199" i="3" s="1"/>
  <c r="AI195" i="3"/>
  <c r="AJ195" i="3" s="1"/>
  <c r="AI191" i="3"/>
  <c r="AJ191" i="3" s="1"/>
  <c r="AI187" i="3"/>
  <c r="AJ187" i="3" s="1"/>
  <c r="AI183" i="3"/>
  <c r="AJ183" i="3" s="1"/>
  <c r="AI179" i="3"/>
  <c r="AJ179" i="3" s="1"/>
  <c r="AI175" i="3"/>
  <c r="AJ175" i="3" s="1"/>
  <c r="AI171" i="3"/>
  <c r="AJ171" i="3" s="1"/>
  <c r="AI167" i="3"/>
  <c r="AJ167" i="3" s="1"/>
  <c r="AI163" i="3"/>
  <c r="AJ163" i="3" s="1"/>
  <c r="AI159" i="3"/>
  <c r="AJ159" i="3" s="1"/>
  <c r="AI155" i="3"/>
  <c r="AJ155" i="3" s="1"/>
  <c r="AI151" i="3"/>
  <c r="AJ151" i="3" s="1"/>
  <c r="AI147" i="3"/>
  <c r="AJ147" i="3" s="1"/>
  <c r="AI143" i="3"/>
  <c r="AJ143" i="3" s="1"/>
  <c r="AI139" i="3"/>
  <c r="AJ139" i="3" s="1"/>
  <c r="AI135" i="3"/>
  <c r="AJ135" i="3" s="1"/>
  <c r="AI131" i="3"/>
  <c r="AJ131" i="3" s="1"/>
  <c r="AI127" i="3"/>
  <c r="AJ127" i="3" s="1"/>
  <c r="AI123" i="3"/>
  <c r="AJ123" i="3" s="1"/>
  <c r="AI119" i="3"/>
  <c r="AJ119" i="3" s="1"/>
  <c r="AI115" i="3"/>
  <c r="AJ115" i="3" s="1"/>
  <c r="AI111" i="3"/>
  <c r="AJ111" i="3" s="1"/>
  <c r="AI107" i="3"/>
  <c r="AJ107" i="3" s="1"/>
  <c r="AI103" i="3"/>
  <c r="AJ103" i="3" s="1"/>
  <c r="AI99" i="3"/>
  <c r="AJ99" i="3" s="1"/>
  <c r="AI95" i="3"/>
  <c r="AJ95" i="3" s="1"/>
  <c r="AI91" i="3"/>
  <c r="AJ91" i="3" s="1"/>
  <c r="AI87" i="3"/>
  <c r="AJ87" i="3" s="1"/>
  <c r="AI83" i="3"/>
  <c r="AJ83" i="3" s="1"/>
  <c r="AI79" i="3"/>
  <c r="AJ79" i="3" s="1"/>
  <c r="AI75" i="3"/>
  <c r="AJ75" i="3" s="1"/>
  <c r="AI71" i="3"/>
  <c r="AJ71" i="3" s="1"/>
  <c r="AI67" i="3"/>
  <c r="AJ67" i="3" s="1"/>
  <c r="AI63" i="3"/>
  <c r="AJ63" i="3" s="1"/>
  <c r="AI59" i="3"/>
  <c r="AJ59" i="3" s="1"/>
  <c r="AI55" i="3"/>
  <c r="AJ55" i="3" s="1"/>
  <c r="AI51" i="3"/>
  <c r="AJ51" i="3" s="1"/>
  <c r="AI47" i="3"/>
  <c r="AJ47" i="3" s="1"/>
  <c r="AI43" i="3"/>
  <c r="AJ43" i="3" s="1"/>
  <c r="AI39" i="3"/>
  <c r="AJ39" i="3" s="1"/>
  <c r="AI35" i="3"/>
  <c r="AJ35" i="3" s="1"/>
  <c r="AI31" i="3"/>
  <c r="AJ31" i="3" s="1"/>
  <c r="AI27" i="3"/>
  <c r="AJ27" i="3" s="1"/>
  <c r="AI23" i="3"/>
  <c r="AJ23" i="3" s="1"/>
  <c r="AI19" i="3"/>
  <c r="AJ19" i="3" s="1"/>
  <c r="AI15" i="3"/>
  <c r="AJ15" i="3" s="1"/>
  <c r="AI11" i="3"/>
  <c r="AJ11" i="3" s="1"/>
  <c r="AI7" i="3"/>
  <c r="AJ7" i="3" s="1"/>
  <c r="AI629" i="3"/>
  <c r="AJ629" i="3" s="1"/>
  <c r="AI597" i="3"/>
  <c r="AJ597" i="3" s="1"/>
  <c r="AI581" i="3"/>
  <c r="AJ581" i="3" s="1"/>
  <c r="AI569" i="3"/>
  <c r="AJ569" i="3" s="1"/>
  <c r="AI549" i="3"/>
  <c r="AJ549" i="3" s="1"/>
  <c r="AI533" i="3"/>
  <c r="AJ533" i="3" s="1"/>
  <c r="AI521" i="3"/>
  <c r="AJ521" i="3" s="1"/>
  <c r="AI505" i="3"/>
  <c r="AJ505" i="3" s="1"/>
  <c r="AI485" i="3"/>
  <c r="AJ485" i="3" s="1"/>
  <c r="AI473" i="3"/>
  <c r="AJ473" i="3" s="1"/>
  <c r="AI457" i="3"/>
  <c r="AJ457" i="3" s="1"/>
  <c r="AI437" i="3"/>
  <c r="AJ437" i="3" s="1"/>
  <c r="AI421" i="3"/>
  <c r="AJ421" i="3" s="1"/>
  <c r="AI409" i="3"/>
  <c r="AJ409" i="3" s="1"/>
  <c r="AI389" i="3"/>
  <c r="AJ389" i="3" s="1"/>
  <c r="AI377" i="3"/>
  <c r="AJ377" i="3" s="1"/>
  <c r="AI361" i="3"/>
  <c r="AJ361" i="3" s="1"/>
  <c r="AI345" i="3"/>
  <c r="AJ345" i="3" s="1"/>
  <c r="AI313" i="3"/>
  <c r="AJ313" i="3" s="1"/>
  <c r="AI297" i="3"/>
  <c r="AJ297" i="3" s="1"/>
  <c r="AI277" i="3"/>
  <c r="AJ277" i="3" s="1"/>
  <c r="AI261" i="3"/>
  <c r="AJ261" i="3" s="1"/>
  <c r="AI245" i="3"/>
  <c r="AJ245" i="3" s="1"/>
  <c r="AI233" i="3"/>
  <c r="AJ233" i="3" s="1"/>
  <c r="AI217" i="3"/>
  <c r="AJ217" i="3" s="1"/>
  <c r="AI197" i="3"/>
  <c r="AJ197" i="3" s="1"/>
  <c r="AI181" i="3"/>
  <c r="AJ181" i="3" s="1"/>
  <c r="AI169" i="3"/>
  <c r="AJ169" i="3" s="1"/>
  <c r="AI149" i="3"/>
  <c r="AJ149" i="3" s="1"/>
  <c r="AI137" i="3"/>
  <c r="AJ137" i="3" s="1"/>
  <c r="AI101" i="3"/>
  <c r="AJ101" i="3" s="1"/>
  <c r="AI89" i="3"/>
  <c r="AJ89" i="3" s="1"/>
  <c r="AI73" i="3"/>
  <c r="AJ73" i="3" s="1"/>
  <c r="AI53" i="3"/>
  <c r="AJ53" i="3" s="1"/>
  <c r="AI41" i="3"/>
  <c r="AJ41" i="3" s="1"/>
  <c r="AI21" i="3"/>
  <c r="AJ21" i="3" s="1"/>
  <c r="AI5" i="3"/>
  <c r="AJ5" i="3" s="1"/>
  <c r="AI441" i="3"/>
  <c r="AJ441" i="3" s="1"/>
  <c r="AI341" i="3"/>
  <c r="AJ341" i="3" s="1"/>
  <c r="AI325" i="3"/>
  <c r="AJ325" i="3" s="1"/>
  <c r="AI309" i="3"/>
  <c r="AJ309" i="3" s="1"/>
  <c r="AI185" i="3"/>
  <c r="AJ185" i="3" s="1"/>
  <c r="AI117" i="3"/>
  <c r="AJ117" i="3" s="1"/>
  <c r="AI85" i="3"/>
  <c r="AJ85" i="3" s="1"/>
  <c r="AI536" i="3"/>
  <c r="AJ536" i="3" s="1"/>
  <c r="AI532" i="3"/>
  <c r="AJ532" i="3" s="1"/>
  <c r="AI528" i="3"/>
  <c r="AJ528" i="3" s="1"/>
  <c r="AI524" i="3"/>
  <c r="AJ524" i="3" s="1"/>
  <c r="AI520" i="3"/>
  <c r="AJ520" i="3" s="1"/>
  <c r="AI516" i="3"/>
  <c r="AJ516" i="3" s="1"/>
  <c r="AI512" i="3"/>
  <c r="AJ512" i="3" s="1"/>
  <c r="AI508" i="3"/>
  <c r="AJ508" i="3" s="1"/>
  <c r="AI504" i="3"/>
  <c r="AJ504" i="3" s="1"/>
  <c r="AI500" i="3"/>
  <c r="AJ500" i="3" s="1"/>
  <c r="AI496" i="3"/>
  <c r="AJ496" i="3" s="1"/>
  <c r="AI492" i="3"/>
  <c r="AJ492" i="3" s="1"/>
  <c r="AI488" i="3"/>
  <c r="AJ488" i="3" s="1"/>
  <c r="AI484" i="3"/>
  <c r="AJ484" i="3" s="1"/>
  <c r="AI480" i="3"/>
  <c r="AJ480" i="3" s="1"/>
  <c r="AI476" i="3"/>
  <c r="AJ476" i="3" s="1"/>
  <c r="AI472" i="3"/>
  <c r="AJ472" i="3" s="1"/>
  <c r="AI468" i="3"/>
  <c r="AJ468" i="3" s="1"/>
  <c r="AI464" i="3"/>
  <c r="AJ464" i="3" s="1"/>
  <c r="AI460" i="3"/>
  <c r="AJ460" i="3" s="1"/>
  <c r="AI456" i="3"/>
  <c r="AJ456" i="3" s="1"/>
  <c r="AI452" i="3"/>
  <c r="AJ452" i="3" s="1"/>
  <c r="AI448" i="3"/>
  <c r="AJ448" i="3" s="1"/>
  <c r="AI444" i="3"/>
  <c r="AJ444" i="3" s="1"/>
  <c r="AI440" i="3"/>
  <c r="AJ440" i="3" s="1"/>
  <c r="AI436" i="3"/>
  <c r="AJ436" i="3" s="1"/>
  <c r="AI432" i="3"/>
  <c r="AJ432" i="3" s="1"/>
  <c r="AI428" i="3"/>
  <c r="AJ428" i="3" s="1"/>
  <c r="AI424" i="3"/>
  <c r="AJ424" i="3" s="1"/>
  <c r="AI420" i="3"/>
  <c r="AJ420" i="3" s="1"/>
  <c r="AI416" i="3"/>
  <c r="AJ416" i="3" s="1"/>
  <c r="AI412" i="3"/>
  <c r="AJ412" i="3" s="1"/>
  <c r="AI408" i="3"/>
  <c r="AJ408" i="3" s="1"/>
  <c r="AI404" i="3"/>
  <c r="AJ404" i="3" s="1"/>
  <c r="AI400" i="3"/>
  <c r="AJ400" i="3" s="1"/>
  <c r="AI396" i="3"/>
  <c r="AJ396" i="3" s="1"/>
  <c r="AI392" i="3"/>
  <c r="AJ392" i="3" s="1"/>
  <c r="AI388" i="3"/>
  <c r="AJ388" i="3" s="1"/>
  <c r="AI384" i="3"/>
  <c r="AJ384" i="3" s="1"/>
  <c r="AI380" i="3"/>
  <c r="AJ380" i="3" s="1"/>
  <c r="AI376" i="3"/>
  <c r="AJ376" i="3" s="1"/>
  <c r="AI372" i="3"/>
  <c r="AJ372" i="3" s="1"/>
  <c r="AI368" i="3"/>
  <c r="AJ368" i="3" s="1"/>
  <c r="AI364" i="3"/>
  <c r="AJ364" i="3" s="1"/>
  <c r="AI360" i="3"/>
  <c r="AJ360" i="3" s="1"/>
  <c r="AI356" i="3"/>
  <c r="AJ356" i="3" s="1"/>
  <c r="AI352" i="3"/>
  <c r="AJ352" i="3" s="1"/>
  <c r="AI348" i="3"/>
  <c r="AJ348" i="3" s="1"/>
  <c r="AI633" i="3"/>
  <c r="AJ633" i="3" s="1"/>
  <c r="AI617" i="3"/>
  <c r="AJ617" i="3" s="1"/>
  <c r="AI601" i="3"/>
  <c r="AJ601" i="3" s="1"/>
  <c r="AI585" i="3"/>
  <c r="AJ585" i="3" s="1"/>
  <c r="AI565" i="3"/>
  <c r="AJ565" i="3" s="1"/>
  <c r="AI553" i="3"/>
  <c r="AJ553" i="3" s="1"/>
  <c r="AI537" i="3"/>
  <c r="AJ537" i="3" s="1"/>
  <c r="AI517" i="3"/>
  <c r="AJ517" i="3" s="1"/>
  <c r="AI501" i="3"/>
  <c r="AJ501" i="3" s="1"/>
  <c r="AI489" i="3"/>
  <c r="AJ489" i="3" s="1"/>
  <c r="AI469" i="3"/>
  <c r="AJ469" i="3" s="1"/>
  <c r="AI453" i="3"/>
  <c r="AJ453" i="3" s="1"/>
  <c r="AI425" i="3"/>
  <c r="AJ425" i="3" s="1"/>
  <c r="AI405" i="3"/>
  <c r="AJ405" i="3" s="1"/>
  <c r="AI393" i="3"/>
  <c r="AJ393" i="3" s="1"/>
  <c r="AI373" i="3"/>
  <c r="AJ373" i="3" s="1"/>
  <c r="AI357" i="3"/>
  <c r="AJ357" i="3" s="1"/>
  <c r="AI329" i="3"/>
  <c r="AJ329" i="3" s="1"/>
  <c r="AI293" i="3"/>
  <c r="AJ293" i="3" s="1"/>
  <c r="AI281" i="3"/>
  <c r="AJ281" i="3" s="1"/>
  <c r="AI265" i="3"/>
  <c r="AJ265" i="3" s="1"/>
  <c r="AI249" i="3"/>
  <c r="AJ249" i="3" s="1"/>
  <c r="AI229" i="3"/>
  <c r="AJ229" i="3" s="1"/>
  <c r="AI213" i="3"/>
  <c r="AJ213" i="3" s="1"/>
  <c r="AI201" i="3"/>
  <c r="AJ201" i="3" s="1"/>
  <c r="AI165" i="3"/>
  <c r="AJ165" i="3" s="1"/>
  <c r="AI153" i="3"/>
  <c r="AJ153" i="3" s="1"/>
  <c r="AI133" i="3"/>
  <c r="AJ133" i="3" s="1"/>
  <c r="AI121" i="3"/>
  <c r="AJ121" i="3" s="1"/>
  <c r="AI105" i="3"/>
  <c r="AJ105" i="3" s="1"/>
  <c r="AI69" i="3"/>
  <c r="AJ69" i="3" s="1"/>
  <c r="AI57" i="3"/>
  <c r="AJ57" i="3" s="1"/>
  <c r="AI37" i="3"/>
  <c r="AJ37" i="3" s="1"/>
  <c r="AI25" i="3"/>
  <c r="AJ25" i="3" s="1"/>
  <c r="AI9" i="3"/>
  <c r="AJ9" i="3" s="1"/>
  <c r="AI3" i="3"/>
  <c r="AJ3" i="3" s="1"/>
  <c r="AI344" i="3"/>
  <c r="AJ344" i="3" s="1"/>
  <c r="AI340" i="3"/>
  <c r="AJ340" i="3" s="1"/>
  <c r="AI336" i="3"/>
  <c r="AJ336" i="3" s="1"/>
  <c r="AI332" i="3"/>
  <c r="AJ332" i="3" s="1"/>
  <c r="AI328" i="3"/>
  <c r="AJ328" i="3" s="1"/>
  <c r="AI324" i="3"/>
  <c r="AJ324" i="3" s="1"/>
  <c r="AI320" i="3"/>
  <c r="AJ320" i="3" s="1"/>
  <c r="AI316" i="3"/>
  <c r="AJ316" i="3" s="1"/>
  <c r="AI312" i="3"/>
  <c r="AJ312" i="3" s="1"/>
  <c r="AI308" i="3"/>
  <c r="AJ308" i="3" s="1"/>
  <c r="AI304" i="3"/>
  <c r="AJ304" i="3" s="1"/>
  <c r="AI300" i="3"/>
  <c r="AJ300" i="3" s="1"/>
  <c r="AI296" i="3"/>
  <c r="AJ296" i="3" s="1"/>
  <c r="AI292" i="3"/>
  <c r="AJ292" i="3" s="1"/>
  <c r="AI288" i="3"/>
  <c r="AJ288" i="3" s="1"/>
  <c r="AI284" i="3"/>
  <c r="AJ284" i="3" s="1"/>
  <c r="AI280" i="3"/>
  <c r="AJ280" i="3" s="1"/>
  <c r="AI276" i="3"/>
  <c r="AJ276" i="3" s="1"/>
  <c r="AI272" i="3"/>
  <c r="AJ272" i="3" s="1"/>
  <c r="AI268" i="3"/>
  <c r="AJ268" i="3" s="1"/>
  <c r="AI264" i="3"/>
  <c r="AJ264" i="3" s="1"/>
  <c r="AI260" i="3"/>
  <c r="AJ260" i="3" s="1"/>
  <c r="AI256" i="3"/>
  <c r="AJ256" i="3" s="1"/>
  <c r="AI252" i="3"/>
  <c r="AJ252" i="3" s="1"/>
  <c r="AI248" i="3"/>
  <c r="AJ248" i="3" s="1"/>
  <c r="AI244" i="3"/>
  <c r="AJ244" i="3" s="1"/>
  <c r="AI240" i="3"/>
  <c r="AJ240" i="3" s="1"/>
  <c r="AI236" i="3"/>
  <c r="AJ236" i="3" s="1"/>
  <c r="AI232" i="3"/>
  <c r="AJ232" i="3" s="1"/>
  <c r="AI228" i="3"/>
  <c r="AJ228" i="3" s="1"/>
  <c r="AI224" i="3"/>
  <c r="AJ224" i="3" s="1"/>
  <c r="AI220" i="3"/>
  <c r="AJ220" i="3" s="1"/>
  <c r="AI216" i="3"/>
  <c r="AJ216" i="3" s="1"/>
  <c r="AI212" i="3"/>
  <c r="AJ212" i="3" s="1"/>
  <c r="AI208" i="3"/>
  <c r="AJ208" i="3" s="1"/>
  <c r="AI204" i="3"/>
  <c r="AJ204" i="3" s="1"/>
  <c r="AI200" i="3"/>
  <c r="AJ200" i="3" s="1"/>
  <c r="AI196" i="3"/>
  <c r="AJ196" i="3" s="1"/>
  <c r="AI192" i="3"/>
  <c r="AJ192" i="3" s="1"/>
  <c r="AI188" i="3"/>
  <c r="AJ188" i="3" s="1"/>
  <c r="AI184" i="3"/>
  <c r="AJ184" i="3" s="1"/>
  <c r="AI180" i="3"/>
  <c r="AJ180" i="3" s="1"/>
  <c r="AI176" i="3"/>
  <c r="AJ176" i="3" s="1"/>
  <c r="AI172" i="3"/>
  <c r="AJ172" i="3" s="1"/>
  <c r="AI168" i="3"/>
  <c r="AJ168" i="3" s="1"/>
  <c r="AI164" i="3"/>
  <c r="AJ164" i="3" s="1"/>
  <c r="AI160" i="3"/>
  <c r="AJ160" i="3" s="1"/>
  <c r="AI156" i="3"/>
  <c r="AJ156" i="3" s="1"/>
  <c r="AI152" i="3"/>
  <c r="AJ152" i="3" s="1"/>
  <c r="AI148" i="3"/>
  <c r="AJ148" i="3" s="1"/>
  <c r="AI144" i="3"/>
  <c r="AJ144" i="3" s="1"/>
  <c r="AI140" i="3"/>
  <c r="AJ140" i="3" s="1"/>
  <c r="AI136" i="3"/>
  <c r="AJ136" i="3" s="1"/>
  <c r="AI132" i="3"/>
  <c r="AJ132" i="3" s="1"/>
  <c r="AI128" i="3"/>
  <c r="AJ128" i="3" s="1"/>
  <c r="AI124" i="3"/>
  <c r="AJ124" i="3" s="1"/>
  <c r="AI120" i="3"/>
  <c r="AJ120" i="3" s="1"/>
  <c r="AI116" i="3"/>
  <c r="AJ116" i="3" s="1"/>
  <c r="AI112" i="3"/>
  <c r="AJ112" i="3" s="1"/>
  <c r="AI108" i="3"/>
  <c r="AJ108" i="3" s="1"/>
  <c r="AI104" i="3"/>
  <c r="AJ104" i="3" s="1"/>
  <c r="AI100" i="3"/>
  <c r="AJ100" i="3" s="1"/>
  <c r="AI96" i="3"/>
  <c r="AJ96" i="3" s="1"/>
  <c r="AI92" i="3"/>
  <c r="AJ92" i="3" s="1"/>
  <c r="AI88" i="3"/>
  <c r="AJ88" i="3" s="1"/>
  <c r="AI84" i="3"/>
  <c r="AJ84" i="3" s="1"/>
  <c r="AI80" i="3"/>
  <c r="AJ80" i="3" s="1"/>
  <c r="AI76" i="3"/>
  <c r="AJ76" i="3" s="1"/>
  <c r="AI72" i="3"/>
  <c r="AJ72" i="3" s="1"/>
  <c r="AI68" i="3"/>
  <c r="AJ68" i="3" s="1"/>
  <c r="AI64" i="3"/>
  <c r="AJ64" i="3" s="1"/>
  <c r="AI60" i="3"/>
  <c r="AJ60" i="3" s="1"/>
  <c r="AI56" i="3"/>
  <c r="AJ56" i="3" s="1"/>
  <c r="AI52" i="3"/>
  <c r="AJ52" i="3" s="1"/>
  <c r="AI48" i="3"/>
  <c r="AJ48" i="3" s="1"/>
  <c r="AI44" i="3"/>
  <c r="AJ44" i="3" s="1"/>
  <c r="AI40" i="3"/>
  <c r="AJ40" i="3" s="1"/>
  <c r="AI36" i="3"/>
  <c r="AJ36" i="3" s="1"/>
  <c r="AI32" i="3"/>
  <c r="AJ32" i="3" s="1"/>
  <c r="AI28" i="3"/>
  <c r="AJ28" i="3" s="1"/>
  <c r="AI24" i="3"/>
  <c r="AJ24" i="3" s="1"/>
  <c r="AI20" i="3"/>
  <c r="AJ20" i="3" s="1"/>
  <c r="AI16" i="3"/>
  <c r="AJ16" i="3" s="1"/>
  <c r="AI12" i="3"/>
  <c r="AJ12" i="3" s="1"/>
  <c r="AI8" i="3"/>
  <c r="AJ8" i="3" s="1"/>
  <c r="AI625" i="3"/>
  <c r="AJ625" i="3" s="1"/>
  <c r="AI621" i="3"/>
  <c r="AJ621" i="3" s="1"/>
  <c r="AI613" i="3"/>
  <c r="AJ613" i="3" s="1"/>
  <c r="AI609" i="3"/>
  <c r="AJ609" i="3" s="1"/>
  <c r="AI605" i="3"/>
  <c r="AJ605" i="3" s="1"/>
  <c r="AI593" i="3"/>
  <c r="AJ593" i="3" s="1"/>
  <c r="AI589" i="3"/>
  <c r="AJ589" i="3" s="1"/>
  <c r="AI577" i="3"/>
  <c r="AJ577" i="3" s="1"/>
  <c r="AI573" i="3"/>
  <c r="AJ573" i="3" s="1"/>
  <c r="AI561" i="3"/>
  <c r="AJ561" i="3" s="1"/>
  <c r="AI557" i="3"/>
  <c r="AJ557" i="3" s="1"/>
  <c r="AI545" i="3"/>
  <c r="AJ545" i="3" s="1"/>
  <c r="AI541" i="3"/>
  <c r="AJ541" i="3" s="1"/>
  <c r="AI529" i="3"/>
  <c r="AJ529" i="3" s="1"/>
  <c r="AI525" i="3"/>
  <c r="AJ525" i="3" s="1"/>
  <c r="AI513" i="3"/>
  <c r="AJ513" i="3" s="1"/>
  <c r="AI509" i="3"/>
  <c r="AJ509" i="3" s="1"/>
  <c r="AI497" i="3"/>
  <c r="AJ497" i="3" s="1"/>
  <c r="AI493" i="3"/>
  <c r="AJ493" i="3" s="1"/>
  <c r="AI481" i="3"/>
  <c r="AJ481" i="3" s="1"/>
  <c r="AI477" i="3"/>
  <c r="AJ477" i="3" s="1"/>
  <c r="AI465" i="3"/>
  <c r="AJ465" i="3" s="1"/>
  <c r="AI461" i="3"/>
  <c r="AJ461" i="3" s="1"/>
  <c r="AI449" i="3"/>
  <c r="AJ449" i="3" s="1"/>
  <c r="AI445" i="3"/>
  <c r="AJ445" i="3" s="1"/>
  <c r="AI433" i="3"/>
  <c r="AJ433" i="3" s="1"/>
  <c r="AI429" i="3"/>
  <c r="AJ429" i="3" s="1"/>
  <c r="AI417" i="3"/>
  <c r="AJ417" i="3" s="1"/>
  <c r="AI413" i="3"/>
  <c r="AJ413" i="3" s="1"/>
  <c r="AI401" i="3"/>
  <c r="AJ401" i="3" s="1"/>
  <c r="AI397" i="3"/>
  <c r="AJ397" i="3" s="1"/>
  <c r="AI385" i="3"/>
  <c r="AJ385" i="3" s="1"/>
  <c r="AI381" i="3"/>
  <c r="AJ381" i="3" s="1"/>
  <c r="AI369" i="3"/>
  <c r="AJ369" i="3" s="1"/>
  <c r="AI365" i="3"/>
  <c r="AJ365" i="3" s="1"/>
  <c r="AI353" i="3"/>
  <c r="AJ353" i="3" s="1"/>
  <c r="AI349" i="3"/>
  <c r="AJ349" i="3" s="1"/>
  <c r="AI337" i="3"/>
  <c r="AJ337" i="3" s="1"/>
  <c r="AI333" i="3"/>
  <c r="AJ333" i="3" s="1"/>
  <c r="AI321" i="3"/>
  <c r="AJ321" i="3" s="1"/>
  <c r="AI317" i="3"/>
  <c r="AJ317" i="3" s="1"/>
  <c r="AI305" i="3"/>
  <c r="AJ305" i="3" s="1"/>
  <c r="AI301" i="3"/>
  <c r="AJ301" i="3" s="1"/>
  <c r="AI289" i="3"/>
  <c r="AJ289" i="3" s="1"/>
  <c r="AI285" i="3"/>
  <c r="AJ285" i="3" s="1"/>
  <c r="AI273" i="3"/>
  <c r="AJ273" i="3" s="1"/>
  <c r="AI269" i="3"/>
  <c r="AJ269" i="3" s="1"/>
  <c r="AI257" i="3"/>
  <c r="AJ257" i="3" s="1"/>
  <c r="AI253" i="3"/>
  <c r="AJ253" i="3" s="1"/>
  <c r="AI241" i="3"/>
  <c r="AJ241" i="3" s="1"/>
  <c r="AI237" i="3"/>
  <c r="AJ237" i="3" s="1"/>
  <c r="AI225" i="3"/>
  <c r="AJ225" i="3" s="1"/>
  <c r="AI221" i="3"/>
  <c r="AJ221" i="3" s="1"/>
  <c r="AI209" i="3"/>
  <c r="AJ209" i="3" s="1"/>
  <c r="AI205" i="3"/>
  <c r="AJ205" i="3" s="1"/>
  <c r="AI193" i="3"/>
  <c r="AJ193" i="3" s="1"/>
  <c r="AI189" i="3"/>
  <c r="AJ189" i="3" s="1"/>
  <c r="AI177" i="3"/>
  <c r="AJ177" i="3" s="1"/>
  <c r="AI173" i="3"/>
  <c r="AJ173" i="3" s="1"/>
  <c r="AI161" i="3"/>
  <c r="AJ161" i="3" s="1"/>
  <c r="AI157" i="3"/>
  <c r="AJ157" i="3" s="1"/>
  <c r="AI145" i="3"/>
  <c r="AJ145" i="3" s="1"/>
  <c r="AI141" i="3"/>
  <c r="AJ141" i="3" s="1"/>
  <c r="AI129" i="3"/>
  <c r="AJ129" i="3" s="1"/>
  <c r="AI125" i="3"/>
  <c r="AJ125" i="3" s="1"/>
  <c r="AI113" i="3"/>
  <c r="AJ113" i="3" s="1"/>
  <c r="AI109" i="3"/>
  <c r="AJ109" i="3" s="1"/>
  <c r="AI97" i="3"/>
  <c r="AJ97" i="3" s="1"/>
  <c r="AI93" i="3"/>
  <c r="AJ93" i="3" s="1"/>
  <c r="AI81" i="3"/>
  <c r="AJ81" i="3" s="1"/>
  <c r="AI77" i="3"/>
  <c r="AJ77" i="3" s="1"/>
  <c r="AI65" i="3"/>
  <c r="AJ65" i="3" s="1"/>
  <c r="AI61" i="3"/>
  <c r="AJ61" i="3" s="1"/>
  <c r="AI49" i="3"/>
  <c r="AJ49" i="3" s="1"/>
  <c r="AI45" i="3"/>
  <c r="AJ45" i="3" s="1"/>
  <c r="AI33" i="3"/>
  <c r="AJ33" i="3" s="1"/>
  <c r="AI29" i="3"/>
  <c r="AJ29" i="3" s="1"/>
  <c r="AI17" i="3"/>
  <c r="AJ17" i="3" s="1"/>
  <c r="AI13" i="3"/>
  <c r="AJ13" i="3" s="1"/>
  <c r="AI632" i="3"/>
  <c r="AJ632" i="3" s="1"/>
  <c r="AI628" i="3"/>
  <c r="AJ628" i="3" s="1"/>
  <c r="AI624" i="3"/>
  <c r="AJ624" i="3" s="1"/>
  <c r="AI620" i="3"/>
  <c r="AJ620" i="3" s="1"/>
  <c r="AI616" i="3"/>
  <c r="AJ616" i="3" s="1"/>
  <c r="AI612" i="3"/>
  <c r="AJ612" i="3" s="1"/>
  <c r="AI608" i="3"/>
  <c r="AJ608" i="3" s="1"/>
  <c r="AI604" i="3"/>
  <c r="AJ604" i="3" s="1"/>
  <c r="AI600" i="3"/>
  <c r="AJ600" i="3" s="1"/>
  <c r="AI596" i="3"/>
  <c r="AJ596" i="3" s="1"/>
  <c r="AI592" i="3"/>
  <c r="AJ592" i="3" s="1"/>
  <c r="AI588" i="3"/>
  <c r="AJ588" i="3" s="1"/>
  <c r="AI584" i="3"/>
  <c r="AJ584" i="3" s="1"/>
  <c r="AI580" i="3"/>
  <c r="AJ580" i="3" s="1"/>
  <c r="AI576" i="3"/>
  <c r="AJ576" i="3" s="1"/>
  <c r="AI572" i="3"/>
  <c r="AJ572" i="3" s="1"/>
  <c r="AI568" i="3"/>
  <c r="AJ568" i="3" s="1"/>
  <c r="AI564" i="3"/>
  <c r="AJ564" i="3" s="1"/>
  <c r="AI560" i="3"/>
  <c r="AJ560" i="3" s="1"/>
  <c r="AI556" i="3"/>
  <c r="AJ556" i="3" s="1"/>
  <c r="AI552" i="3"/>
  <c r="AJ552" i="3" s="1"/>
  <c r="AI548" i="3"/>
  <c r="AJ548" i="3" s="1"/>
  <c r="AI544" i="3"/>
  <c r="AJ544" i="3" s="1"/>
  <c r="AI540" i="3"/>
  <c r="AJ540" i="3" s="1"/>
  <c r="AJ2" i="3"/>
  <c r="AI630" i="3"/>
  <c r="AJ630" i="3" s="1"/>
  <c r="AI626" i="3"/>
  <c r="AJ626" i="3" s="1"/>
  <c r="AI622" i="3"/>
  <c r="AJ622" i="3" s="1"/>
  <c r="AI618" i="3"/>
  <c r="AJ618" i="3" s="1"/>
  <c r="AI610" i="3"/>
  <c r="AJ610" i="3" s="1"/>
  <c r="AI606" i="3"/>
  <c r="AJ606" i="3" s="1"/>
  <c r="AI602" i="3"/>
  <c r="AJ602" i="3" s="1"/>
  <c r="AI598" i="3"/>
  <c r="AJ598" i="3" s="1"/>
  <c r="AI594" i="3"/>
  <c r="AJ594" i="3" s="1"/>
  <c r="AI590" i="3"/>
  <c r="AJ590" i="3" s="1"/>
  <c r="AI586" i="3"/>
  <c r="AJ586" i="3" s="1"/>
  <c r="AI578" i="3"/>
  <c r="AJ578" i="3" s="1"/>
  <c r="AI574" i="3"/>
  <c r="AJ574" i="3" s="1"/>
  <c r="AI570" i="3"/>
  <c r="AJ570" i="3" s="1"/>
  <c r="AI566" i="3"/>
  <c r="AJ566" i="3" s="1"/>
  <c r="AI562" i="3"/>
  <c r="AJ562" i="3" s="1"/>
  <c r="AI558" i="3"/>
  <c r="AJ558" i="3" s="1"/>
  <c r="AI554" i="3"/>
  <c r="AJ554" i="3" s="1"/>
  <c r="AI546" i="3"/>
  <c r="AJ546" i="3" s="1"/>
  <c r="AI542" i="3"/>
  <c r="AJ542" i="3" s="1"/>
  <c r="AI538" i="3"/>
  <c r="AJ538" i="3" s="1"/>
  <c r="AI534" i="3"/>
  <c r="AJ534" i="3" s="1"/>
  <c r="AI530" i="3"/>
  <c r="AJ530" i="3" s="1"/>
  <c r="AI526" i="3"/>
  <c r="AJ526" i="3" s="1"/>
  <c r="AI522" i="3"/>
  <c r="AJ522" i="3" s="1"/>
  <c r="AI518" i="3"/>
  <c r="AJ518" i="3" s="1"/>
  <c r="AI510" i="3"/>
  <c r="AJ510" i="3" s="1"/>
  <c r="AI506" i="3"/>
  <c r="AJ506" i="3" s="1"/>
  <c r="AI502" i="3"/>
  <c r="AJ502" i="3" s="1"/>
  <c r="AI498" i="3"/>
  <c r="AJ498" i="3" s="1"/>
  <c r="AI494" i="3"/>
  <c r="AJ494" i="3" s="1"/>
  <c r="AI490" i="3"/>
  <c r="AJ490" i="3" s="1"/>
  <c r="AI486" i="3"/>
  <c r="AJ486" i="3" s="1"/>
  <c r="AI482" i="3"/>
  <c r="AJ482" i="3" s="1"/>
  <c r="AI478" i="3"/>
  <c r="AJ478" i="3" s="1"/>
  <c r="AI470" i="3"/>
  <c r="AJ470" i="3" s="1"/>
  <c r="AI466" i="3"/>
  <c r="AJ466" i="3" s="1"/>
  <c r="AI462" i="3"/>
  <c r="AJ462" i="3" s="1"/>
  <c r="AI458" i="3"/>
  <c r="AJ458" i="3" s="1"/>
  <c r="AI454" i="3"/>
  <c r="AJ454" i="3" s="1"/>
  <c r="AI450" i="3"/>
  <c r="AJ450" i="3" s="1"/>
  <c r="AI446" i="3"/>
  <c r="AJ446" i="3" s="1"/>
  <c r="AI442" i="3"/>
  <c r="AJ442" i="3" s="1"/>
  <c r="AI434" i="3"/>
  <c r="AJ434" i="3" s="1"/>
  <c r="AI426" i="3"/>
  <c r="AJ426" i="3" s="1"/>
  <c r="AI422" i="3"/>
  <c r="AJ422" i="3" s="1"/>
  <c r="AI418" i="3"/>
  <c r="AJ418" i="3" s="1"/>
  <c r="AI414" i="3"/>
  <c r="AJ414" i="3" s="1"/>
  <c r="AI410" i="3"/>
  <c r="AJ410" i="3" s="1"/>
  <c r="AI406" i="3"/>
  <c r="AJ406" i="3" s="1"/>
  <c r="AI402" i="3"/>
  <c r="AJ402" i="3" s="1"/>
  <c r="AI398" i="3"/>
  <c r="AJ398" i="3" s="1"/>
  <c r="AI394" i="3"/>
  <c r="AJ394" i="3" s="1"/>
  <c r="AI390" i="3"/>
  <c r="AJ390" i="3" s="1"/>
  <c r="AI382" i="3"/>
  <c r="AJ382" i="3" s="1"/>
  <c r="AI378" i="3"/>
  <c r="AJ378" i="3" s="1"/>
  <c r="AI374" i="3"/>
  <c r="AJ374" i="3" s="1"/>
  <c r="AI370" i="3"/>
  <c r="AJ370" i="3" s="1"/>
  <c r="AI366" i="3"/>
  <c r="AJ366" i="3" s="1"/>
  <c r="AI362" i="3"/>
  <c r="AJ362" i="3" s="1"/>
  <c r="AI358" i="3"/>
  <c r="AJ358" i="3" s="1"/>
  <c r="AI354" i="3"/>
  <c r="AJ354" i="3" s="1"/>
  <c r="AI350" i="3"/>
  <c r="AJ350" i="3" s="1"/>
  <c r="AI342" i="3"/>
  <c r="AJ342" i="3" s="1"/>
  <c r="AI338" i="3"/>
  <c r="AJ338" i="3" s="1"/>
  <c r="AI334" i="3"/>
  <c r="AJ334" i="3" s="1"/>
  <c r="AI330" i="3"/>
  <c r="AJ330" i="3" s="1"/>
  <c r="AI326" i="3"/>
  <c r="AJ326" i="3" s="1"/>
  <c r="AI322" i="3"/>
  <c r="AJ322" i="3" s="1"/>
  <c r="AI318" i="3"/>
  <c r="AJ318" i="3" s="1"/>
  <c r="AI314" i="3"/>
  <c r="AJ314" i="3" s="1"/>
  <c r="AI306" i="3"/>
  <c r="AJ306" i="3" s="1"/>
  <c r="AI298" i="3"/>
  <c r="AJ298" i="3" s="1"/>
  <c r="AI294" i="3"/>
  <c r="AJ294" i="3" s="1"/>
  <c r="AI290" i="3"/>
  <c r="AJ290" i="3" s="1"/>
  <c r="AI286" i="3"/>
  <c r="AJ286" i="3" s="1"/>
  <c r="AI282" i="3"/>
  <c r="AJ282" i="3" s="1"/>
  <c r="AI278" i="3"/>
  <c r="AJ278" i="3" s="1"/>
  <c r="AI274" i="3"/>
  <c r="AJ274" i="3" s="1"/>
  <c r="AI270" i="3"/>
  <c r="AJ270" i="3" s="1"/>
  <c r="AI266" i="3"/>
  <c r="AJ266" i="3" s="1"/>
  <c r="AI262" i="3"/>
  <c r="AJ262" i="3" s="1"/>
  <c r="AI254" i="3"/>
  <c r="AJ254" i="3" s="1"/>
  <c r="AI250" i="3"/>
  <c r="AJ250" i="3" s="1"/>
  <c r="AI246" i="3"/>
  <c r="AJ246" i="3" s="1"/>
  <c r="AI242" i="3"/>
  <c r="AJ242" i="3" s="1"/>
  <c r="AI238" i="3"/>
  <c r="AJ238" i="3" s="1"/>
  <c r="AI234" i="3"/>
  <c r="AJ234" i="3" s="1"/>
  <c r="AI230" i="3"/>
  <c r="AJ230" i="3" s="1"/>
  <c r="AI226" i="3"/>
  <c r="AJ226" i="3" s="1"/>
  <c r="AI222" i="3"/>
  <c r="AJ222" i="3" s="1"/>
  <c r="AI214" i="3"/>
  <c r="AJ214" i="3" s="1"/>
  <c r="AI210" i="3"/>
  <c r="AJ210" i="3" s="1"/>
  <c r="AI206" i="3"/>
  <c r="AJ206" i="3" s="1"/>
  <c r="AI202" i="3"/>
  <c r="AJ202" i="3" s="1"/>
  <c r="AI198" i="3"/>
  <c r="AJ198" i="3" s="1"/>
  <c r="AI194" i="3"/>
  <c r="AJ194" i="3" s="1"/>
  <c r="AI190" i="3"/>
  <c r="AJ190" i="3" s="1"/>
  <c r="AI186" i="3"/>
  <c r="AJ186" i="3" s="1"/>
  <c r="AI178" i="3"/>
  <c r="AJ178" i="3" s="1"/>
  <c r="AI170" i="3"/>
  <c r="AJ170" i="3" s="1"/>
  <c r="AI166" i="3"/>
  <c r="AJ166" i="3" s="1"/>
  <c r="AI162" i="3"/>
  <c r="AJ162" i="3" s="1"/>
  <c r="AI158" i="3"/>
  <c r="AJ158" i="3" s="1"/>
  <c r="AI154" i="3"/>
  <c r="AJ154" i="3" s="1"/>
  <c r="AI150" i="3"/>
  <c r="AJ150" i="3" s="1"/>
  <c r="AI146" i="3"/>
  <c r="AJ146" i="3" s="1"/>
  <c r="AI142" i="3"/>
  <c r="AJ142" i="3" s="1"/>
  <c r="AI138" i="3"/>
  <c r="AJ138" i="3" s="1"/>
  <c r="AI134" i="3"/>
  <c r="AJ134" i="3" s="1"/>
  <c r="AI130" i="3"/>
  <c r="AJ130" i="3" s="1"/>
  <c r="AI126" i="3"/>
  <c r="AJ126" i="3" s="1"/>
  <c r="AI122" i="3"/>
  <c r="AJ122" i="3" s="1"/>
  <c r="AI118" i="3"/>
  <c r="AJ118" i="3" s="1"/>
  <c r="AI114" i="3"/>
  <c r="AJ114" i="3" s="1"/>
  <c r="AI110" i="3"/>
  <c r="AJ110" i="3" s="1"/>
  <c r="AI106" i="3"/>
  <c r="AJ106" i="3" s="1"/>
  <c r="AI102" i="3"/>
  <c r="AJ102" i="3" s="1"/>
  <c r="AI98" i="3"/>
  <c r="AJ98" i="3" s="1"/>
  <c r="AI90" i="3"/>
  <c r="AJ90" i="3" s="1"/>
  <c r="AI86" i="3"/>
  <c r="AJ86" i="3" s="1"/>
  <c r="AI82" i="3"/>
  <c r="AJ82" i="3" s="1"/>
  <c r="AI78" i="3"/>
  <c r="AJ78" i="3" s="1"/>
  <c r="AI74" i="3"/>
  <c r="AJ74" i="3" s="1"/>
  <c r="AI70" i="3"/>
  <c r="AJ70" i="3" s="1"/>
  <c r="AI66" i="3"/>
  <c r="AJ66" i="3" s="1"/>
  <c r="AI62" i="3"/>
  <c r="AJ62" i="3" s="1"/>
  <c r="AI58" i="3"/>
  <c r="AJ58" i="3" s="1"/>
  <c r="AI50" i="3"/>
  <c r="AJ50" i="3" s="1"/>
  <c r="AI46" i="3"/>
  <c r="AJ46" i="3" s="1"/>
  <c r="AI42" i="3"/>
  <c r="AJ42" i="3" s="1"/>
  <c r="AI38" i="3"/>
  <c r="AJ38" i="3" s="1"/>
  <c r="AI34" i="3"/>
  <c r="AJ34" i="3" s="1"/>
  <c r="AI30" i="3"/>
  <c r="AJ30" i="3" s="1"/>
  <c r="AI26" i="3"/>
  <c r="AJ26" i="3" s="1"/>
  <c r="AI22" i="3"/>
  <c r="AJ22" i="3" s="1"/>
  <c r="AI18" i="3"/>
  <c r="AJ18" i="3" s="1"/>
  <c r="AI14" i="3"/>
  <c r="AJ14" i="3" s="1"/>
  <c r="AI6" i="3"/>
  <c r="AJ6" i="3" s="1"/>
  <c r="AB9" i="3"/>
  <c r="Z9" i="3"/>
  <c r="AB628" i="3"/>
  <c r="Z628" i="3"/>
  <c r="AB620" i="3"/>
  <c r="Z620" i="3"/>
  <c r="AB612" i="3"/>
  <c r="Z612" i="3"/>
  <c r="AB600" i="3"/>
  <c r="Z600" i="3"/>
  <c r="AB592" i="3"/>
  <c r="Z592" i="3"/>
  <c r="AB584" i="3"/>
  <c r="Z584" i="3"/>
  <c r="AB572" i="3"/>
  <c r="Z572" i="3"/>
  <c r="AB564" i="3"/>
  <c r="Z564" i="3"/>
  <c r="AB556" i="3"/>
  <c r="Z556" i="3"/>
  <c r="AB548" i="3"/>
  <c r="Z548" i="3"/>
  <c r="AB536" i="3"/>
  <c r="Z536" i="3"/>
  <c r="AB528" i="3"/>
  <c r="Z528" i="3"/>
  <c r="AB516" i="3"/>
  <c r="Z516" i="3"/>
  <c r="AB508" i="3"/>
  <c r="Z508" i="3"/>
  <c r="AB496" i="3"/>
  <c r="Z496" i="3"/>
  <c r="AB488" i="3"/>
  <c r="Z488" i="3"/>
  <c r="AB480" i="3"/>
  <c r="Z480" i="3"/>
  <c r="AB468" i="3"/>
  <c r="Z468" i="3"/>
  <c r="AB460" i="3"/>
  <c r="Z460" i="3"/>
  <c r="AB448" i="3"/>
  <c r="Z448" i="3"/>
  <c r="AB436" i="3"/>
  <c r="Z436" i="3"/>
  <c r="AB428" i="3"/>
  <c r="Z428" i="3"/>
  <c r="AB416" i="3"/>
  <c r="Z416" i="3"/>
  <c r="AB408" i="3"/>
  <c r="Z408" i="3"/>
  <c r="AB400" i="3"/>
  <c r="Z400" i="3"/>
  <c r="AB392" i="3"/>
  <c r="Z392" i="3"/>
  <c r="AB384" i="3"/>
  <c r="Z384" i="3"/>
  <c r="AB376" i="3"/>
  <c r="Z376" i="3"/>
  <c r="AB368" i="3"/>
  <c r="Z368" i="3"/>
  <c r="AB364" i="3"/>
  <c r="Z364" i="3"/>
  <c r="AB360" i="3"/>
  <c r="Z360" i="3"/>
  <c r="AB356" i="3"/>
  <c r="Z356" i="3"/>
  <c r="AB352" i="3"/>
  <c r="Z352" i="3"/>
  <c r="AB348" i="3"/>
  <c r="Z348" i="3"/>
  <c r="AB344" i="3"/>
  <c r="Z344" i="3"/>
  <c r="AB340" i="3"/>
  <c r="Z340" i="3"/>
  <c r="AB336" i="3"/>
  <c r="Z336" i="3"/>
  <c r="AB332" i="3"/>
  <c r="Z332" i="3"/>
  <c r="AB328" i="3"/>
  <c r="Z328" i="3"/>
  <c r="AB324" i="3"/>
  <c r="Z324" i="3"/>
  <c r="AB320" i="3"/>
  <c r="Z320" i="3"/>
  <c r="AB316" i="3"/>
  <c r="Z316" i="3"/>
  <c r="AB312" i="3"/>
  <c r="Z312" i="3"/>
  <c r="AB304" i="3"/>
  <c r="Z304" i="3"/>
  <c r="AB300" i="3"/>
  <c r="Z300" i="3"/>
  <c r="AB296" i="3"/>
  <c r="Z296" i="3"/>
  <c r="AB292" i="3"/>
  <c r="Z292" i="3"/>
  <c r="AB288" i="3"/>
  <c r="Z288" i="3"/>
  <c r="AB284" i="3"/>
  <c r="Z284" i="3"/>
  <c r="AB280" i="3"/>
  <c r="Z280" i="3"/>
  <c r="AB276" i="3"/>
  <c r="Z276" i="3"/>
  <c r="AB272" i="3"/>
  <c r="Z272" i="3"/>
  <c r="AB268" i="3"/>
  <c r="Z268" i="3"/>
  <c r="AB264" i="3"/>
  <c r="Z264" i="3"/>
  <c r="AB260" i="3"/>
  <c r="Z260" i="3"/>
  <c r="AB256" i="3"/>
  <c r="Z256" i="3"/>
  <c r="AB252" i="3"/>
  <c r="Z252" i="3"/>
  <c r="AB248" i="3"/>
  <c r="Z248" i="3"/>
  <c r="AB244" i="3"/>
  <c r="Z244" i="3"/>
  <c r="AB240" i="3"/>
  <c r="Z240" i="3"/>
  <c r="AB236" i="3"/>
  <c r="Z236" i="3"/>
  <c r="AB232" i="3"/>
  <c r="Z232" i="3"/>
  <c r="AB228" i="3"/>
  <c r="Z228" i="3"/>
  <c r="AB224" i="3"/>
  <c r="Z224" i="3"/>
  <c r="AB220" i="3"/>
  <c r="Z220" i="3"/>
  <c r="AB216" i="3"/>
  <c r="Z216" i="3"/>
  <c r="AB212" i="3"/>
  <c r="Z212" i="3"/>
  <c r="AB208" i="3"/>
  <c r="Z208" i="3"/>
  <c r="AB204" i="3"/>
  <c r="Z204" i="3"/>
  <c r="AB200" i="3"/>
  <c r="Z200" i="3"/>
  <c r="AB196" i="3"/>
  <c r="Z196" i="3"/>
  <c r="AB192" i="3"/>
  <c r="Z192" i="3"/>
  <c r="AB188" i="3"/>
  <c r="Z188" i="3"/>
  <c r="AB184" i="3"/>
  <c r="Z184" i="3"/>
  <c r="AB180" i="3"/>
  <c r="Z180" i="3"/>
  <c r="AB176" i="3"/>
  <c r="Z176" i="3"/>
  <c r="AB172" i="3"/>
  <c r="Z172" i="3"/>
  <c r="AB168" i="3"/>
  <c r="Z168" i="3"/>
  <c r="AB164" i="3"/>
  <c r="Z164" i="3"/>
  <c r="AB160" i="3"/>
  <c r="Z160" i="3"/>
  <c r="AB156" i="3"/>
  <c r="Z156" i="3"/>
  <c r="AB152" i="3"/>
  <c r="Z152" i="3"/>
  <c r="AB148" i="3"/>
  <c r="Z148" i="3"/>
  <c r="AB144" i="3"/>
  <c r="Z144" i="3"/>
  <c r="AB140" i="3"/>
  <c r="Z140" i="3"/>
  <c r="AB136" i="3"/>
  <c r="Z136" i="3"/>
  <c r="AB132" i="3"/>
  <c r="Z132" i="3"/>
  <c r="AB128" i="3"/>
  <c r="Z128" i="3"/>
  <c r="AB124" i="3"/>
  <c r="Z124" i="3"/>
  <c r="AB120" i="3"/>
  <c r="Z120" i="3"/>
  <c r="AB116" i="3"/>
  <c r="Z116" i="3"/>
  <c r="AB112" i="3"/>
  <c r="Z112" i="3"/>
  <c r="AB108" i="3"/>
  <c r="Z108" i="3"/>
  <c r="AB104" i="3"/>
  <c r="Z104" i="3"/>
  <c r="AB100" i="3"/>
  <c r="Z100" i="3"/>
  <c r="AB96" i="3"/>
  <c r="Z96" i="3"/>
  <c r="AB92" i="3"/>
  <c r="Z92" i="3"/>
  <c r="AB88" i="3"/>
  <c r="Z88" i="3"/>
  <c r="AB84" i="3"/>
  <c r="Z84" i="3"/>
  <c r="AB80" i="3"/>
  <c r="Z80" i="3"/>
  <c r="AB76" i="3"/>
  <c r="Z76" i="3"/>
  <c r="AB72" i="3"/>
  <c r="Z72" i="3"/>
  <c r="AB68" i="3"/>
  <c r="Z68" i="3"/>
  <c r="AB64" i="3"/>
  <c r="Z64" i="3"/>
  <c r="AB60" i="3"/>
  <c r="Z60" i="3"/>
  <c r="AB56" i="3"/>
  <c r="Z56" i="3"/>
  <c r="AB52" i="3"/>
  <c r="Z52" i="3"/>
  <c r="AB48" i="3"/>
  <c r="Z48" i="3"/>
  <c r="AB44" i="3"/>
  <c r="Z44" i="3"/>
  <c r="AB40" i="3"/>
  <c r="Z40" i="3"/>
  <c r="AB36" i="3"/>
  <c r="Z36" i="3"/>
  <c r="AB32" i="3"/>
  <c r="Z32" i="3"/>
  <c r="AB28" i="3"/>
  <c r="Z28" i="3"/>
  <c r="AB24" i="3"/>
  <c r="Z24" i="3"/>
  <c r="AB20" i="3"/>
  <c r="Z20" i="3"/>
  <c r="AB16" i="3"/>
  <c r="Z16" i="3"/>
  <c r="AB12" i="3"/>
  <c r="Z12" i="3"/>
  <c r="AB8" i="3"/>
  <c r="Z8" i="3"/>
  <c r="AB3" i="3"/>
  <c r="Z3" i="3"/>
  <c r="AB633" i="3"/>
  <c r="Z633" i="3"/>
  <c r="AB629" i="3"/>
  <c r="Z629" i="3"/>
  <c r="AB625" i="3"/>
  <c r="Z625" i="3"/>
  <c r="AB621" i="3"/>
  <c r="Z621" i="3"/>
  <c r="AB617" i="3"/>
  <c r="Z617" i="3"/>
  <c r="AB613" i="3"/>
  <c r="Z613" i="3"/>
  <c r="AB609" i="3"/>
  <c r="Z609" i="3"/>
  <c r="AB605" i="3"/>
  <c r="Z605" i="3"/>
  <c r="AB601" i="3"/>
  <c r="Z601" i="3"/>
  <c r="AB597" i="3"/>
  <c r="Z597" i="3"/>
  <c r="AB593" i="3"/>
  <c r="Z593" i="3"/>
  <c r="AB589" i="3"/>
  <c r="Z589" i="3"/>
  <c r="AB585" i="3"/>
  <c r="Z585" i="3"/>
  <c r="AB581" i="3"/>
  <c r="Z581" i="3"/>
  <c r="AB577" i="3"/>
  <c r="Z577" i="3"/>
  <c r="AB573" i="3"/>
  <c r="Z573" i="3"/>
  <c r="AB569" i="3"/>
  <c r="Z569" i="3"/>
  <c r="AB565" i="3"/>
  <c r="Z565" i="3"/>
  <c r="AB561" i="3"/>
  <c r="Z561" i="3"/>
  <c r="AB557" i="3"/>
  <c r="Z557" i="3"/>
  <c r="AB553" i="3"/>
  <c r="Z553" i="3"/>
  <c r="AB549" i="3"/>
  <c r="Z549" i="3"/>
  <c r="AB545" i="3"/>
  <c r="Z545" i="3"/>
  <c r="AB541" i="3"/>
  <c r="Z541" i="3"/>
  <c r="AB537" i="3"/>
  <c r="Z537" i="3"/>
  <c r="AB533" i="3"/>
  <c r="Z533" i="3"/>
  <c r="AB529" i="3"/>
  <c r="Z529" i="3"/>
  <c r="AB525" i="3"/>
  <c r="Z525" i="3"/>
  <c r="AB521" i="3"/>
  <c r="Z521" i="3"/>
  <c r="AB517" i="3"/>
  <c r="Z517" i="3"/>
  <c r="AB513" i="3"/>
  <c r="Z513" i="3"/>
  <c r="AB509" i="3"/>
  <c r="Z509" i="3"/>
  <c r="AB505" i="3"/>
  <c r="Z505" i="3"/>
  <c r="AB501" i="3"/>
  <c r="Z501" i="3"/>
  <c r="AB497" i="3"/>
  <c r="Z497" i="3"/>
  <c r="AB493" i="3"/>
  <c r="Z493" i="3"/>
  <c r="AB489" i="3"/>
  <c r="Z489" i="3"/>
  <c r="AB485" i="3"/>
  <c r="Z485" i="3"/>
  <c r="AB481" i="3"/>
  <c r="Z481" i="3"/>
  <c r="AB477" i="3"/>
  <c r="Z477" i="3"/>
  <c r="AB473" i="3"/>
  <c r="Z473" i="3"/>
  <c r="AB469" i="3"/>
  <c r="Z469" i="3"/>
  <c r="AB465" i="3"/>
  <c r="Z465" i="3"/>
  <c r="AB461" i="3"/>
  <c r="Z461" i="3"/>
  <c r="AB457" i="3"/>
  <c r="Z457" i="3"/>
  <c r="AB453" i="3"/>
  <c r="Z453" i="3"/>
  <c r="AB449" i="3"/>
  <c r="Z449" i="3"/>
  <c r="AB445" i="3"/>
  <c r="Z445" i="3"/>
  <c r="AB441" i="3"/>
  <c r="Z441" i="3"/>
  <c r="AB437" i="3"/>
  <c r="Z437" i="3"/>
  <c r="AB433" i="3"/>
  <c r="Z433" i="3"/>
  <c r="AB425" i="3"/>
  <c r="Z425" i="3"/>
  <c r="AB417" i="3"/>
  <c r="Z417" i="3"/>
  <c r="AB409" i="3"/>
  <c r="Z409" i="3"/>
  <c r="AB401" i="3"/>
  <c r="Z401" i="3"/>
  <c r="AB393" i="3"/>
  <c r="Z393" i="3"/>
  <c r="AB385" i="3"/>
  <c r="Z385" i="3"/>
  <c r="AB377" i="3"/>
  <c r="Z377" i="3"/>
  <c r="AB369" i="3"/>
  <c r="Z369" i="3"/>
  <c r="AB361" i="3"/>
  <c r="Z361" i="3"/>
  <c r="AB353" i="3"/>
  <c r="Z353" i="3"/>
  <c r="AB345" i="3"/>
  <c r="Z345" i="3"/>
  <c r="AB337" i="3"/>
  <c r="Z337" i="3"/>
  <c r="AB329" i="3"/>
  <c r="Z329" i="3"/>
  <c r="AB321" i="3"/>
  <c r="Z321" i="3"/>
  <c r="AB313" i="3"/>
  <c r="Z313" i="3"/>
  <c r="AB305" i="3"/>
  <c r="Z305" i="3"/>
  <c r="AB297" i="3"/>
  <c r="Z297" i="3"/>
  <c r="AB289" i="3"/>
  <c r="Z289" i="3"/>
  <c r="AB281" i="3"/>
  <c r="Z281" i="3"/>
  <c r="AB273" i="3"/>
  <c r="Z273" i="3"/>
  <c r="AB261" i="3"/>
  <c r="Z261" i="3"/>
  <c r="AB257" i="3"/>
  <c r="Z257" i="3"/>
  <c r="AB249" i="3"/>
  <c r="Z249" i="3"/>
  <c r="AB241" i="3"/>
  <c r="Z241" i="3"/>
  <c r="AB233" i="3"/>
  <c r="Z233" i="3"/>
  <c r="AB225" i="3"/>
  <c r="Z225" i="3"/>
  <c r="AB217" i="3"/>
  <c r="Z217" i="3"/>
  <c r="AB209" i="3"/>
  <c r="Z209" i="3"/>
  <c r="AB201" i="3"/>
  <c r="Z201" i="3"/>
  <c r="AB193" i="3"/>
  <c r="Z193" i="3"/>
  <c r="AB185" i="3"/>
  <c r="Z185" i="3"/>
  <c r="AB177" i="3"/>
  <c r="Z177" i="3"/>
  <c r="AB169" i="3"/>
  <c r="Z169" i="3"/>
  <c r="AB161" i="3"/>
  <c r="Z161" i="3"/>
  <c r="AB153" i="3"/>
  <c r="Z153" i="3"/>
  <c r="AB145" i="3"/>
  <c r="Z145" i="3"/>
  <c r="AB137" i="3"/>
  <c r="Z137" i="3"/>
  <c r="AB129" i="3"/>
  <c r="Z129" i="3"/>
  <c r="AB121" i="3"/>
  <c r="Z121" i="3"/>
  <c r="AB113" i="3"/>
  <c r="Z113" i="3"/>
  <c r="AB105" i="3"/>
  <c r="Z105" i="3"/>
  <c r="AB97" i="3"/>
  <c r="Z97" i="3"/>
  <c r="AB89" i="3"/>
  <c r="Z89" i="3"/>
  <c r="AB81" i="3"/>
  <c r="Z81" i="3"/>
  <c r="AB73" i="3"/>
  <c r="Z73" i="3"/>
  <c r="AB65" i="3"/>
  <c r="Z65" i="3"/>
  <c r="AB57" i="3"/>
  <c r="Z57" i="3"/>
  <c r="AB49" i="3"/>
  <c r="Z49" i="3"/>
  <c r="AB41" i="3"/>
  <c r="Z41" i="3"/>
  <c r="AB33" i="3"/>
  <c r="Z33" i="3"/>
  <c r="AB25" i="3"/>
  <c r="Z25" i="3"/>
  <c r="AB21" i="3"/>
  <c r="Z21" i="3"/>
  <c r="AB13" i="3"/>
  <c r="Z13" i="3"/>
  <c r="AB632" i="3"/>
  <c r="Z632" i="3"/>
  <c r="AB624" i="3"/>
  <c r="Z624" i="3"/>
  <c r="AB616" i="3"/>
  <c r="Z616" i="3"/>
  <c r="AB608" i="3"/>
  <c r="Z608" i="3"/>
  <c r="AB604" i="3"/>
  <c r="Z604" i="3"/>
  <c r="AB596" i="3"/>
  <c r="Z596" i="3"/>
  <c r="AB588" i="3"/>
  <c r="Z588" i="3"/>
  <c r="AB580" i="3"/>
  <c r="Z580" i="3"/>
  <c r="AB576" i="3"/>
  <c r="Z576" i="3"/>
  <c r="AB568" i="3"/>
  <c r="Z568" i="3"/>
  <c r="AB560" i="3"/>
  <c r="Z560" i="3"/>
  <c r="AB552" i="3"/>
  <c r="Z552" i="3"/>
  <c r="AB544" i="3"/>
  <c r="Z544" i="3"/>
  <c r="AB540" i="3"/>
  <c r="Z540" i="3"/>
  <c r="AB532" i="3"/>
  <c r="Z532" i="3"/>
  <c r="AB524" i="3"/>
  <c r="Z524" i="3"/>
  <c r="AB520" i="3"/>
  <c r="Z520" i="3"/>
  <c r="AB512" i="3"/>
  <c r="Z512" i="3"/>
  <c r="AB504" i="3"/>
  <c r="Z504" i="3"/>
  <c r="AB500" i="3"/>
  <c r="Z500" i="3"/>
  <c r="AB492" i="3"/>
  <c r="Z492" i="3"/>
  <c r="AB484" i="3"/>
  <c r="Z484" i="3"/>
  <c r="AB476" i="3"/>
  <c r="Z476" i="3"/>
  <c r="AB472" i="3"/>
  <c r="Z472" i="3"/>
  <c r="AB464" i="3"/>
  <c r="Z464" i="3"/>
  <c r="AB456" i="3"/>
  <c r="Z456" i="3"/>
  <c r="AB452" i="3"/>
  <c r="Z452" i="3"/>
  <c r="AB444" i="3"/>
  <c r="Z444" i="3"/>
  <c r="AB440" i="3"/>
  <c r="Z440" i="3"/>
  <c r="AB432" i="3"/>
  <c r="Z432" i="3"/>
  <c r="AB424" i="3"/>
  <c r="Z424" i="3"/>
  <c r="AB420" i="3"/>
  <c r="Z420" i="3"/>
  <c r="AB412" i="3"/>
  <c r="Z412" i="3"/>
  <c r="AB404" i="3"/>
  <c r="Z404" i="3"/>
  <c r="AB396" i="3"/>
  <c r="Z396" i="3"/>
  <c r="AB388" i="3"/>
  <c r="Z388" i="3"/>
  <c r="AB380" i="3"/>
  <c r="Z380" i="3"/>
  <c r="AB372" i="3"/>
  <c r="Z372" i="3"/>
  <c r="AB308" i="3"/>
  <c r="Z308" i="3"/>
  <c r="AB631" i="3"/>
  <c r="Z631" i="3"/>
  <c r="AB627" i="3"/>
  <c r="Z627" i="3"/>
  <c r="AB623" i="3"/>
  <c r="Z623" i="3"/>
  <c r="AB619" i="3"/>
  <c r="Z619" i="3"/>
  <c r="AB615" i="3"/>
  <c r="Z615" i="3"/>
  <c r="AB611" i="3"/>
  <c r="Z611" i="3"/>
  <c r="AB607" i="3"/>
  <c r="Z607" i="3"/>
  <c r="AB603" i="3"/>
  <c r="Z603" i="3"/>
  <c r="AB599" i="3"/>
  <c r="Z599" i="3"/>
  <c r="AB595" i="3"/>
  <c r="Z595" i="3"/>
  <c r="AB591" i="3"/>
  <c r="Z591" i="3"/>
  <c r="AB587" i="3"/>
  <c r="Z587" i="3"/>
  <c r="AB583" i="3"/>
  <c r="Z583" i="3"/>
  <c r="AB579" i="3"/>
  <c r="Z579" i="3"/>
  <c r="AB575" i="3"/>
  <c r="Z575" i="3"/>
  <c r="AB571" i="3"/>
  <c r="Z571" i="3"/>
  <c r="AB567" i="3"/>
  <c r="Z567" i="3"/>
  <c r="AB563" i="3"/>
  <c r="Z563" i="3"/>
  <c r="AB559" i="3"/>
  <c r="Z559" i="3"/>
  <c r="AB555" i="3"/>
  <c r="Z555" i="3"/>
  <c r="AB551" i="3"/>
  <c r="Z551" i="3"/>
  <c r="AB547" i="3"/>
  <c r="Z547" i="3"/>
  <c r="AB543" i="3"/>
  <c r="Z543" i="3"/>
  <c r="AB539" i="3"/>
  <c r="Z539" i="3"/>
  <c r="AB535" i="3"/>
  <c r="Z535" i="3"/>
  <c r="AB531" i="3"/>
  <c r="Z531" i="3"/>
  <c r="AB527" i="3"/>
  <c r="Z527" i="3"/>
  <c r="AB523" i="3"/>
  <c r="Z523" i="3"/>
  <c r="AB519" i="3"/>
  <c r="Z519" i="3"/>
  <c r="AB515" i="3"/>
  <c r="Z515" i="3"/>
  <c r="AB511" i="3"/>
  <c r="Z511" i="3"/>
  <c r="AB507" i="3"/>
  <c r="Z507" i="3"/>
  <c r="AB503" i="3"/>
  <c r="Z503" i="3"/>
  <c r="AB499" i="3"/>
  <c r="Z499" i="3"/>
  <c r="AB495" i="3"/>
  <c r="Z495" i="3"/>
  <c r="AB491" i="3"/>
  <c r="Z491" i="3"/>
  <c r="AB487" i="3"/>
  <c r="Z487" i="3"/>
  <c r="AB483" i="3"/>
  <c r="Z483" i="3"/>
  <c r="AB479" i="3"/>
  <c r="Z479" i="3"/>
  <c r="AB475" i="3"/>
  <c r="Z475" i="3"/>
  <c r="AB471" i="3"/>
  <c r="Z471" i="3"/>
  <c r="AB467" i="3"/>
  <c r="Z467" i="3"/>
  <c r="AB463" i="3"/>
  <c r="Z463" i="3"/>
  <c r="AB459" i="3"/>
  <c r="Z459" i="3"/>
  <c r="AB455" i="3"/>
  <c r="Z455" i="3"/>
  <c r="AB451" i="3"/>
  <c r="Z451" i="3"/>
  <c r="AB447" i="3"/>
  <c r="Z447" i="3"/>
  <c r="AB443" i="3"/>
  <c r="Z443" i="3"/>
  <c r="AB439" i="3"/>
  <c r="Z439" i="3"/>
  <c r="AB435" i="3"/>
  <c r="Z435" i="3"/>
  <c r="AB431" i="3"/>
  <c r="Z431" i="3"/>
  <c r="AB427" i="3"/>
  <c r="Z427" i="3"/>
  <c r="AB423" i="3"/>
  <c r="Z423" i="3"/>
  <c r="AB419" i="3"/>
  <c r="Z419" i="3"/>
  <c r="AB415" i="3"/>
  <c r="Z415" i="3"/>
  <c r="AB411" i="3"/>
  <c r="Z411" i="3"/>
  <c r="AB407" i="3"/>
  <c r="Z407" i="3"/>
  <c r="AB403" i="3"/>
  <c r="Z403" i="3"/>
  <c r="AB399" i="3"/>
  <c r="Z399" i="3"/>
  <c r="AB395" i="3"/>
  <c r="Z395" i="3"/>
  <c r="AB391" i="3"/>
  <c r="Z391" i="3"/>
  <c r="AB387" i="3"/>
  <c r="Z387" i="3"/>
  <c r="AB383" i="3"/>
  <c r="Z383" i="3"/>
  <c r="AB379" i="3"/>
  <c r="Z379" i="3"/>
  <c r="AB375" i="3"/>
  <c r="Z375" i="3"/>
  <c r="AB371" i="3"/>
  <c r="Z371" i="3"/>
  <c r="AB367" i="3"/>
  <c r="Z367" i="3"/>
  <c r="AB363" i="3"/>
  <c r="Z363" i="3"/>
  <c r="AB359" i="3"/>
  <c r="Z359" i="3"/>
  <c r="AB355" i="3"/>
  <c r="Z355" i="3"/>
  <c r="AB351" i="3"/>
  <c r="Z351" i="3"/>
  <c r="AB347" i="3"/>
  <c r="Z347" i="3"/>
  <c r="AB343" i="3"/>
  <c r="Z343" i="3"/>
  <c r="AB339" i="3"/>
  <c r="Z339" i="3"/>
  <c r="AB335" i="3"/>
  <c r="Z335" i="3"/>
  <c r="AB331" i="3"/>
  <c r="Z331" i="3"/>
  <c r="AB327" i="3"/>
  <c r="Z327" i="3"/>
  <c r="AB323" i="3"/>
  <c r="Z323" i="3"/>
  <c r="AB319" i="3"/>
  <c r="Z319" i="3"/>
  <c r="AB315" i="3"/>
  <c r="Z315" i="3"/>
  <c r="AB311" i="3"/>
  <c r="Z311" i="3"/>
  <c r="AB307" i="3"/>
  <c r="Z307" i="3"/>
  <c r="AB303" i="3"/>
  <c r="Z303" i="3"/>
  <c r="AB299" i="3"/>
  <c r="Z299" i="3"/>
  <c r="AB295" i="3"/>
  <c r="Z295" i="3"/>
  <c r="AB291" i="3"/>
  <c r="Z291" i="3"/>
  <c r="AB287" i="3"/>
  <c r="Z287" i="3"/>
  <c r="AB283" i="3"/>
  <c r="Z283" i="3"/>
  <c r="AB279" i="3"/>
  <c r="Z279" i="3"/>
  <c r="AB275" i="3"/>
  <c r="Z275" i="3"/>
  <c r="AB271" i="3"/>
  <c r="Z271" i="3"/>
  <c r="AB267" i="3"/>
  <c r="Z267" i="3"/>
  <c r="AB263" i="3"/>
  <c r="Z263" i="3"/>
  <c r="AB259" i="3"/>
  <c r="Z259" i="3"/>
  <c r="AB255" i="3"/>
  <c r="Z255" i="3"/>
  <c r="AB251" i="3"/>
  <c r="Z251" i="3"/>
  <c r="AB247" i="3"/>
  <c r="Z247" i="3"/>
  <c r="AB243" i="3"/>
  <c r="Z243" i="3"/>
  <c r="AB239" i="3"/>
  <c r="Z239" i="3"/>
  <c r="AB235" i="3"/>
  <c r="Z235" i="3"/>
  <c r="AB231" i="3"/>
  <c r="Z231" i="3"/>
  <c r="AB227" i="3"/>
  <c r="Z227" i="3"/>
  <c r="AB223" i="3"/>
  <c r="Z223" i="3"/>
  <c r="AB219" i="3"/>
  <c r="Z219" i="3"/>
  <c r="AB215" i="3"/>
  <c r="Z215" i="3"/>
  <c r="AB211" i="3"/>
  <c r="Z211" i="3"/>
  <c r="AB207" i="3"/>
  <c r="Z207" i="3"/>
  <c r="AB203" i="3"/>
  <c r="Z203" i="3"/>
  <c r="AB199" i="3"/>
  <c r="Z199" i="3"/>
  <c r="AB195" i="3"/>
  <c r="Z195" i="3"/>
  <c r="AB191" i="3"/>
  <c r="Z191" i="3"/>
  <c r="AB187" i="3"/>
  <c r="Z187" i="3"/>
  <c r="AB183" i="3"/>
  <c r="Z183" i="3"/>
  <c r="AB179" i="3"/>
  <c r="Z179" i="3"/>
  <c r="AB175" i="3"/>
  <c r="Z175" i="3"/>
  <c r="AB171" i="3"/>
  <c r="Z171" i="3"/>
  <c r="AB167" i="3"/>
  <c r="Z167" i="3"/>
  <c r="AB163" i="3"/>
  <c r="Z163" i="3"/>
  <c r="AB159" i="3"/>
  <c r="Z159" i="3"/>
  <c r="AB155" i="3"/>
  <c r="Z155" i="3"/>
  <c r="AB151" i="3"/>
  <c r="Z151" i="3"/>
  <c r="AB147" i="3"/>
  <c r="Z147" i="3"/>
  <c r="AB143" i="3"/>
  <c r="Z143" i="3"/>
  <c r="AB139" i="3"/>
  <c r="Z139" i="3"/>
  <c r="AB135" i="3"/>
  <c r="Z135" i="3"/>
  <c r="AB131" i="3"/>
  <c r="Z131" i="3"/>
  <c r="AB127" i="3"/>
  <c r="Z127" i="3"/>
  <c r="AB123" i="3"/>
  <c r="Z123" i="3"/>
  <c r="AB119" i="3"/>
  <c r="Z119" i="3"/>
  <c r="AB115" i="3"/>
  <c r="Z115" i="3"/>
  <c r="AB111" i="3"/>
  <c r="Z111" i="3"/>
  <c r="AB107" i="3"/>
  <c r="Z107" i="3"/>
  <c r="AB103" i="3"/>
  <c r="Z103" i="3"/>
  <c r="AB99" i="3"/>
  <c r="Z99" i="3"/>
  <c r="AB95" i="3"/>
  <c r="Z95" i="3"/>
  <c r="AB91" i="3"/>
  <c r="Z91" i="3"/>
  <c r="AB87" i="3"/>
  <c r="Z87" i="3"/>
  <c r="AB83" i="3"/>
  <c r="Z83" i="3"/>
  <c r="AB79" i="3"/>
  <c r="Z79" i="3"/>
  <c r="AB75" i="3"/>
  <c r="Z75" i="3"/>
  <c r="AB71" i="3"/>
  <c r="Z71" i="3"/>
  <c r="AB67" i="3"/>
  <c r="Z67" i="3"/>
  <c r="AB63" i="3"/>
  <c r="Z63" i="3"/>
  <c r="AB59" i="3"/>
  <c r="Z59" i="3"/>
  <c r="AB55" i="3"/>
  <c r="Z55" i="3"/>
  <c r="AB51" i="3"/>
  <c r="Z51" i="3"/>
  <c r="AB47" i="3"/>
  <c r="Z47" i="3"/>
  <c r="AB43" i="3"/>
  <c r="Z43" i="3"/>
  <c r="AB39" i="3"/>
  <c r="Z39" i="3"/>
  <c r="AB35" i="3"/>
  <c r="Z35" i="3"/>
  <c r="AB31" i="3"/>
  <c r="Z31" i="3"/>
  <c r="AB27" i="3"/>
  <c r="Z27" i="3"/>
  <c r="AB23" i="3"/>
  <c r="Z23" i="3"/>
  <c r="AB19" i="3"/>
  <c r="Z19" i="3"/>
  <c r="AB15" i="3"/>
  <c r="Z15" i="3"/>
  <c r="AB11" i="3"/>
  <c r="Z11" i="3"/>
  <c r="AB7" i="3"/>
  <c r="Z7" i="3"/>
  <c r="AB2" i="3"/>
  <c r="Z2" i="3"/>
  <c r="AB429" i="3"/>
  <c r="Z429" i="3"/>
  <c r="AB421" i="3"/>
  <c r="Z421" i="3"/>
  <c r="AB413" i="3"/>
  <c r="Z413" i="3"/>
  <c r="AB405" i="3"/>
  <c r="Z405" i="3"/>
  <c r="AB397" i="3"/>
  <c r="Z397" i="3"/>
  <c r="AB389" i="3"/>
  <c r="Z389" i="3"/>
  <c r="AB381" i="3"/>
  <c r="Z381" i="3"/>
  <c r="AB373" i="3"/>
  <c r="Z373" i="3"/>
  <c r="AB365" i="3"/>
  <c r="Z365" i="3"/>
  <c r="AB357" i="3"/>
  <c r="Z357" i="3"/>
  <c r="AB349" i="3"/>
  <c r="Z349" i="3"/>
  <c r="AB341" i="3"/>
  <c r="Z341" i="3"/>
  <c r="AB333" i="3"/>
  <c r="Z333" i="3"/>
  <c r="AB325" i="3"/>
  <c r="Z325" i="3"/>
  <c r="AB317" i="3"/>
  <c r="Z317" i="3"/>
  <c r="AB309" i="3"/>
  <c r="Z309" i="3"/>
  <c r="AB301" i="3"/>
  <c r="Z301" i="3"/>
  <c r="AB293" i="3"/>
  <c r="Z293" i="3"/>
  <c r="AB285" i="3"/>
  <c r="Z285" i="3"/>
  <c r="AB277" i="3"/>
  <c r="Z277" i="3"/>
  <c r="AB269" i="3"/>
  <c r="Z269" i="3"/>
  <c r="AB265" i="3"/>
  <c r="Z265" i="3"/>
  <c r="AB253" i="3"/>
  <c r="Z253" i="3"/>
  <c r="AB245" i="3"/>
  <c r="Z245" i="3"/>
  <c r="AB237" i="3"/>
  <c r="Z237" i="3"/>
  <c r="AB229" i="3"/>
  <c r="Z229" i="3"/>
  <c r="AB221" i="3"/>
  <c r="Z221" i="3"/>
  <c r="AB213" i="3"/>
  <c r="Z213" i="3"/>
  <c r="AB205" i="3"/>
  <c r="Z205" i="3"/>
  <c r="AB197" i="3"/>
  <c r="Z197" i="3"/>
  <c r="AB189" i="3"/>
  <c r="Z189" i="3"/>
  <c r="AB181" i="3"/>
  <c r="Z181" i="3"/>
  <c r="AB173" i="3"/>
  <c r="Z173" i="3"/>
  <c r="AB165" i="3"/>
  <c r="Z165" i="3"/>
  <c r="AB157" i="3"/>
  <c r="Z157" i="3"/>
  <c r="AB149" i="3"/>
  <c r="Z149" i="3"/>
  <c r="AB141" i="3"/>
  <c r="Z141" i="3"/>
  <c r="AB133" i="3"/>
  <c r="Z133" i="3"/>
  <c r="AB125" i="3"/>
  <c r="Z125" i="3"/>
  <c r="AB117" i="3"/>
  <c r="Z117" i="3"/>
  <c r="AB109" i="3"/>
  <c r="Z109" i="3"/>
  <c r="AB101" i="3"/>
  <c r="Z101" i="3"/>
  <c r="AB93" i="3"/>
  <c r="Z93" i="3"/>
  <c r="AB85" i="3"/>
  <c r="Z85" i="3"/>
  <c r="AB77" i="3"/>
  <c r="Z77" i="3"/>
  <c r="AB69" i="3"/>
  <c r="Z69" i="3"/>
  <c r="AB61" i="3"/>
  <c r="Z61" i="3"/>
  <c r="AB53" i="3"/>
  <c r="Z53" i="3"/>
  <c r="AB45" i="3"/>
  <c r="Z45" i="3"/>
  <c r="AB37" i="3"/>
  <c r="Z37" i="3"/>
  <c r="AB29" i="3"/>
  <c r="Z29" i="3"/>
  <c r="AB17" i="3"/>
  <c r="Z17" i="3"/>
  <c r="AB5" i="3"/>
  <c r="Z5" i="3"/>
  <c r="W631" i="3"/>
  <c r="W627" i="3"/>
  <c r="W623" i="3"/>
  <c r="AB630" i="3"/>
  <c r="AD630" i="3" s="1"/>
  <c r="AE630" i="3" s="1"/>
  <c r="Z630" i="3"/>
  <c r="AB626" i="3"/>
  <c r="Z626" i="3"/>
  <c r="AB622" i="3"/>
  <c r="AD622" i="3" s="1"/>
  <c r="AE622" i="3" s="1"/>
  <c r="Z622" i="3"/>
  <c r="AB618" i="3"/>
  <c r="Z618" i="3"/>
  <c r="AB614" i="3"/>
  <c r="AD614" i="3" s="1"/>
  <c r="AE614" i="3" s="1"/>
  <c r="Z614" i="3"/>
  <c r="AB610" i="3"/>
  <c r="Z610" i="3"/>
  <c r="AB606" i="3"/>
  <c r="AD606" i="3" s="1"/>
  <c r="AE606" i="3" s="1"/>
  <c r="Z606" i="3"/>
  <c r="AB602" i="3"/>
  <c r="Z602" i="3"/>
  <c r="AB598" i="3"/>
  <c r="Z598" i="3"/>
  <c r="AB594" i="3"/>
  <c r="Z594" i="3"/>
  <c r="AB590" i="3"/>
  <c r="AD590" i="3" s="1"/>
  <c r="AE590" i="3" s="1"/>
  <c r="Z590" i="3"/>
  <c r="AB586" i="3"/>
  <c r="Z586" i="3"/>
  <c r="AB582" i="3"/>
  <c r="AD582" i="3" s="1"/>
  <c r="AE582" i="3" s="1"/>
  <c r="Z582" i="3"/>
  <c r="AB578" i="3"/>
  <c r="Z578" i="3"/>
  <c r="AB574" i="3"/>
  <c r="AD574" i="3" s="1"/>
  <c r="AE574" i="3" s="1"/>
  <c r="Z574" i="3"/>
  <c r="AB570" i="3"/>
  <c r="Z570" i="3"/>
  <c r="AB566" i="3"/>
  <c r="AD566" i="3" s="1"/>
  <c r="AE566" i="3" s="1"/>
  <c r="Z566" i="3"/>
  <c r="AB562" i="3"/>
  <c r="Z562" i="3"/>
  <c r="AB558" i="3"/>
  <c r="AD558" i="3" s="1"/>
  <c r="AE558" i="3" s="1"/>
  <c r="Z558" i="3"/>
  <c r="AB554" i="3"/>
  <c r="Z554" i="3"/>
  <c r="AB550" i="3"/>
  <c r="AD550" i="3" s="1"/>
  <c r="AE550" i="3" s="1"/>
  <c r="Z550" i="3"/>
  <c r="AB546" i="3"/>
  <c r="Z546" i="3"/>
  <c r="AB542" i="3"/>
  <c r="AD542" i="3" s="1"/>
  <c r="AE542" i="3" s="1"/>
  <c r="Z542" i="3"/>
  <c r="AB538" i="3"/>
  <c r="Z538" i="3"/>
  <c r="AB534" i="3"/>
  <c r="Z534" i="3"/>
  <c r="AB530" i="3"/>
  <c r="Z530" i="3"/>
  <c r="AB526" i="3"/>
  <c r="AD526" i="3" s="1"/>
  <c r="AE526" i="3" s="1"/>
  <c r="Z526" i="3"/>
  <c r="AB522" i="3"/>
  <c r="Z522" i="3"/>
  <c r="AB518" i="3"/>
  <c r="AD518" i="3" s="1"/>
  <c r="AE518" i="3" s="1"/>
  <c r="Z518" i="3"/>
  <c r="AB514" i="3"/>
  <c r="Z514" i="3"/>
  <c r="AB510" i="3"/>
  <c r="AD510" i="3" s="1"/>
  <c r="AE510" i="3" s="1"/>
  <c r="Z510" i="3"/>
  <c r="AB506" i="3"/>
  <c r="Z506" i="3"/>
  <c r="AB502" i="3"/>
  <c r="AD502" i="3" s="1"/>
  <c r="AE502" i="3" s="1"/>
  <c r="Z502" i="3"/>
  <c r="AB498" i="3"/>
  <c r="Z498" i="3"/>
  <c r="AB494" i="3"/>
  <c r="AD494" i="3" s="1"/>
  <c r="AE494" i="3" s="1"/>
  <c r="Z494" i="3"/>
  <c r="AB490" i="3"/>
  <c r="Z490" i="3"/>
  <c r="AB486" i="3"/>
  <c r="Z486" i="3"/>
  <c r="AB482" i="3"/>
  <c r="Z482" i="3"/>
  <c r="AB478" i="3"/>
  <c r="AD478" i="3" s="1"/>
  <c r="AE478" i="3" s="1"/>
  <c r="Z478" i="3"/>
  <c r="AB474" i="3"/>
  <c r="Z474" i="3"/>
  <c r="AB470" i="3"/>
  <c r="AD470" i="3" s="1"/>
  <c r="AE470" i="3" s="1"/>
  <c r="Z470" i="3"/>
  <c r="AB466" i="3"/>
  <c r="Z466" i="3"/>
  <c r="AB462" i="3"/>
  <c r="AD462" i="3" s="1"/>
  <c r="AE462" i="3" s="1"/>
  <c r="Z462" i="3"/>
  <c r="AB458" i="3"/>
  <c r="Z458" i="3"/>
  <c r="AB454" i="3"/>
  <c r="AD454" i="3" s="1"/>
  <c r="AE454" i="3" s="1"/>
  <c r="Z454" i="3"/>
  <c r="AB450" i="3"/>
  <c r="Z450" i="3"/>
  <c r="AB446" i="3"/>
  <c r="AD446" i="3" s="1"/>
  <c r="AE446" i="3" s="1"/>
  <c r="Z446" i="3"/>
  <c r="AB442" i="3"/>
  <c r="Z442" i="3"/>
  <c r="AB438" i="3"/>
  <c r="AD438" i="3" s="1"/>
  <c r="AE438" i="3" s="1"/>
  <c r="Z438" i="3"/>
  <c r="AB434" i="3"/>
  <c r="Z434" i="3"/>
  <c r="AB430" i="3"/>
  <c r="AD430" i="3" s="1"/>
  <c r="AE430" i="3" s="1"/>
  <c r="Z430" i="3"/>
  <c r="AB426" i="3"/>
  <c r="Z426" i="3"/>
  <c r="AB422" i="3"/>
  <c r="AD422" i="3" s="1"/>
  <c r="AE422" i="3" s="1"/>
  <c r="Z422" i="3"/>
  <c r="AB418" i="3"/>
  <c r="Z418" i="3"/>
  <c r="AB414" i="3"/>
  <c r="Z414" i="3"/>
  <c r="AB410" i="3"/>
  <c r="Z410" i="3"/>
  <c r="AB406" i="3"/>
  <c r="AD406" i="3" s="1"/>
  <c r="AE406" i="3" s="1"/>
  <c r="Z406" i="3"/>
  <c r="AB402" i="3"/>
  <c r="Z402" i="3"/>
  <c r="AB398" i="3"/>
  <c r="AD398" i="3" s="1"/>
  <c r="AE398" i="3" s="1"/>
  <c r="Z398" i="3"/>
  <c r="AB394" i="3"/>
  <c r="Z394" i="3"/>
  <c r="AB390" i="3"/>
  <c r="AD390" i="3" s="1"/>
  <c r="AE390" i="3" s="1"/>
  <c r="Z390" i="3"/>
  <c r="AB386" i="3"/>
  <c r="Z386" i="3"/>
  <c r="AB382" i="3"/>
  <c r="AD382" i="3" s="1"/>
  <c r="AE382" i="3" s="1"/>
  <c r="Z382" i="3"/>
  <c r="AB378" i="3"/>
  <c r="Z378" i="3"/>
  <c r="AB374" i="3"/>
  <c r="AD374" i="3" s="1"/>
  <c r="AE374" i="3" s="1"/>
  <c r="Z374" i="3"/>
  <c r="AB370" i="3"/>
  <c r="Z370" i="3"/>
  <c r="AB366" i="3"/>
  <c r="AD366" i="3" s="1"/>
  <c r="AE366" i="3" s="1"/>
  <c r="Z366" i="3"/>
  <c r="AB362" i="3"/>
  <c r="Z362" i="3"/>
  <c r="AB358" i="3"/>
  <c r="AD358" i="3" s="1"/>
  <c r="AE358" i="3" s="1"/>
  <c r="Z358" i="3"/>
  <c r="AB354" i="3"/>
  <c r="Z354" i="3"/>
  <c r="AB350" i="3"/>
  <c r="Z350" i="3"/>
  <c r="AB346" i="3"/>
  <c r="Z346" i="3"/>
  <c r="AB342" i="3"/>
  <c r="AD342" i="3" s="1"/>
  <c r="AE342" i="3" s="1"/>
  <c r="Z342" i="3"/>
  <c r="AB338" i="3"/>
  <c r="Z338" i="3"/>
  <c r="AB334" i="3"/>
  <c r="AD334" i="3" s="1"/>
  <c r="AE334" i="3" s="1"/>
  <c r="Z334" i="3"/>
  <c r="AB330" i="3"/>
  <c r="Z330" i="3"/>
  <c r="AB326" i="3"/>
  <c r="AD326" i="3" s="1"/>
  <c r="AE326" i="3" s="1"/>
  <c r="Z326" i="3"/>
  <c r="AB322" i="3"/>
  <c r="Z322" i="3"/>
  <c r="AB318" i="3"/>
  <c r="AD318" i="3" s="1"/>
  <c r="AE318" i="3" s="1"/>
  <c r="Z318" i="3"/>
  <c r="AB314" i="3"/>
  <c r="Z314" i="3"/>
  <c r="AB310" i="3"/>
  <c r="AD310" i="3" s="1"/>
  <c r="AE310" i="3" s="1"/>
  <c r="Z310" i="3"/>
  <c r="AB306" i="3"/>
  <c r="Z306" i="3"/>
  <c r="AB302" i="3"/>
  <c r="AD302" i="3" s="1"/>
  <c r="AE302" i="3" s="1"/>
  <c r="Z302" i="3"/>
  <c r="AB298" i="3"/>
  <c r="Z298" i="3"/>
  <c r="AB294" i="3"/>
  <c r="AD294" i="3" s="1"/>
  <c r="AE294" i="3" s="1"/>
  <c r="Z294" i="3"/>
  <c r="AB290" i="3"/>
  <c r="Z290" i="3"/>
  <c r="AB286" i="3"/>
  <c r="Z286" i="3"/>
  <c r="AB282" i="3"/>
  <c r="Z282" i="3"/>
  <c r="AB278" i="3"/>
  <c r="AD278" i="3" s="1"/>
  <c r="AE278" i="3" s="1"/>
  <c r="Z278" i="3"/>
  <c r="AB274" i="3"/>
  <c r="Z274" i="3"/>
  <c r="AB270" i="3"/>
  <c r="AD270" i="3" s="1"/>
  <c r="AE270" i="3" s="1"/>
  <c r="Z270" i="3"/>
  <c r="AB266" i="3"/>
  <c r="Z266" i="3"/>
  <c r="AB262" i="3"/>
  <c r="AD262" i="3" s="1"/>
  <c r="AE262" i="3" s="1"/>
  <c r="Z262" i="3"/>
  <c r="AB258" i="3"/>
  <c r="Z258" i="3"/>
  <c r="AB254" i="3"/>
  <c r="AD254" i="3" s="1"/>
  <c r="AE254" i="3" s="1"/>
  <c r="Z254" i="3"/>
  <c r="AB250" i="3"/>
  <c r="Z250" i="3"/>
  <c r="AB246" i="3"/>
  <c r="AD246" i="3" s="1"/>
  <c r="AE246" i="3" s="1"/>
  <c r="Z246" i="3"/>
  <c r="AB242" i="3"/>
  <c r="Z242" i="3"/>
  <c r="AB238" i="3"/>
  <c r="AD238" i="3" s="1"/>
  <c r="AE238" i="3" s="1"/>
  <c r="Z238" i="3"/>
  <c r="AB234" i="3"/>
  <c r="Z234" i="3"/>
  <c r="AB230" i="3"/>
  <c r="AD230" i="3" s="1"/>
  <c r="AE230" i="3" s="1"/>
  <c r="Z230" i="3"/>
  <c r="AB226" i="3"/>
  <c r="Z226" i="3"/>
  <c r="AB222" i="3"/>
  <c r="Z222" i="3"/>
  <c r="AB218" i="3"/>
  <c r="Z218" i="3"/>
  <c r="AB214" i="3"/>
  <c r="AD214" i="3" s="1"/>
  <c r="AE214" i="3" s="1"/>
  <c r="Z214" i="3"/>
  <c r="AB210" i="3"/>
  <c r="Z210" i="3"/>
  <c r="AB206" i="3"/>
  <c r="AD206" i="3" s="1"/>
  <c r="AE206" i="3" s="1"/>
  <c r="Z206" i="3"/>
  <c r="AB202" i="3"/>
  <c r="Z202" i="3"/>
  <c r="AB198" i="3"/>
  <c r="AD198" i="3" s="1"/>
  <c r="AE198" i="3" s="1"/>
  <c r="Z198" i="3"/>
  <c r="AB194" i="3"/>
  <c r="Z194" i="3"/>
  <c r="AB190" i="3"/>
  <c r="AD190" i="3" s="1"/>
  <c r="AE190" i="3" s="1"/>
  <c r="Z190" i="3"/>
  <c r="AB186" i="3"/>
  <c r="Z186" i="3"/>
  <c r="AB182" i="3"/>
  <c r="AD182" i="3" s="1"/>
  <c r="AE182" i="3" s="1"/>
  <c r="Z182" i="3"/>
  <c r="AB178" i="3"/>
  <c r="Z178" i="3"/>
  <c r="AB174" i="3"/>
  <c r="AD174" i="3" s="1"/>
  <c r="AE174" i="3" s="1"/>
  <c r="Z174" i="3"/>
  <c r="AB170" i="3"/>
  <c r="Z170" i="3"/>
  <c r="AB166" i="3"/>
  <c r="AD166" i="3" s="1"/>
  <c r="AE166" i="3" s="1"/>
  <c r="Z166" i="3"/>
  <c r="AB162" i="3"/>
  <c r="Z162" i="3"/>
  <c r="AB158" i="3"/>
  <c r="Z158" i="3"/>
  <c r="AB154" i="3"/>
  <c r="Z154" i="3"/>
  <c r="AB150" i="3"/>
  <c r="AD150" i="3" s="1"/>
  <c r="AE150" i="3" s="1"/>
  <c r="Z150" i="3"/>
  <c r="AB146" i="3"/>
  <c r="Z146" i="3"/>
  <c r="AB142" i="3"/>
  <c r="AD142" i="3" s="1"/>
  <c r="AE142" i="3" s="1"/>
  <c r="Z142" i="3"/>
  <c r="AB138" i="3"/>
  <c r="Z138" i="3"/>
  <c r="AB134" i="3"/>
  <c r="AD134" i="3" s="1"/>
  <c r="AE134" i="3" s="1"/>
  <c r="Z134" i="3"/>
  <c r="AB130" i="3"/>
  <c r="Z130" i="3"/>
  <c r="AB126" i="3"/>
  <c r="AD126" i="3" s="1"/>
  <c r="AE126" i="3" s="1"/>
  <c r="Z126" i="3"/>
  <c r="AB122" i="3"/>
  <c r="Z122" i="3"/>
  <c r="AB118" i="3"/>
  <c r="AD118" i="3" s="1"/>
  <c r="AE118" i="3" s="1"/>
  <c r="Z118" i="3"/>
  <c r="AB114" i="3"/>
  <c r="Z114" i="3"/>
  <c r="AB110" i="3"/>
  <c r="AD110" i="3" s="1"/>
  <c r="AE110" i="3" s="1"/>
  <c r="Z110" i="3"/>
  <c r="AB106" i="3"/>
  <c r="Z106" i="3"/>
  <c r="AB102" i="3"/>
  <c r="AD102" i="3" s="1"/>
  <c r="AE102" i="3" s="1"/>
  <c r="Z102" i="3"/>
  <c r="AB98" i="3"/>
  <c r="Z98" i="3"/>
  <c r="AB94" i="3"/>
  <c r="Z94" i="3"/>
  <c r="AB90" i="3"/>
  <c r="Z90" i="3"/>
  <c r="AB86" i="3"/>
  <c r="AD86" i="3" s="1"/>
  <c r="AE86" i="3" s="1"/>
  <c r="Z86" i="3"/>
  <c r="AB82" i="3"/>
  <c r="Z82" i="3"/>
  <c r="AB78" i="3"/>
  <c r="AD78" i="3" s="1"/>
  <c r="AE78" i="3" s="1"/>
  <c r="Z78" i="3"/>
  <c r="AB74" i="3"/>
  <c r="Z74" i="3"/>
  <c r="AB70" i="3"/>
  <c r="AD70" i="3" s="1"/>
  <c r="AE70" i="3" s="1"/>
  <c r="Z70" i="3"/>
  <c r="AB66" i="3"/>
  <c r="Z66" i="3"/>
  <c r="AB62" i="3"/>
  <c r="AD62" i="3" s="1"/>
  <c r="AE62" i="3" s="1"/>
  <c r="Z62" i="3"/>
  <c r="AB58" i="3"/>
  <c r="Z58" i="3"/>
  <c r="AB54" i="3"/>
  <c r="AD54" i="3" s="1"/>
  <c r="AE54" i="3" s="1"/>
  <c r="Z54" i="3"/>
  <c r="AB50" i="3"/>
  <c r="Z50" i="3"/>
  <c r="AB46" i="3"/>
  <c r="AD46" i="3" s="1"/>
  <c r="AE46" i="3" s="1"/>
  <c r="Z46" i="3"/>
  <c r="AB42" i="3"/>
  <c r="Z42" i="3"/>
  <c r="AB38" i="3"/>
  <c r="AD38" i="3" s="1"/>
  <c r="AE38" i="3" s="1"/>
  <c r="Z38" i="3"/>
  <c r="AB34" i="3"/>
  <c r="Z34" i="3"/>
  <c r="AB30" i="3"/>
  <c r="Z30" i="3"/>
  <c r="AB26" i="3"/>
  <c r="Z26" i="3"/>
  <c r="AB22" i="3"/>
  <c r="AD22" i="3" s="1"/>
  <c r="AE22" i="3" s="1"/>
  <c r="Z22" i="3"/>
  <c r="AB18" i="3"/>
  <c r="Z18" i="3"/>
  <c r="AB14" i="3"/>
  <c r="AD14" i="3" s="1"/>
  <c r="AE14" i="3" s="1"/>
  <c r="Z14" i="3"/>
  <c r="AB10" i="3"/>
  <c r="Z10" i="3"/>
  <c r="AB6" i="3"/>
  <c r="AD6" i="3" s="1"/>
  <c r="AE6" i="3" s="1"/>
  <c r="Z6" i="3"/>
  <c r="AB4" i="3"/>
  <c r="Z4" i="3"/>
  <c r="W615" i="3"/>
  <c r="W603" i="3"/>
  <c r="W595" i="3"/>
  <c r="W579" i="3"/>
  <c r="W567" i="3"/>
  <c r="W555" i="3"/>
  <c r="W543" i="3"/>
  <c r="W531" i="3"/>
  <c r="W519" i="3"/>
  <c r="W507" i="3"/>
  <c r="W495" i="3"/>
  <c r="W483" i="3"/>
  <c r="W475" i="3"/>
  <c r="W459" i="3"/>
  <c r="W447" i="3"/>
  <c r="W435" i="3"/>
  <c r="W423" i="3"/>
  <c r="W411" i="3"/>
  <c r="W403" i="3"/>
  <c r="W391" i="3"/>
  <c r="W383" i="3"/>
  <c r="W375" i="3"/>
  <c r="W367" i="3"/>
  <c r="W359" i="3"/>
  <c r="W351" i="3"/>
  <c r="W343" i="3"/>
  <c r="W331" i="3"/>
  <c r="W319" i="3"/>
  <c r="W311" i="3"/>
  <c r="W299" i="3"/>
  <c r="W287" i="3"/>
  <c r="W279" i="3"/>
  <c r="W267" i="3"/>
  <c r="W255" i="3"/>
  <c r="W243" i="3"/>
  <c r="W231" i="3"/>
  <c r="W215" i="3"/>
  <c r="W203" i="3"/>
  <c r="W195" i="3"/>
  <c r="W183" i="3"/>
  <c r="W171" i="3"/>
  <c r="W163" i="3"/>
  <c r="W151" i="3"/>
  <c r="W143" i="3"/>
  <c r="W135" i="3"/>
  <c r="W127" i="3"/>
  <c r="W115" i="3"/>
  <c r="W107" i="3"/>
  <c r="W99" i="3"/>
  <c r="W91" i="3"/>
  <c r="W87" i="3"/>
  <c r="W79" i="3"/>
  <c r="W71" i="3"/>
  <c r="W59" i="3"/>
  <c r="W51" i="3"/>
  <c r="W43" i="3"/>
  <c r="W31" i="3"/>
  <c r="W15" i="3"/>
  <c r="W3" i="3"/>
  <c r="W2" i="3"/>
  <c r="W622" i="3"/>
  <c r="W610" i="3"/>
  <c r="W598" i="3"/>
  <c r="W586" i="3"/>
  <c r="W578" i="3"/>
  <c r="W562" i="3"/>
  <c r="W554" i="3"/>
  <c r="W538" i="3"/>
  <c r="W534" i="3"/>
  <c r="W522" i="3"/>
  <c r="W506" i="3"/>
  <c r="W494" i="3"/>
  <c r="W482" i="3"/>
  <c r="W470" i="3"/>
  <c r="W462" i="3"/>
  <c r="W454" i="3"/>
  <c r="W438" i="3"/>
  <c r="W426" i="3"/>
  <c r="W414" i="3"/>
  <c r="W402" i="3"/>
  <c r="W398" i="3"/>
  <c r="W386" i="3"/>
  <c r="W374" i="3"/>
  <c r="W358" i="3"/>
  <c r="W346" i="3"/>
  <c r="W334" i="3"/>
  <c r="W322" i="3"/>
  <c r="W310" i="3"/>
  <c r="W298" i="3"/>
  <c r="W290" i="3"/>
  <c r="W282" i="3"/>
  <c r="W266" i="3"/>
  <c r="W258" i="3"/>
  <c r="W242" i="3"/>
  <c r="W234" i="3"/>
  <c r="W226" i="3"/>
  <c r="W214" i="3"/>
  <c r="W198" i="3"/>
  <c r="W190" i="3"/>
  <c r="W178" i="3"/>
  <c r="W166" i="3"/>
  <c r="W154" i="3"/>
  <c r="W146" i="3"/>
  <c r="W134" i="3"/>
  <c r="W122" i="3"/>
  <c r="W114" i="3"/>
  <c r="W611" i="3"/>
  <c r="W599" i="3"/>
  <c r="W587" i="3"/>
  <c r="W575" i="3"/>
  <c r="W563" i="3"/>
  <c r="W551" i="3"/>
  <c r="W539" i="3"/>
  <c r="W527" i="3"/>
  <c r="W515" i="3"/>
  <c r="W503" i="3"/>
  <c r="W491" i="3"/>
  <c r="W479" i="3"/>
  <c r="W467" i="3"/>
  <c r="W455" i="3"/>
  <c r="W443" i="3"/>
  <c r="W431" i="3"/>
  <c r="W419" i="3"/>
  <c r="W407" i="3"/>
  <c r="W339" i="3"/>
  <c r="W323" i="3"/>
  <c r="W303" i="3"/>
  <c r="W291" i="3"/>
  <c r="W275" i="3"/>
  <c r="W259" i="3"/>
  <c r="W247" i="3"/>
  <c r="W235" i="3"/>
  <c r="W223" i="3"/>
  <c r="W211" i="3"/>
  <c r="W199" i="3"/>
  <c r="W187" i="3"/>
  <c r="W175" i="3"/>
  <c r="W155" i="3"/>
  <c r="W47" i="3"/>
  <c r="W35" i="3"/>
  <c r="W23" i="3"/>
  <c r="W7" i="3"/>
  <c r="W626" i="3"/>
  <c r="W614" i="3"/>
  <c r="W602" i="3"/>
  <c r="W590" i="3"/>
  <c r="W570" i="3"/>
  <c r="W558" i="3"/>
  <c r="W546" i="3"/>
  <c r="W526" i="3"/>
  <c r="W514" i="3"/>
  <c r="W502" i="3"/>
  <c r="W490" i="3"/>
  <c r="W474" i="3"/>
  <c r="W458" i="3"/>
  <c r="W446" i="3"/>
  <c r="W434" i="3"/>
  <c r="W422" i="3"/>
  <c r="W410" i="3"/>
  <c r="W390" i="3"/>
  <c r="W378" i="3"/>
  <c r="W366" i="3"/>
  <c r="W354" i="3"/>
  <c r="W342" i="3"/>
  <c r="W330" i="3"/>
  <c r="W318" i="3"/>
  <c r="W302" i="3"/>
  <c r="W286" i="3"/>
  <c r="W274" i="3"/>
  <c r="W262" i="3"/>
  <c r="W250" i="3"/>
  <c r="W238" i="3"/>
  <c r="W218" i="3"/>
  <c r="W206" i="3"/>
  <c r="W194" i="3"/>
  <c r="W182" i="3"/>
  <c r="W170" i="3"/>
  <c r="W158" i="3"/>
  <c r="W138" i="3"/>
  <c r="W110" i="3"/>
  <c r="W619" i="3"/>
  <c r="W607" i="3"/>
  <c r="W591" i="3"/>
  <c r="W583" i="3"/>
  <c r="W571" i="3"/>
  <c r="W559" i="3"/>
  <c r="W547" i="3"/>
  <c r="W535" i="3"/>
  <c r="W523" i="3"/>
  <c r="W511" i="3"/>
  <c r="W499" i="3"/>
  <c r="W487" i="3"/>
  <c r="W471" i="3"/>
  <c r="W463" i="3"/>
  <c r="W451" i="3"/>
  <c r="W439" i="3"/>
  <c r="W427" i="3"/>
  <c r="W415" i="3"/>
  <c r="W399" i="3"/>
  <c r="W395" i="3"/>
  <c r="W387" i="3"/>
  <c r="W379" i="3"/>
  <c r="W371" i="3"/>
  <c r="W363" i="3"/>
  <c r="W355" i="3"/>
  <c r="W347" i="3"/>
  <c r="W335" i="3"/>
  <c r="W327" i="3"/>
  <c r="W315" i="3"/>
  <c r="W307" i="3"/>
  <c r="W295" i="3"/>
  <c r="W283" i="3"/>
  <c r="W271" i="3"/>
  <c r="W263" i="3"/>
  <c r="W251" i="3"/>
  <c r="W239" i="3"/>
  <c r="W227" i="3"/>
  <c r="W219" i="3"/>
  <c r="W207" i="3"/>
  <c r="W191" i="3"/>
  <c r="W179" i="3"/>
  <c r="W167" i="3"/>
  <c r="W159" i="3"/>
  <c r="W147" i="3"/>
  <c r="W139" i="3"/>
  <c r="W131" i="3"/>
  <c r="W123" i="3"/>
  <c r="W119" i="3"/>
  <c r="W111" i="3"/>
  <c r="W103" i="3"/>
  <c r="W95" i="3"/>
  <c r="W83" i="3"/>
  <c r="W75" i="3"/>
  <c r="W67" i="3"/>
  <c r="W63" i="3"/>
  <c r="W55" i="3"/>
  <c r="W39" i="3"/>
  <c r="W27" i="3"/>
  <c r="W19" i="3"/>
  <c r="W11" i="3"/>
  <c r="W630" i="3"/>
  <c r="W618" i="3"/>
  <c r="W606" i="3"/>
  <c r="W594" i="3"/>
  <c r="W582" i="3"/>
  <c r="W574" i="3"/>
  <c r="W566" i="3"/>
  <c r="W550" i="3"/>
  <c r="W542" i="3"/>
  <c r="W530" i="3"/>
  <c r="W518" i="3"/>
  <c r="W510" i="3"/>
  <c r="W498" i="3"/>
  <c r="W486" i="3"/>
  <c r="W478" i="3"/>
  <c r="W466" i="3"/>
  <c r="W450" i="3"/>
  <c r="W442" i="3"/>
  <c r="W430" i="3"/>
  <c r="W418" i="3"/>
  <c r="W406" i="3"/>
  <c r="W394" i="3"/>
  <c r="W382" i="3"/>
  <c r="W370" i="3"/>
  <c r="W362" i="3"/>
  <c r="W350" i="3"/>
  <c r="W338" i="3"/>
  <c r="W326" i="3"/>
  <c r="W314" i="3"/>
  <c r="W306" i="3"/>
  <c r="W294" i="3"/>
  <c r="W278" i="3"/>
  <c r="W270" i="3"/>
  <c r="W254" i="3"/>
  <c r="W246" i="3"/>
  <c r="W230" i="3"/>
  <c r="W222" i="3"/>
  <c r="W210" i="3"/>
  <c r="W202" i="3"/>
  <c r="W186" i="3"/>
  <c r="W174" i="3"/>
  <c r="W162" i="3"/>
  <c r="W150" i="3"/>
  <c r="W142" i="3"/>
  <c r="W130" i="3"/>
  <c r="W126" i="3"/>
  <c r="W118" i="3"/>
  <c r="W106" i="3"/>
  <c r="W6" i="3"/>
  <c r="W102" i="3"/>
  <c r="W94" i="3"/>
  <c r="W86" i="3"/>
  <c r="W78" i="3"/>
  <c r="W70" i="3"/>
  <c r="W62" i="3"/>
  <c r="W54" i="3"/>
  <c r="W46" i="3"/>
  <c r="W38" i="3"/>
  <c r="W30" i="3"/>
  <c r="W22" i="3"/>
  <c r="W14" i="3"/>
  <c r="W633" i="3"/>
  <c r="W629" i="3"/>
  <c r="W625" i="3"/>
  <c r="W621" i="3"/>
  <c r="W617" i="3"/>
  <c r="W613" i="3"/>
  <c r="W609" i="3"/>
  <c r="W605" i="3"/>
  <c r="W601" i="3"/>
  <c r="W597" i="3"/>
  <c r="W593" i="3"/>
  <c r="W589" i="3"/>
  <c r="W585" i="3"/>
  <c r="W581" i="3"/>
  <c r="W577" i="3"/>
  <c r="W573" i="3"/>
  <c r="W569" i="3"/>
  <c r="W565" i="3"/>
  <c r="W561" i="3"/>
  <c r="W557" i="3"/>
  <c r="W553" i="3"/>
  <c r="W549" i="3"/>
  <c r="W545" i="3"/>
  <c r="W541" i="3"/>
  <c r="W537" i="3"/>
  <c r="W533" i="3"/>
  <c r="W529" i="3"/>
  <c r="W525" i="3"/>
  <c r="W521" i="3"/>
  <c r="W517" i="3"/>
  <c r="W513" i="3"/>
  <c r="W509" i="3"/>
  <c r="W505" i="3"/>
  <c r="W501" i="3"/>
  <c r="W497" i="3"/>
  <c r="W493" i="3"/>
  <c r="W489" i="3"/>
  <c r="W485" i="3"/>
  <c r="W481" i="3"/>
  <c r="W477" i="3"/>
  <c r="W473" i="3"/>
  <c r="W469" i="3"/>
  <c r="W465" i="3"/>
  <c r="W461" i="3"/>
  <c r="W457" i="3"/>
  <c r="W453" i="3"/>
  <c r="W449" i="3"/>
  <c r="W445" i="3"/>
  <c r="W441" i="3"/>
  <c r="W437" i="3"/>
  <c r="W433" i="3"/>
  <c r="W429" i="3"/>
  <c r="W425" i="3"/>
  <c r="W421" i="3"/>
  <c r="W417" i="3"/>
  <c r="W413" i="3"/>
  <c r="W409" i="3"/>
  <c r="W405" i="3"/>
  <c r="W401" i="3"/>
  <c r="W397" i="3"/>
  <c r="W393" i="3"/>
  <c r="W389" i="3"/>
  <c r="W385" i="3"/>
  <c r="W381" i="3"/>
  <c r="W377" i="3"/>
  <c r="W373" i="3"/>
  <c r="W369" i="3"/>
  <c r="W365" i="3"/>
  <c r="W361" i="3"/>
  <c r="W357" i="3"/>
  <c r="W353" i="3"/>
  <c r="W349" i="3"/>
  <c r="W345" i="3"/>
  <c r="W341" i="3"/>
  <c r="W337" i="3"/>
  <c r="W333" i="3"/>
  <c r="W329" i="3"/>
  <c r="W325" i="3"/>
  <c r="W321" i="3"/>
  <c r="W317" i="3"/>
  <c r="W313" i="3"/>
  <c r="W309" i="3"/>
  <c r="W305" i="3"/>
  <c r="W301" i="3"/>
  <c r="W297" i="3"/>
  <c r="W293" i="3"/>
  <c r="W289" i="3"/>
  <c r="W285" i="3"/>
  <c r="W281" i="3"/>
  <c r="W277" i="3"/>
  <c r="W273" i="3"/>
  <c r="W269" i="3"/>
  <c r="W265" i="3"/>
  <c r="W261" i="3"/>
  <c r="W257" i="3"/>
  <c r="W253" i="3"/>
  <c r="W249" i="3"/>
  <c r="W245" i="3"/>
  <c r="W241" i="3"/>
  <c r="W237" i="3"/>
  <c r="W233" i="3"/>
  <c r="W229" i="3"/>
  <c r="W225" i="3"/>
  <c r="W221" i="3"/>
  <c r="W217" i="3"/>
  <c r="W213" i="3"/>
  <c r="W209" i="3"/>
  <c r="W205" i="3"/>
  <c r="W201" i="3"/>
  <c r="W197" i="3"/>
  <c r="W193" i="3"/>
  <c r="W189" i="3"/>
  <c r="W185" i="3"/>
  <c r="W181" i="3"/>
  <c r="W177" i="3"/>
  <c r="W173" i="3"/>
  <c r="W169" i="3"/>
  <c r="W165" i="3"/>
  <c r="W161" i="3"/>
  <c r="W157" i="3"/>
  <c r="W153" i="3"/>
  <c r="W149" i="3"/>
  <c r="W145" i="3"/>
  <c r="W141" i="3"/>
  <c r="W137" i="3"/>
  <c r="W133" i="3"/>
  <c r="W129" i="3"/>
  <c r="W125" i="3"/>
  <c r="W121" i="3"/>
  <c r="W117" i="3"/>
  <c r="W113" i="3"/>
  <c r="W109" i="3"/>
  <c r="W105" i="3"/>
  <c r="W101" i="3"/>
  <c r="W97" i="3"/>
  <c r="W93" i="3"/>
  <c r="W89" i="3"/>
  <c r="W85" i="3"/>
  <c r="W81" i="3"/>
  <c r="W77" i="3"/>
  <c r="W73" i="3"/>
  <c r="W69" i="3"/>
  <c r="W65" i="3"/>
  <c r="W61" i="3"/>
  <c r="W57" i="3"/>
  <c r="W53" i="3"/>
  <c r="W49" i="3"/>
  <c r="W45" i="3"/>
  <c r="W41" i="3"/>
  <c r="W37" i="3"/>
  <c r="W33" i="3"/>
  <c r="W29" i="3"/>
  <c r="W25" i="3"/>
  <c r="W21" i="3"/>
  <c r="W17" i="3"/>
  <c r="W13" i="3"/>
  <c r="W9" i="3"/>
  <c r="W5" i="3"/>
  <c r="W98" i="3"/>
  <c r="W90" i="3"/>
  <c r="W82" i="3"/>
  <c r="W74" i="3"/>
  <c r="W66" i="3"/>
  <c r="W58" i="3"/>
  <c r="W50" i="3"/>
  <c r="W42" i="3"/>
  <c r="W34" i="3"/>
  <c r="W26" i="3"/>
  <c r="W18" i="3"/>
  <c r="W10" i="3"/>
  <c r="W632" i="3"/>
  <c r="W628" i="3"/>
  <c r="W624" i="3"/>
  <c r="W620" i="3"/>
  <c r="W616" i="3"/>
  <c r="W612" i="3"/>
  <c r="W608" i="3"/>
  <c r="W604" i="3"/>
  <c r="W600" i="3"/>
  <c r="W596" i="3"/>
  <c r="W592" i="3"/>
  <c r="W588" i="3"/>
  <c r="W584" i="3"/>
  <c r="W580" i="3"/>
  <c r="W576" i="3"/>
  <c r="W572" i="3"/>
  <c r="W568" i="3"/>
  <c r="W564" i="3"/>
  <c r="W560" i="3"/>
  <c r="W556" i="3"/>
  <c r="W552" i="3"/>
  <c r="W548" i="3"/>
  <c r="W544" i="3"/>
  <c r="W540" i="3"/>
  <c r="W536" i="3"/>
  <c r="W532" i="3"/>
  <c r="W528" i="3"/>
  <c r="W524" i="3"/>
  <c r="W520" i="3"/>
  <c r="W516" i="3"/>
  <c r="W512" i="3"/>
  <c r="W508" i="3"/>
  <c r="W504" i="3"/>
  <c r="W500" i="3"/>
  <c r="W496" i="3"/>
  <c r="W492" i="3"/>
  <c r="W488" i="3"/>
  <c r="W484" i="3"/>
  <c r="W480" i="3"/>
  <c r="W476" i="3"/>
  <c r="W472" i="3"/>
  <c r="W468" i="3"/>
  <c r="W464" i="3"/>
  <c r="W460" i="3"/>
  <c r="W456" i="3"/>
  <c r="W452" i="3"/>
  <c r="W448" i="3"/>
  <c r="W444" i="3"/>
  <c r="W440" i="3"/>
  <c r="W436" i="3"/>
  <c r="W432" i="3"/>
  <c r="W428" i="3"/>
  <c r="W424" i="3"/>
  <c r="W420" i="3"/>
  <c r="W416" i="3"/>
  <c r="W412" i="3"/>
  <c r="W408" i="3"/>
  <c r="W404" i="3"/>
  <c r="W400" i="3"/>
  <c r="W396" i="3"/>
  <c r="W392" i="3"/>
  <c r="W388" i="3"/>
  <c r="W384" i="3"/>
  <c r="W380" i="3"/>
  <c r="W376" i="3"/>
  <c r="W372" i="3"/>
  <c r="W368" i="3"/>
  <c r="W364" i="3"/>
  <c r="W360" i="3"/>
  <c r="W356" i="3"/>
  <c r="W352" i="3"/>
  <c r="W348" i="3"/>
  <c r="W344" i="3"/>
  <c r="W340" i="3"/>
  <c r="W336" i="3"/>
  <c r="W332" i="3"/>
  <c r="W328" i="3"/>
  <c r="W324" i="3"/>
  <c r="W320" i="3"/>
  <c r="W316" i="3"/>
  <c r="W312" i="3"/>
  <c r="W308" i="3"/>
  <c r="W304" i="3"/>
  <c r="W300" i="3"/>
  <c r="W296" i="3"/>
  <c r="W292" i="3"/>
  <c r="W288" i="3"/>
  <c r="W284" i="3"/>
  <c r="W280" i="3"/>
  <c r="W276" i="3"/>
  <c r="W272" i="3"/>
  <c r="W268" i="3"/>
  <c r="W264" i="3"/>
  <c r="W260" i="3"/>
  <c r="W256" i="3"/>
  <c r="W252" i="3"/>
  <c r="W248" i="3"/>
  <c r="W244" i="3"/>
  <c r="W240" i="3"/>
  <c r="W236" i="3"/>
  <c r="W232" i="3"/>
  <c r="W228" i="3"/>
  <c r="W224" i="3"/>
  <c r="W220" i="3"/>
  <c r="W216" i="3"/>
  <c r="W212" i="3"/>
  <c r="W208" i="3"/>
  <c r="W204" i="3"/>
  <c r="W200" i="3"/>
  <c r="W196" i="3"/>
  <c r="W192" i="3"/>
  <c r="W188" i="3"/>
  <c r="W184" i="3"/>
  <c r="W180" i="3"/>
  <c r="W176" i="3"/>
  <c r="W172" i="3"/>
  <c r="W168" i="3"/>
  <c r="W164" i="3"/>
  <c r="W160" i="3"/>
  <c r="W156" i="3"/>
  <c r="W152" i="3"/>
  <c r="W148" i="3"/>
  <c r="W144" i="3"/>
  <c r="W140" i="3"/>
  <c r="W136" i="3"/>
  <c r="W132" i="3"/>
  <c r="W128" i="3"/>
  <c r="W124" i="3"/>
  <c r="W120" i="3"/>
  <c r="W116" i="3"/>
  <c r="W112" i="3"/>
  <c r="W108" i="3"/>
  <c r="W104" i="3"/>
  <c r="W100" i="3"/>
  <c r="W96" i="3"/>
  <c r="W92" i="3"/>
  <c r="W88" i="3"/>
  <c r="W84" i="3"/>
  <c r="W80" i="3"/>
  <c r="W76" i="3"/>
  <c r="W72" i="3"/>
  <c r="W68" i="3"/>
  <c r="W64" i="3"/>
  <c r="W60" i="3"/>
  <c r="W56" i="3"/>
  <c r="W52" i="3"/>
  <c r="W48" i="3"/>
  <c r="W44" i="3"/>
  <c r="W40" i="3"/>
  <c r="W36" i="3"/>
  <c r="W32" i="3"/>
  <c r="W28" i="3"/>
  <c r="W24" i="3"/>
  <c r="W20" i="3"/>
  <c r="W16" i="3"/>
  <c r="W12" i="3"/>
  <c r="W8" i="3"/>
  <c r="W4" i="3"/>
  <c r="AD503" i="3"/>
  <c r="AE503" i="3" s="1"/>
  <c r="AD487" i="3"/>
  <c r="AE487" i="3" s="1"/>
  <c r="AD291" i="3"/>
  <c r="AE291" i="3" s="1"/>
  <c r="AD127" i="3"/>
  <c r="AE127" i="3" s="1"/>
  <c r="AD386" i="3"/>
  <c r="AE386" i="3" s="1"/>
  <c r="AD354" i="3"/>
  <c r="AE354" i="3" s="1"/>
  <c r="AD170" i="3"/>
  <c r="AE170" i="3" s="1"/>
  <c r="AD618" i="3"/>
  <c r="AE618" i="3" s="1"/>
  <c r="AD594" i="3"/>
  <c r="AE594" i="3" s="1"/>
  <c r="AD578" i="3"/>
  <c r="AE578" i="3" s="1"/>
  <c r="AD562" i="3"/>
  <c r="AE562" i="3" s="1"/>
  <c r="AD530" i="3"/>
  <c r="AE530" i="3" s="1"/>
  <c r="AD514" i="3"/>
  <c r="AE514" i="3" s="1"/>
  <c r="AD498" i="3"/>
  <c r="AE498" i="3" s="1"/>
  <c r="AD450" i="3"/>
  <c r="AE450" i="3" s="1"/>
  <c r="AD434" i="3"/>
  <c r="AE434" i="3" s="1"/>
  <c r="AD418" i="3"/>
  <c r="AE418" i="3" s="1"/>
  <c r="AD370" i="3"/>
  <c r="AE370" i="3" s="1"/>
  <c r="AD322" i="3"/>
  <c r="AE322" i="3" s="1"/>
  <c r="AD194" i="3"/>
  <c r="AE194" i="3" s="1"/>
  <c r="AD460" i="3"/>
  <c r="AE460" i="3" s="1"/>
  <c r="AD400" i="3"/>
  <c r="AE400" i="3" s="1"/>
  <c r="AD84" i="3"/>
  <c r="AE84" i="3" s="1"/>
  <c r="AD588" i="3"/>
  <c r="AE588" i="3" s="1"/>
  <c r="AD476" i="3"/>
  <c r="AE476" i="3" s="1"/>
  <c r="AD631" i="3"/>
  <c r="AE631" i="3" s="1"/>
  <c r="AD623" i="3"/>
  <c r="AE623" i="3" s="1"/>
  <c r="AD607" i="3"/>
  <c r="AE607" i="3" s="1"/>
  <c r="AD2" i="3"/>
  <c r="AD633" i="3"/>
  <c r="AE633" i="3" s="1"/>
  <c r="AD625" i="3"/>
  <c r="AE625" i="3" s="1"/>
  <c r="AD617" i="3"/>
  <c r="AE617" i="3" s="1"/>
  <c r="AD609" i="3"/>
  <c r="AE609" i="3" s="1"/>
  <c r="AD601" i="3"/>
  <c r="AE601" i="3" s="1"/>
  <c r="AD593" i="3"/>
  <c r="AE593" i="3" s="1"/>
  <c r="AD585" i="3"/>
  <c r="AE585" i="3" s="1"/>
  <c r="AD577" i="3"/>
  <c r="AE577" i="3" s="1"/>
  <c r="AD569" i="3"/>
  <c r="AE569" i="3" s="1"/>
  <c r="AD561" i="3"/>
  <c r="AE561" i="3" s="1"/>
  <c r="AD557" i="3"/>
  <c r="AE557" i="3" s="1"/>
  <c r="AD549" i="3"/>
  <c r="AE549" i="3" s="1"/>
  <c r="AD541" i="3"/>
  <c r="AE541" i="3" s="1"/>
  <c r="AD533" i="3"/>
  <c r="AE533" i="3" s="1"/>
  <c r="AD525" i="3"/>
  <c r="AE525" i="3" s="1"/>
  <c r="AD517" i="3"/>
  <c r="AE517" i="3" s="1"/>
  <c r="AD509" i="3"/>
  <c r="AE509" i="3" s="1"/>
  <c r="AD501" i="3"/>
  <c r="AE501" i="3" s="1"/>
  <c r="AD493" i="3"/>
  <c r="AE493" i="3" s="1"/>
  <c r="AD485" i="3"/>
  <c r="AE485" i="3" s="1"/>
  <c r="AD477" i="3"/>
  <c r="AE477" i="3" s="1"/>
  <c r="AD469" i="3"/>
  <c r="AE469" i="3" s="1"/>
  <c r="AD461" i="3"/>
  <c r="AE461" i="3" s="1"/>
  <c r="AD453" i="3"/>
  <c r="AE453" i="3" s="1"/>
  <c r="AD445" i="3"/>
  <c r="AE445" i="3" s="1"/>
  <c r="AD433" i="3"/>
  <c r="AE433" i="3" s="1"/>
  <c r="AD429" i="3"/>
  <c r="AE429" i="3" s="1"/>
  <c r="AD421" i="3"/>
  <c r="AE421" i="3" s="1"/>
  <c r="AD413" i="3"/>
  <c r="AE413" i="3" s="1"/>
  <c r="AD405" i="3"/>
  <c r="AE405" i="3" s="1"/>
  <c r="AD397" i="3"/>
  <c r="AE397" i="3" s="1"/>
  <c r="AD389" i="3"/>
  <c r="AE389" i="3" s="1"/>
  <c r="AD381" i="3"/>
  <c r="AE381" i="3" s="1"/>
  <c r="AD377" i="3"/>
  <c r="AE377" i="3" s="1"/>
  <c r="AD369" i="3"/>
  <c r="AE369" i="3" s="1"/>
  <c r="AD361" i="3"/>
  <c r="AE361" i="3" s="1"/>
  <c r="AD353" i="3"/>
  <c r="AE353" i="3" s="1"/>
  <c r="AD345" i="3"/>
  <c r="AE345" i="3" s="1"/>
  <c r="AD337" i="3"/>
  <c r="AE337" i="3" s="1"/>
  <c r="AD329" i="3"/>
  <c r="AE329" i="3" s="1"/>
  <c r="AD321" i="3"/>
  <c r="AE321" i="3" s="1"/>
  <c r="AD313" i="3"/>
  <c r="AE313" i="3" s="1"/>
  <c r="AD305" i="3"/>
  <c r="AE305" i="3" s="1"/>
  <c r="AD301" i="3"/>
  <c r="AE301" i="3" s="1"/>
  <c r="AD293" i="3"/>
  <c r="AE293" i="3" s="1"/>
  <c r="AD285" i="3"/>
  <c r="AE285" i="3" s="1"/>
  <c r="AD277" i="3"/>
  <c r="AE277" i="3" s="1"/>
  <c r="AD269" i="3"/>
  <c r="AE269" i="3" s="1"/>
  <c r="AD261" i="3"/>
  <c r="AE261" i="3" s="1"/>
  <c r="AD253" i="3"/>
  <c r="AE253" i="3" s="1"/>
  <c r="AD245" i="3"/>
  <c r="AE245" i="3" s="1"/>
  <c r="AD237" i="3"/>
  <c r="AE237" i="3" s="1"/>
  <c r="AD229" i="3"/>
  <c r="AE229" i="3" s="1"/>
  <c r="AD221" i="3"/>
  <c r="AE221" i="3" s="1"/>
  <c r="AD213" i="3"/>
  <c r="AE213" i="3" s="1"/>
  <c r="AD201" i="3"/>
  <c r="AE201" i="3" s="1"/>
  <c r="AD193" i="3"/>
  <c r="AE193" i="3" s="1"/>
  <c r="AD185" i="3"/>
  <c r="AE185" i="3" s="1"/>
  <c r="AD177" i="3"/>
  <c r="AE177" i="3" s="1"/>
  <c r="AD169" i="3"/>
  <c r="AE169" i="3" s="1"/>
  <c r="AD161" i="3"/>
  <c r="AE161" i="3" s="1"/>
  <c r="AD153" i="3"/>
  <c r="AE153" i="3" s="1"/>
  <c r="AD145" i="3"/>
  <c r="AE145" i="3" s="1"/>
  <c r="AD137" i="3"/>
  <c r="AE137" i="3" s="1"/>
  <c r="AD129" i="3"/>
  <c r="AE129" i="3" s="1"/>
  <c r="AD121" i="3"/>
  <c r="AE121" i="3" s="1"/>
  <c r="AD113" i="3"/>
  <c r="AE113" i="3" s="1"/>
  <c r="AD109" i="3"/>
  <c r="AE109" i="3" s="1"/>
  <c r="AD97" i="3"/>
  <c r="AE97" i="3" s="1"/>
  <c r="AD89" i="3"/>
  <c r="AE89" i="3" s="1"/>
  <c r="AD81" i="3"/>
  <c r="AE81" i="3" s="1"/>
  <c r="AD73" i="3"/>
  <c r="AE73" i="3" s="1"/>
  <c r="AD65" i="3"/>
  <c r="AE65" i="3" s="1"/>
  <c r="AD57" i="3"/>
  <c r="AE57" i="3" s="1"/>
  <c r="AD45" i="3"/>
  <c r="AE45" i="3" s="1"/>
  <c r="AD37" i="3"/>
  <c r="AE37" i="3" s="1"/>
  <c r="AD33" i="3"/>
  <c r="AE33" i="3" s="1"/>
  <c r="AD25" i="3"/>
  <c r="AE25" i="3" s="1"/>
  <c r="AD17" i="3"/>
  <c r="AE17" i="3" s="1"/>
  <c r="AD9" i="3"/>
  <c r="AE9" i="3" s="1"/>
  <c r="AD76" i="3"/>
  <c r="AE76" i="3" s="1"/>
  <c r="AD64" i="3"/>
  <c r="AE64" i="3" s="1"/>
  <c r="AD60" i="3"/>
  <c r="AE60" i="3" s="1"/>
  <c r="AD56" i="3"/>
  <c r="AE56" i="3" s="1"/>
  <c r="AD44" i="3"/>
  <c r="AE44" i="3" s="1"/>
  <c r="AD40" i="3"/>
  <c r="AE40" i="3" s="1"/>
  <c r="AD36" i="3"/>
  <c r="AE36" i="3" s="1"/>
  <c r="AD32" i="3"/>
  <c r="AE32" i="3" s="1"/>
  <c r="AD28" i="3"/>
  <c r="AE28" i="3" s="1"/>
  <c r="AD24" i="3"/>
  <c r="AE24" i="3" s="1"/>
  <c r="AD20" i="3"/>
  <c r="AE20" i="3" s="1"/>
  <c r="AD16" i="3"/>
  <c r="AE16" i="3" s="1"/>
  <c r="AD12" i="3"/>
  <c r="AE12" i="3" s="1"/>
  <c r="AD8" i="3"/>
  <c r="AE8" i="3" s="1"/>
  <c r="AD3" i="3"/>
  <c r="AE3" i="3" s="1"/>
  <c r="AD490" i="3"/>
  <c r="AE490" i="3" s="1"/>
  <c r="AD474" i="3"/>
  <c r="AE474" i="3" s="1"/>
  <c r="AD458" i="3"/>
  <c r="AE458" i="3" s="1"/>
  <c r="AD442" i="3"/>
  <c r="AE442" i="3" s="1"/>
  <c r="AD426" i="3"/>
  <c r="AE426" i="3" s="1"/>
  <c r="AD410" i="3"/>
  <c r="AE410" i="3" s="1"/>
  <c r="AD394" i="3"/>
  <c r="AE394" i="3" s="1"/>
  <c r="AD378" i="3"/>
  <c r="AE378" i="3" s="1"/>
  <c r="AD362" i="3"/>
  <c r="AE362" i="3" s="1"/>
  <c r="AD346" i="3"/>
  <c r="AE346" i="3" s="1"/>
  <c r="AD330" i="3"/>
  <c r="AE330" i="3" s="1"/>
  <c r="AD314" i="3"/>
  <c r="AE314" i="3" s="1"/>
  <c r="AD298" i="3"/>
  <c r="AE298" i="3" s="1"/>
  <c r="AD282" i="3"/>
  <c r="AE282" i="3" s="1"/>
  <c r="AD266" i="3"/>
  <c r="AE266" i="3" s="1"/>
  <c r="AD250" i="3"/>
  <c r="AE250" i="3" s="1"/>
  <c r="AD234" i="3"/>
  <c r="AE234" i="3" s="1"/>
  <c r="AD218" i="3"/>
  <c r="AE218" i="3" s="1"/>
  <c r="AD202" i="3"/>
  <c r="AE202" i="3" s="1"/>
  <c r="AD186" i="3"/>
  <c r="AE186" i="3" s="1"/>
  <c r="AD154" i="3"/>
  <c r="AE154" i="3" s="1"/>
  <c r="AD138" i="3"/>
  <c r="AE138" i="3" s="1"/>
  <c r="AD122" i="3"/>
  <c r="AE122" i="3" s="1"/>
  <c r="AD106" i="3"/>
  <c r="AE106" i="3" s="1"/>
  <c r="AD90" i="3"/>
  <c r="AE90" i="3" s="1"/>
  <c r="AD74" i="3"/>
  <c r="AE74" i="3" s="1"/>
  <c r="AD58" i="3"/>
  <c r="AE58" i="3" s="1"/>
  <c r="AD26" i="3"/>
  <c r="AE26" i="3" s="1"/>
  <c r="AD10" i="3"/>
  <c r="AE10" i="3" s="1"/>
  <c r="AD586" i="3"/>
  <c r="AE586" i="3" s="1"/>
  <c r="AD554" i="3"/>
  <c r="AE554" i="3" s="1"/>
  <c r="AD522" i="3"/>
  <c r="AE522" i="3" s="1"/>
  <c r="AD632" i="3"/>
  <c r="AE632" i="3" s="1"/>
  <c r="AD624" i="3"/>
  <c r="AE624" i="3" s="1"/>
  <c r="AD616" i="3"/>
  <c r="AE616" i="3" s="1"/>
  <c r="AD608" i="3"/>
  <c r="AE608" i="3" s="1"/>
  <c r="AD600" i="3"/>
  <c r="AE600" i="3" s="1"/>
  <c r="AD592" i="3"/>
  <c r="AE592" i="3" s="1"/>
  <c r="AD584" i="3"/>
  <c r="AE584" i="3" s="1"/>
  <c r="AD576" i="3"/>
  <c r="AE576" i="3" s="1"/>
  <c r="AD568" i="3"/>
  <c r="AE568" i="3" s="1"/>
  <c r="AD560" i="3"/>
  <c r="AE560" i="3" s="1"/>
  <c r="AD552" i="3"/>
  <c r="AE552" i="3" s="1"/>
  <c r="AD544" i="3"/>
  <c r="AE544" i="3" s="1"/>
  <c r="AD536" i="3"/>
  <c r="AE536" i="3" s="1"/>
  <c r="AD532" i="3"/>
  <c r="AE532" i="3" s="1"/>
  <c r="AD524" i="3"/>
  <c r="AE524" i="3" s="1"/>
  <c r="AD516" i="3"/>
  <c r="AE516" i="3" s="1"/>
  <c r="AD508" i="3"/>
  <c r="AE508" i="3" s="1"/>
  <c r="AD500" i="3"/>
  <c r="AE500" i="3" s="1"/>
  <c r="AD492" i="3"/>
  <c r="AE492" i="3" s="1"/>
  <c r="AD484" i="3"/>
  <c r="AE484" i="3" s="1"/>
  <c r="AD480" i="3"/>
  <c r="AE480" i="3" s="1"/>
  <c r="AD472" i="3"/>
  <c r="AE472" i="3" s="1"/>
  <c r="AD464" i="3"/>
  <c r="AE464" i="3" s="1"/>
  <c r="AD456" i="3"/>
  <c r="AE456" i="3" s="1"/>
  <c r="AD448" i="3"/>
  <c r="AE448" i="3" s="1"/>
  <c r="AD440" i="3"/>
  <c r="AE440" i="3" s="1"/>
  <c r="AD432" i="3"/>
  <c r="AE432" i="3" s="1"/>
  <c r="AD424" i="3"/>
  <c r="AE424" i="3" s="1"/>
  <c r="AD416" i="3"/>
  <c r="AE416" i="3" s="1"/>
  <c r="AD408" i="3"/>
  <c r="AE408" i="3" s="1"/>
  <c r="AD392" i="3"/>
  <c r="AE392" i="3" s="1"/>
  <c r="AD384" i="3"/>
  <c r="AE384" i="3" s="1"/>
  <c r="AD376" i="3"/>
  <c r="AE376" i="3" s="1"/>
  <c r="AD368" i="3"/>
  <c r="AE368" i="3" s="1"/>
  <c r="AD360" i="3"/>
  <c r="AE360" i="3" s="1"/>
  <c r="AD352" i="3"/>
  <c r="AE352" i="3" s="1"/>
  <c r="AD344" i="3"/>
  <c r="AE344" i="3" s="1"/>
  <c r="AD336" i="3"/>
  <c r="AE336" i="3" s="1"/>
  <c r="AD328" i="3"/>
  <c r="AE328" i="3" s="1"/>
  <c r="AD320" i="3"/>
  <c r="AE320" i="3" s="1"/>
  <c r="AD312" i="3"/>
  <c r="AE312" i="3" s="1"/>
  <c r="AD304" i="3"/>
  <c r="AE304" i="3" s="1"/>
  <c r="AD296" i="3"/>
  <c r="AE296" i="3" s="1"/>
  <c r="AD288" i="3"/>
  <c r="AE288" i="3" s="1"/>
  <c r="AD280" i="3"/>
  <c r="AE280" i="3" s="1"/>
  <c r="AD272" i="3"/>
  <c r="AE272" i="3" s="1"/>
  <c r="AD264" i="3"/>
  <c r="AE264" i="3" s="1"/>
  <c r="AD256" i="3"/>
  <c r="AE256" i="3" s="1"/>
  <c r="AD248" i="3"/>
  <c r="AE248" i="3" s="1"/>
  <c r="AD240" i="3"/>
  <c r="AE240" i="3" s="1"/>
  <c r="AD232" i="3"/>
  <c r="AE232" i="3" s="1"/>
  <c r="AD224" i="3"/>
  <c r="AE224" i="3" s="1"/>
  <c r="AD204" i="3"/>
  <c r="AE204" i="3" s="1"/>
  <c r="AD200" i="3"/>
  <c r="AE200" i="3" s="1"/>
  <c r="AD192" i="3"/>
  <c r="AE192" i="3" s="1"/>
  <c r="AD184" i="3"/>
  <c r="AE184" i="3" s="1"/>
  <c r="AD172" i="3"/>
  <c r="AE172" i="3" s="1"/>
  <c r="AD164" i="3"/>
  <c r="AE164" i="3" s="1"/>
  <c r="AD156" i="3"/>
  <c r="AE156" i="3" s="1"/>
  <c r="AD148" i="3"/>
  <c r="AE148" i="3" s="1"/>
  <c r="AD140" i="3"/>
  <c r="AE140" i="3" s="1"/>
  <c r="AD132" i="3"/>
  <c r="AE132" i="3" s="1"/>
  <c r="AD124" i="3"/>
  <c r="AE124" i="3" s="1"/>
  <c r="AD116" i="3"/>
  <c r="AE116" i="3" s="1"/>
  <c r="AD108" i="3"/>
  <c r="AE108" i="3" s="1"/>
  <c r="AD104" i="3"/>
  <c r="AE104" i="3" s="1"/>
  <c r="AD96" i="3"/>
  <c r="AE96" i="3" s="1"/>
  <c r="AD88" i="3"/>
  <c r="AE88" i="3" s="1"/>
  <c r="AD80" i="3"/>
  <c r="AE80" i="3" s="1"/>
  <c r="AD72" i="3"/>
  <c r="AE72" i="3" s="1"/>
  <c r="AD48" i="3"/>
  <c r="AE48" i="3" s="1"/>
  <c r="AD627" i="3"/>
  <c r="AE627" i="3" s="1"/>
  <c r="AD619" i="3"/>
  <c r="AE619" i="3" s="1"/>
  <c r="AD611" i="3"/>
  <c r="AE611" i="3" s="1"/>
  <c r="AD603" i="3"/>
  <c r="AE603" i="3" s="1"/>
  <c r="AD599" i="3"/>
  <c r="AE599" i="3" s="1"/>
  <c r="AD595" i="3"/>
  <c r="AE595" i="3" s="1"/>
  <c r="AD591" i="3"/>
  <c r="AE591" i="3" s="1"/>
  <c r="AD587" i="3"/>
  <c r="AE587" i="3" s="1"/>
  <c r="AD583" i="3"/>
  <c r="AE583" i="3" s="1"/>
  <c r="AD579" i="3"/>
  <c r="AE579" i="3" s="1"/>
  <c r="AD575" i="3"/>
  <c r="AE575" i="3" s="1"/>
  <c r="AD571" i="3"/>
  <c r="AE571" i="3" s="1"/>
  <c r="AD567" i="3"/>
  <c r="AE567" i="3" s="1"/>
  <c r="AD563" i="3"/>
  <c r="AE563" i="3" s="1"/>
  <c r="AD559" i="3"/>
  <c r="AE559" i="3" s="1"/>
  <c r="AD555" i="3"/>
  <c r="AE555" i="3" s="1"/>
  <c r="AD551" i="3"/>
  <c r="AE551" i="3" s="1"/>
  <c r="AD547" i="3"/>
  <c r="AE547" i="3" s="1"/>
  <c r="AD543" i="3"/>
  <c r="AE543" i="3" s="1"/>
  <c r="AD539" i="3"/>
  <c r="AE539" i="3" s="1"/>
  <c r="AD535" i="3"/>
  <c r="AE535" i="3" s="1"/>
  <c r="AD531" i="3"/>
  <c r="AE531" i="3" s="1"/>
  <c r="AD527" i="3"/>
  <c r="AE527" i="3" s="1"/>
  <c r="AD523" i="3"/>
  <c r="AE523" i="3" s="1"/>
  <c r="AD519" i="3"/>
  <c r="AE519" i="3" s="1"/>
  <c r="AD515" i="3"/>
  <c r="AE515" i="3" s="1"/>
  <c r="AD511" i="3"/>
  <c r="AE511" i="3" s="1"/>
  <c r="AD507" i="3"/>
  <c r="AE507" i="3" s="1"/>
  <c r="AD499" i="3"/>
  <c r="AE499" i="3" s="1"/>
  <c r="AD495" i="3"/>
  <c r="AE495" i="3" s="1"/>
  <c r="AD491" i="3"/>
  <c r="AE491" i="3" s="1"/>
  <c r="AD483" i="3"/>
  <c r="AE483" i="3" s="1"/>
  <c r="AD479" i="3"/>
  <c r="AE479" i="3" s="1"/>
  <c r="AD475" i="3"/>
  <c r="AE475" i="3" s="1"/>
  <c r="AD471" i="3"/>
  <c r="AE471" i="3" s="1"/>
  <c r="AD467" i="3"/>
  <c r="AE467" i="3" s="1"/>
  <c r="AD463" i="3"/>
  <c r="AE463" i="3" s="1"/>
  <c r="AD459" i="3"/>
  <c r="AE459" i="3" s="1"/>
  <c r="AD455" i="3"/>
  <c r="AE455" i="3" s="1"/>
  <c r="AD451" i="3"/>
  <c r="AE451" i="3" s="1"/>
  <c r="AD447" i="3"/>
  <c r="AE447" i="3" s="1"/>
  <c r="AD443" i="3"/>
  <c r="AE443" i="3" s="1"/>
  <c r="AD439" i="3"/>
  <c r="AE439" i="3" s="1"/>
  <c r="AD435" i="3"/>
  <c r="AE435" i="3" s="1"/>
  <c r="AD431" i="3"/>
  <c r="AE431" i="3" s="1"/>
  <c r="AD427" i="3"/>
  <c r="AE427" i="3" s="1"/>
  <c r="AD423" i="3"/>
  <c r="AE423" i="3" s="1"/>
  <c r="AD419" i="3"/>
  <c r="AE419" i="3" s="1"/>
  <c r="AD415" i="3"/>
  <c r="AE415" i="3" s="1"/>
  <c r="AD411" i="3"/>
  <c r="AE411" i="3" s="1"/>
  <c r="AD407" i="3"/>
  <c r="AE407" i="3" s="1"/>
  <c r="AD403" i="3"/>
  <c r="AE403" i="3" s="1"/>
  <c r="AD399" i="3"/>
  <c r="AE399" i="3" s="1"/>
  <c r="AD395" i="3"/>
  <c r="AE395" i="3" s="1"/>
  <c r="AD391" i="3"/>
  <c r="AE391" i="3" s="1"/>
  <c r="AD387" i="3"/>
  <c r="AE387" i="3" s="1"/>
  <c r="AD383" i="3"/>
  <c r="AE383" i="3" s="1"/>
  <c r="AD379" i="3"/>
  <c r="AE379" i="3" s="1"/>
  <c r="AD375" i="3"/>
  <c r="AE375" i="3" s="1"/>
  <c r="AD371" i="3"/>
  <c r="AE371" i="3" s="1"/>
  <c r="AD367" i="3"/>
  <c r="AE367" i="3" s="1"/>
  <c r="AD363" i="3"/>
  <c r="AE363" i="3" s="1"/>
  <c r="AD359" i="3"/>
  <c r="AE359" i="3" s="1"/>
  <c r="AD355" i="3"/>
  <c r="AE355" i="3" s="1"/>
  <c r="AD351" i="3"/>
  <c r="AE351" i="3" s="1"/>
  <c r="AD347" i="3"/>
  <c r="AE347" i="3" s="1"/>
  <c r="AD343" i="3"/>
  <c r="AE343" i="3" s="1"/>
  <c r="AD339" i="3"/>
  <c r="AE339" i="3" s="1"/>
  <c r="AD335" i="3"/>
  <c r="AE335" i="3" s="1"/>
  <c r="AD331" i="3"/>
  <c r="AE331" i="3" s="1"/>
  <c r="AD327" i="3"/>
  <c r="AE327" i="3" s="1"/>
  <c r="AD323" i="3"/>
  <c r="AE323" i="3" s="1"/>
  <c r="AD319" i="3"/>
  <c r="AE319" i="3" s="1"/>
  <c r="AD315" i="3"/>
  <c r="AE315" i="3" s="1"/>
  <c r="AD311" i="3"/>
  <c r="AE311" i="3" s="1"/>
  <c r="AD307" i="3"/>
  <c r="AE307" i="3" s="1"/>
  <c r="AD303" i="3"/>
  <c r="AE303" i="3" s="1"/>
  <c r="AD299" i="3"/>
  <c r="AE299" i="3" s="1"/>
  <c r="AD295" i="3"/>
  <c r="AE295" i="3" s="1"/>
  <c r="AD287" i="3"/>
  <c r="AE287" i="3" s="1"/>
  <c r="AD279" i="3"/>
  <c r="AE279" i="3" s="1"/>
  <c r="AD271" i="3"/>
  <c r="AE271" i="3" s="1"/>
  <c r="AD263" i="3"/>
  <c r="AE263" i="3" s="1"/>
  <c r="AD247" i="3"/>
  <c r="AE247" i="3" s="1"/>
  <c r="AD239" i="3"/>
  <c r="AE239" i="3" s="1"/>
  <c r="AD231" i="3"/>
  <c r="AE231" i="3" s="1"/>
  <c r="AD223" i="3"/>
  <c r="AE223" i="3" s="1"/>
  <c r="AD215" i="3"/>
  <c r="AE215" i="3" s="1"/>
  <c r="AD207" i="3"/>
  <c r="AE207" i="3" s="1"/>
  <c r="AD199" i="3"/>
  <c r="AE199" i="3" s="1"/>
  <c r="AD191" i="3"/>
  <c r="AE191" i="3" s="1"/>
  <c r="AD183" i="3"/>
  <c r="AE183" i="3" s="1"/>
  <c r="AD175" i="3"/>
  <c r="AE175" i="3" s="1"/>
  <c r="AD167" i="3"/>
  <c r="AE167" i="3" s="1"/>
  <c r="AD159" i="3"/>
  <c r="AE159" i="3" s="1"/>
  <c r="AD151" i="3"/>
  <c r="AE151" i="3" s="1"/>
  <c r="AD143" i="3"/>
  <c r="AE143" i="3" s="1"/>
  <c r="AD135" i="3"/>
  <c r="AE135" i="3" s="1"/>
  <c r="AD131" i="3"/>
  <c r="AE131" i="3" s="1"/>
  <c r="AD123" i="3"/>
  <c r="AE123" i="3" s="1"/>
  <c r="AD115" i="3"/>
  <c r="AE115" i="3" s="1"/>
  <c r="AD111" i="3"/>
  <c r="AE111" i="3" s="1"/>
  <c r="AD107" i="3"/>
  <c r="AE107" i="3" s="1"/>
  <c r="AD103" i="3"/>
  <c r="AE103" i="3" s="1"/>
  <c r="AD99" i="3"/>
  <c r="AE99" i="3" s="1"/>
  <c r="AD95" i="3"/>
  <c r="AE95" i="3" s="1"/>
  <c r="AD91" i="3"/>
  <c r="AE91" i="3" s="1"/>
  <c r="AD87" i="3"/>
  <c r="AE87" i="3" s="1"/>
  <c r="AD83" i="3"/>
  <c r="AE83" i="3" s="1"/>
  <c r="AD79" i="3"/>
  <c r="AE79" i="3" s="1"/>
  <c r="AD71" i="3"/>
  <c r="AE71" i="3" s="1"/>
  <c r="AD67" i="3"/>
  <c r="AE67" i="3" s="1"/>
  <c r="AD63" i="3"/>
  <c r="AE63" i="3" s="1"/>
  <c r="AD59" i="3"/>
  <c r="AE59" i="3" s="1"/>
  <c r="AD55" i="3"/>
  <c r="AE55" i="3" s="1"/>
  <c r="AD51" i="3"/>
  <c r="AE51" i="3" s="1"/>
  <c r="AD47" i="3"/>
  <c r="AE47" i="3" s="1"/>
  <c r="AD43" i="3"/>
  <c r="AE43" i="3" s="1"/>
  <c r="AD39" i="3"/>
  <c r="AE39" i="3" s="1"/>
  <c r="AD35" i="3"/>
  <c r="AE35" i="3" s="1"/>
  <c r="AD31" i="3"/>
  <c r="AE31" i="3" s="1"/>
  <c r="AD27" i="3"/>
  <c r="AE27" i="3" s="1"/>
  <c r="AD23" i="3"/>
  <c r="AE23" i="3" s="1"/>
  <c r="AD19" i="3"/>
  <c r="AE19" i="3" s="1"/>
  <c r="AD15" i="3"/>
  <c r="AE15" i="3" s="1"/>
  <c r="AD11" i="3"/>
  <c r="AE11" i="3" s="1"/>
  <c r="AD7" i="3"/>
  <c r="AE7" i="3" s="1"/>
  <c r="AD610" i="3"/>
  <c r="AE610" i="3" s="1"/>
  <c r="AD546" i="3"/>
  <c r="AE546" i="3" s="1"/>
  <c r="AD255" i="3"/>
  <c r="AE255" i="3" s="1"/>
  <c r="AD629" i="3"/>
  <c r="AE629" i="3" s="1"/>
  <c r="AD621" i="3"/>
  <c r="AE621" i="3" s="1"/>
  <c r="AD613" i="3"/>
  <c r="AE613" i="3" s="1"/>
  <c r="AD605" i="3"/>
  <c r="AE605" i="3" s="1"/>
  <c r="AD597" i="3"/>
  <c r="AE597" i="3" s="1"/>
  <c r="AD589" i="3"/>
  <c r="AE589" i="3" s="1"/>
  <c r="AD581" i="3"/>
  <c r="AE581" i="3" s="1"/>
  <c r="AD573" i="3"/>
  <c r="AE573" i="3" s="1"/>
  <c r="AD565" i="3"/>
  <c r="AE565" i="3" s="1"/>
  <c r="AD553" i="3"/>
  <c r="AE553" i="3" s="1"/>
  <c r="AD545" i="3"/>
  <c r="AE545" i="3" s="1"/>
  <c r="AD537" i="3"/>
  <c r="AE537" i="3" s="1"/>
  <c r="AD529" i="3"/>
  <c r="AE529" i="3" s="1"/>
  <c r="AD521" i="3"/>
  <c r="AE521" i="3" s="1"/>
  <c r="AD513" i="3"/>
  <c r="AE513" i="3" s="1"/>
  <c r="AD505" i="3"/>
  <c r="AE505" i="3" s="1"/>
  <c r="AD497" i="3"/>
  <c r="AE497" i="3" s="1"/>
  <c r="AD489" i="3"/>
  <c r="AE489" i="3" s="1"/>
  <c r="AD481" i="3"/>
  <c r="AE481" i="3" s="1"/>
  <c r="AD473" i="3"/>
  <c r="AE473" i="3" s="1"/>
  <c r="AD465" i="3"/>
  <c r="AE465" i="3" s="1"/>
  <c r="AD457" i="3"/>
  <c r="AE457" i="3" s="1"/>
  <c r="AD449" i="3"/>
  <c r="AE449" i="3" s="1"/>
  <c r="AD441" i="3"/>
  <c r="AE441" i="3" s="1"/>
  <c r="AD437" i="3"/>
  <c r="AE437" i="3" s="1"/>
  <c r="AD425" i="3"/>
  <c r="AE425" i="3" s="1"/>
  <c r="AD417" i="3"/>
  <c r="AE417" i="3" s="1"/>
  <c r="AD409" i="3"/>
  <c r="AE409" i="3" s="1"/>
  <c r="AD401" i="3"/>
  <c r="AE401" i="3" s="1"/>
  <c r="AD393" i="3"/>
  <c r="AE393" i="3" s="1"/>
  <c r="AD385" i="3"/>
  <c r="AE385" i="3" s="1"/>
  <c r="AD373" i="3"/>
  <c r="AE373" i="3" s="1"/>
  <c r="AD365" i="3"/>
  <c r="AE365" i="3" s="1"/>
  <c r="AD357" i="3"/>
  <c r="AE357" i="3" s="1"/>
  <c r="AD349" i="3"/>
  <c r="AE349" i="3" s="1"/>
  <c r="AD341" i="3"/>
  <c r="AE341" i="3" s="1"/>
  <c r="AD333" i="3"/>
  <c r="AE333" i="3" s="1"/>
  <c r="AD325" i="3"/>
  <c r="AE325" i="3" s="1"/>
  <c r="AD317" i="3"/>
  <c r="AE317" i="3" s="1"/>
  <c r="AD309" i="3"/>
  <c r="AE309" i="3" s="1"/>
  <c r="AD297" i="3"/>
  <c r="AE297" i="3" s="1"/>
  <c r="AD289" i="3"/>
  <c r="AE289" i="3" s="1"/>
  <c r="AD281" i="3"/>
  <c r="AE281" i="3" s="1"/>
  <c r="AD273" i="3"/>
  <c r="AE273" i="3" s="1"/>
  <c r="AD265" i="3"/>
  <c r="AE265" i="3" s="1"/>
  <c r="AD257" i="3"/>
  <c r="AE257" i="3" s="1"/>
  <c r="AD249" i="3"/>
  <c r="AE249" i="3" s="1"/>
  <c r="AD241" i="3"/>
  <c r="AE241" i="3" s="1"/>
  <c r="AD233" i="3"/>
  <c r="AE233" i="3" s="1"/>
  <c r="AD225" i="3"/>
  <c r="AE225" i="3" s="1"/>
  <c r="AD217" i="3"/>
  <c r="AE217" i="3" s="1"/>
  <c r="AD209" i="3"/>
  <c r="AE209" i="3" s="1"/>
  <c r="AD205" i="3"/>
  <c r="AE205" i="3" s="1"/>
  <c r="AD197" i="3"/>
  <c r="AE197" i="3" s="1"/>
  <c r="AD189" i="3"/>
  <c r="AE189" i="3" s="1"/>
  <c r="AD181" i="3"/>
  <c r="AE181" i="3" s="1"/>
  <c r="AD173" i="3"/>
  <c r="AE173" i="3" s="1"/>
  <c r="AD165" i="3"/>
  <c r="AE165" i="3" s="1"/>
  <c r="AD157" i="3"/>
  <c r="AE157" i="3" s="1"/>
  <c r="AD149" i="3"/>
  <c r="AE149" i="3" s="1"/>
  <c r="AD141" i="3"/>
  <c r="AE141" i="3" s="1"/>
  <c r="AD133" i="3"/>
  <c r="AE133" i="3" s="1"/>
  <c r="AD125" i="3"/>
  <c r="AE125" i="3" s="1"/>
  <c r="AD117" i="3"/>
  <c r="AE117" i="3" s="1"/>
  <c r="AD105" i="3"/>
  <c r="AE105" i="3" s="1"/>
  <c r="AD101" i="3"/>
  <c r="AE101" i="3" s="1"/>
  <c r="AD93" i="3"/>
  <c r="AE93" i="3" s="1"/>
  <c r="AD85" i="3"/>
  <c r="AE85" i="3" s="1"/>
  <c r="AD77" i="3"/>
  <c r="AE77" i="3" s="1"/>
  <c r="AD69" i="3"/>
  <c r="AE69" i="3" s="1"/>
  <c r="AD61" i="3"/>
  <c r="AE61" i="3" s="1"/>
  <c r="AD53" i="3"/>
  <c r="AE53" i="3" s="1"/>
  <c r="AD49" i="3"/>
  <c r="AE49" i="3" s="1"/>
  <c r="AD41" i="3"/>
  <c r="AE41" i="3" s="1"/>
  <c r="AD29" i="3"/>
  <c r="AE29" i="3" s="1"/>
  <c r="AD21" i="3"/>
  <c r="AE21" i="3" s="1"/>
  <c r="AD13" i="3"/>
  <c r="AE13" i="3" s="1"/>
  <c r="AD5" i="3"/>
  <c r="AE5" i="3" s="1"/>
  <c r="AD615" i="3"/>
  <c r="AE615" i="3" s="1"/>
  <c r="AD626" i="3"/>
  <c r="AE626" i="3" s="1"/>
  <c r="AD628" i="3"/>
  <c r="AE628" i="3" s="1"/>
  <c r="AD620" i="3"/>
  <c r="AE620" i="3" s="1"/>
  <c r="AD612" i="3"/>
  <c r="AE612" i="3" s="1"/>
  <c r="AD604" i="3"/>
  <c r="AE604" i="3" s="1"/>
  <c r="AD596" i="3"/>
  <c r="AE596" i="3" s="1"/>
  <c r="AD580" i="3"/>
  <c r="AE580" i="3" s="1"/>
  <c r="AD572" i="3"/>
  <c r="AE572" i="3" s="1"/>
  <c r="AD564" i="3"/>
  <c r="AE564" i="3" s="1"/>
  <c r="AD556" i="3"/>
  <c r="AE556" i="3" s="1"/>
  <c r="AD548" i="3"/>
  <c r="AE548" i="3" s="1"/>
  <c r="AD540" i="3"/>
  <c r="AE540" i="3" s="1"/>
  <c r="AD528" i="3"/>
  <c r="AE528" i="3" s="1"/>
  <c r="AD520" i="3"/>
  <c r="AE520" i="3" s="1"/>
  <c r="AD512" i="3"/>
  <c r="AE512" i="3" s="1"/>
  <c r="AD504" i="3"/>
  <c r="AE504" i="3" s="1"/>
  <c r="AD496" i="3"/>
  <c r="AE496" i="3" s="1"/>
  <c r="AD488" i="3"/>
  <c r="AE488" i="3" s="1"/>
  <c r="AD468" i="3"/>
  <c r="AE468" i="3" s="1"/>
  <c r="AD452" i="3"/>
  <c r="AE452" i="3" s="1"/>
  <c r="AD444" i="3"/>
  <c r="AE444" i="3" s="1"/>
  <c r="AD436" i="3"/>
  <c r="AE436" i="3" s="1"/>
  <c r="AD428" i="3"/>
  <c r="AE428" i="3" s="1"/>
  <c r="AD420" i="3"/>
  <c r="AE420" i="3" s="1"/>
  <c r="AD412" i="3"/>
  <c r="AE412" i="3" s="1"/>
  <c r="AD404" i="3"/>
  <c r="AE404" i="3" s="1"/>
  <c r="AD396" i="3"/>
  <c r="AE396" i="3" s="1"/>
  <c r="AD388" i="3"/>
  <c r="AE388" i="3" s="1"/>
  <c r="AD380" i="3"/>
  <c r="AE380" i="3" s="1"/>
  <c r="AD372" i="3"/>
  <c r="AE372" i="3" s="1"/>
  <c r="AD364" i="3"/>
  <c r="AE364" i="3" s="1"/>
  <c r="AD356" i="3"/>
  <c r="AE356" i="3" s="1"/>
  <c r="AD348" i="3"/>
  <c r="AE348" i="3" s="1"/>
  <c r="AD340" i="3"/>
  <c r="AE340" i="3" s="1"/>
  <c r="AD332" i="3"/>
  <c r="AE332" i="3" s="1"/>
  <c r="AD324" i="3"/>
  <c r="AE324" i="3" s="1"/>
  <c r="AD316" i="3"/>
  <c r="AE316" i="3" s="1"/>
  <c r="AD308" i="3"/>
  <c r="AE308" i="3" s="1"/>
  <c r="AD300" i="3"/>
  <c r="AE300" i="3" s="1"/>
  <c r="AD292" i="3"/>
  <c r="AE292" i="3" s="1"/>
  <c r="AD284" i="3"/>
  <c r="AE284" i="3" s="1"/>
  <c r="AD276" i="3"/>
  <c r="AE276" i="3" s="1"/>
  <c r="AD268" i="3"/>
  <c r="AE268" i="3" s="1"/>
  <c r="AD260" i="3"/>
  <c r="AE260" i="3" s="1"/>
  <c r="AD252" i="3"/>
  <c r="AE252" i="3" s="1"/>
  <c r="AD244" i="3"/>
  <c r="AE244" i="3" s="1"/>
  <c r="AD236" i="3"/>
  <c r="AE236" i="3" s="1"/>
  <c r="AD228" i="3"/>
  <c r="AE228" i="3" s="1"/>
  <c r="AD220" i="3"/>
  <c r="AE220" i="3" s="1"/>
  <c r="AD216" i="3"/>
  <c r="AE216" i="3" s="1"/>
  <c r="AD208" i="3"/>
  <c r="AE208" i="3" s="1"/>
  <c r="AD196" i="3"/>
  <c r="AE196" i="3" s="1"/>
  <c r="AD188" i="3"/>
  <c r="AE188" i="3" s="1"/>
  <c r="AD180" i="3"/>
  <c r="AE180" i="3" s="1"/>
  <c r="AD176" i="3"/>
  <c r="AE176" i="3" s="1"/>
  <c r="AD168" i="3"/>
  <c r="AE168" i="3" s="1"/>
  <c r="AD160" i="3"/>
  <c r="AE160" i="3" s="1"/>
  <c r="AD152" i="3"/>
  <c r="AE152" i="3" s="1"/>
  <c r="AD144" i="3"/>
  <c r="AE144" i="3" s="1"/>
  <c r="AD136" i="3"/>
  <c r="AE136" i="3" s="1"/>
  <c r="AD128" i="3"/>
  <c r="AE128" i="3" s="1"/>
  <c r="AD120" i="3"/>
  <c r="AE120" i="3" s="1"/>
  <c r="AD112" i="3"/>
  <c r="AE112" i="3" s="1"/>
  <c r="AD100" i="3"/>
  <c r="AE100" i="3" s="1"/>
  <c r="AD92" i="3"/>
  <c r="AE92" i="3" s="1"/>
  <c r="AD68" i="3"/>
  <c r="AE68" i="3" s="1"/>
  <c r="AD52" i="3"/>
  <c r="AE52" i="3" s="1"/>
  <c r="AD283" i="3"/>
  <c r="AE283" i="3" s="1"/>
  <c r="AD275" i="3"/>
  <c r="AE275" i="3" s="1"/>
  <c r="AD267" i="3"/>
  <c r="AE267" i="3" s="1"/>
  <c r="AD259" i="3"/>
  <c r="AE259" i="3" s="1"/>
  <c r="AD251" i="3"/>
  <c r="AE251" i="3" s="1"/>
  <c r="AD243" i="3"/>
  <c r="AE243" i="3" s="1"/>
  <c r="AD235" i="3"/>
  <c r="AE235" i="3" s="1"/>
  <c r="AD227" i="3"/>
  <c r="AE227" i="3" s="1"/>
  <c r="AD219" i="3"/>
  <c r="AE219" i="3" s="1"/>
  <c r="AD211" i="3"/>
  <c r="AE211" i="3" s="1"/>
  <c r="AD203" i="3"/>
  <c r="AE203" i="3" s="1"/>
  <c r="AD195" i="3"/>
  <c r="AE195" i="3" s="1"/>
  <c r="AD187" i="3"/>
  <c r="AE187" i="3" s="1"/>
  <c r="AD179" i="3"/>
  <c r="AE179" i="3" s="1"/>
  <c r="AD171" i="3"/>
  <c r="AE171" i="3" s="1"/>
  <c r="AD163" i="3"/>
  <c r="AE163" i="3" s="1"/>
  <c r="AD155" i="3"/>
  <c r="AE155" i="3" s="1"/>
  <c r="AD147" i="3"/>
  <c r="AE147" i="3" s="1"/>
  <c r="AD139" i="3"/>
  <c r="AE139" i="3" s="1"/>
  <c r="AD119" i="3"/>
  <c r="AE119" i="3" s="1"/>
  <c r="AD75" i="3"/>
  <c r="AE75" i="3" s="1"/>
  <c r="AD482" i="3"/>
  <c r="AE482" i="3" s="1"/>
  <c r="AD306" i="3"/>
  <c r="AE306" i="3" s="1"/>
  <c r="AD290" i="3"/>
  <c r="AE290" i="3" s="1"/>
  <c r="AD274" i="3"/>
  <c r="AE274" i="3" s="1"/>
  <c r="AD258" i="3"/>
  <c r="AE258" i="3" s="1"/>
  <c r="AD242" i="3"/>
  <c r="AE242" i="3" s="1"/>
  <c r="AD226" i="3"/>
  <c r="AE226" i="3" s="1"/>
  <c r="AD210" i="3"/>
  <c r="AE210" i="3" s="1"/>
  <c r="AD178" i="3"/>
  <c r="AE178" i="3" s="1"/>
  <c r="AD162" i="3"/>
  <c r="AE162" i="3" s="1"/>
  <c r="AD146" i="3"/>
  <c r="AE146" i="3" s="1"/>
  <c r="AD130" i="3"/>
  <c r="AE130" i="3" s="1"/>
  <c r="AD114" i="3"/>
  <c r="AE114" i="3" s="1"/>
  <c r="AD98" i="3"/>
  <c r="AE98" i="3" s="1"/>
  <c r="AD82" i="3"/>
  <c r="AE82" i="3" s="1"/>
  <c r="AD66" i="3"/>
  <c r="AE66" i="3" s="1"/>
  <c r="AD50" i="3"/>
  <c r="AE50" i="3" s="1"/>
  <c r="AD34" i="3"/>
  <c r="AE34" i="3" s="1"/>
  <c r="AD18" i="3"/>
  <c r="AE18" i="3" s="1"/>
  <c r="AD602" i="3"/>
  <c r="AE602" i="3" s="1"/>
  <c r="AD570" i="3"/>
  <c r="AE570" i="3" s="1"/>
  <c r="AD538" i="3"/>
  <c r="AE538" i="3" s="1"/>
  <c r="AD506" i="3"/>
  <c r="AE506" i="3" s="1"/>
  <c r="AD466" i="3"/>
  <c r="AE466" i="3" s="1"/>
  <c r="AD402" i="3"/>
  <c r="AE402" i="3" s="1"/>
  <c r="AD338" i="3"/>
  <c r="AE338" i="3" s="1"/>
  <c r="AD212" i="3"/>
  <c r="AE212" i="3" s="1"/>
  <c r="AD42" i="3"/>
  <c r="AE42" i="3" s="1"/>
  <c r="AD4" i="3"/>
  <c r="AE4" i="3" s="1"/>
  <c r="AD486" i="3"/>
  <c r="AE486" i="3" s="1"/>
  <c r="AD414" i="3"/>
  <c r="AE414" i="3" s="1"/>
  <c r="AD350" i="3"/>
  <c r="AE350" i="3" s="1"/>
  <c r="AD286" i="3"/>
  <c r="AE286" i="3" s="1"/>
  <c r="AD222" i="3"/>
  <c r="AE222" i="3" s="1"/>
  <c r="AD158" i="3"/>
  <c r="AE158" i="3" s="1"/>
  <c r="AD94" i="3"/>
  <c r="AE94" i="3" s="1"/>
  <c r="AD30" i="3"/>
  <c r="AE30" i="3" s="1"/>
  <c r="AD598" i="3"/>
  <c r="AE598" i="3" s="1"/>
  <c r="AD534" i="3"/>
  <c r="AE534" i="3" s="1"/>
  <c r="F3" i="15" l="1"/>
  <c r="F2" i="15"/>
  <c r="AE2" i="3"/>
  <c r="E3" i="15"/>
  <c r="E2" i="15"/>
  <c r="G2" i="15" l="1"/>
  <c r="H2" i="15" s="1"/>
  <c r="G3" i="15"/>
  <c r="H3" i="15" s="1"/>
</calcChain>
</file>

<file path=xl/sharedStrings.xml><?xml version="1.0" encoding="utf-8"?>
<sst xmlns="http://schemas.openxmlformats.org/spreadsheetml/2006/main" count="13018" uniqueCount="1505">
  <si>
    <t>OrderID</t>
  </si>
  <si>
    <t>OrderDate</t>
  </si>
  <si>
    <t>RequiredDate</t>
  </si>
  <si>
    <t>Region</t>
  </si>
  <si>
    <t>Country</t>
  </si>
  <si>
    <t>City</t>
  </si>
  <si>
    <t>CustomerSegment</t>
  </si>
  <si>
    <t>Channel</t>
  </si>
  <si>
    <t>Salesperson</t>
  </si>
  <si>
    <t>ProductCategory</t>
  </si>
  <si>
    <t>SKU</t>
  </si>
  <si>
    <t>UnitCost</t>
  </si>
  <si>
    <t>UnitPrice</t>
  </si>
  <si>
    <t>DiscountPct</t>
  </si>
  <si>
    <t>Quantity</t>
  </si>
  <si>
    <t>ORD-2024-275203</t>
  </si>
  <si>
    <t>ORD-2024-358795</t>
  </si>
  <si>
    <t>ORD-2023-373538</t>
  </si>
  <si>
    <t>ORD-2025-168148</t>
  </si>
  <si>
    <t>ORD-2023-824839</t>
  </si>
  <si>
    <t>ORD-2023-723587</t>
  </si>
  <si>
    <t>ORD-2024-336584</t>
  </si>
  <si>
    <t>ORD-2023-112666</t>
  </si>
  <si>
    <t>ORD-2024-589570</t>
  </si>
  <si>
    <t>ORD-2025-997421</t>
  </si>
  <si>
    <t>ORD-2024-210687</t>
  </si>
  <si>
    <t>ORD-2025-515515</t>
  </si>
  <si>
    <t>ORD-2025-487261</t>
  </si>
  <si>
    <t>ORD-2024-890180</t>
  </si>
  <si>
    <t>ORD-2025-840976</t>
  </si>
  <si>
    <t>ORD-2023-937291</t>
  </si>
  <si>
    <t>ORD-2024-206081</t>
  </si>
  <si>
    <t>ORD-2025-233883</t>
  </si>
  <si>
    <t>ORD-2025-843974</t>
  </si>
  <si>
    <t>ORD-2025-745263</t>
  </si>
  <si>
    <t>ORD-2024-798002</t>
  </si>
  <si>
    <t>ORD-2023-867836</t>
  </si>
  <si>
    <t>ORD-2025-580047</t>
  </si>
  <si>
    <t>ORD-2024-500109</t>
  </si>
  <si>
    <t>ORD-2023-271836</t>
  </si>
  <si>
    <t>ORD-2024-215294</t>
  </si>
  <si>
    <t>ORD-2024-788105</t>
  </si>
  <si>
    <t>ORD-2024-855073</t>
  </si>
  <si>
    <t>ORD-2023-897079</t>
  </si>
  <si>
    <t>ORD-2025-548982</t>
  </si>
  <si>
    <t>ORD-2024-170313</t>
  </si>
  <si>
    <t>ORD-2023-562894</t>
  </si>
  <si>
    <t>ORD-2025-474710</t>
  </si>
  <si>
    <t>ORD-2024-629525</t>
  </si>
  <si>
    <t>ORD-2024-167215</t>
  </si>
  <si>
    <t>ORD-2023-864121</t>
  </si>
  <si>
    <t>ORD-2024-692673</t>
  </si>
  <si>
    <t>ORD-2025-718992</t>
  </si>
  <si>
    <t>ORD-2024-599522</t>
  </si>
  <si>
    <t>ORD-2023-651638</t>
  </si>
  <si>
    <t>ORD-2024-635626</t>
  </si>
  <si>
    <t>ORD-2024-296582</t>
  </si>
  <si>
    <t>ORD-2024-998320</t>
  </si>
  <si>
    <t>ORD-2025-820255</t>
  </si>
  <si>
    <t>ORD-2024-389336</t>
  </si>
  <si>
    <t>ORD-2023-308124</t>
  </si>
  <si>
    <t>ORD-2023-128295</t>
  </si>
  <si>
    <t>ORD-2024-548345</t>
  </si>
  <si>
    <t>ORD-2024-966651</t>
  </si>
  <si>
    <t>ORD-2023-292714</t>
  </si>
  <si>
    <t>ORD-2024-468501</t>
  </si>
  <si>
    <t>ORD-2024-260775</t>
  </si>
  <si>
    <t>ORD-2023-419187</t>
  </si>
  <si>
    <t>ORD-2025-578007</t>
  </si>
  <si>
    <t>ORD-2023-235230</t>
  </si>
  <si>
    <t>ORD-2025-765220</t>
  </si>
  <si>
    <t>ORD-2025-931538</t>
  </si>
  <si>
    <t>ORD-2024-289089</t>
  </si>
  <si>
    <t>ORD-2025-639542</t>
  </si>
  <si>
    <t>ORD-2025-762301</t>
  </si>
  <si>
    <t>ORD-2024-906395</t>
  </si>
  <si>
    <t>ORD-2025-779574</t>
  </si>
  <si>
    <t>ORD-2025-526650</t>
  </si>
  <si>
    <t>ORD-2024-247979</t>
  </si>
  <si>
    <t>ORD-2023-480975</t>
  </si>
  <si>
    <t>ORD-2023-239789</t>
  </si>
  <si>
    <t>ORD-2023-548874</t>
  </si>
  <si>
    <t>ORD-2024-347736</t>
  </si>
  <si>
    <t>ORD-2023-749324</t>
  </si>
  <si>
    <t>ORD-2023-809913</t>
  </si>
  <si>
    <t>ORD-2024-287210</t>
  </si>
  <si>
    <t>ORD-2025-640677</t>
  </si>
  <si>
    <t>ORD-2024-939873</t>
  </si>
  <si>
    <t>ORD-2024-800947</t>
  </si>
  <si>
    <t>ORD-2023-382272</t>
  </si>
  <si>
    <t>ORD-2023-722117</t>
  </si>
  <si>
    <t>ORD-2024-446699</t>
  </si>
  <si>
    <t>ORD-2024-451005</t>
  </si>
  <si>
    <t>ORD-2023-290279</t>
  </si>
  <si>
    <t>ORD-2024-192263</t>
  </si>
  <si>
    <t>ORD-2023-159379</t>
  </si>
  <si>
    <t>ORD-2023-343322</t>
  </si>
  <si>
    <t>ORD-2025-114382</t>
  </si>
  <si>
    <t>ORD-2025-488349</t>
  </si>
  <si>
    <t>ORD-2025-330203</t>
  </si>
  <si>
    <t>ORD-2023-841426</t>
  </si>
  <si>
    <t>ORD-2024-594592</t>
  </si>
  <si>
    <t>ORD-2025-863978</t>
  </si>
  <si>
    <t>ORD-2024-604471</t>
  </si>
  <si>
    <t>ORD-2023-258768</t>
  </si>
  <si>
    <t>ORD-2025-626047</t>
  </si>
  <si>
    <t>ORD-2025-526752</t>
  </si>
  <si>
    <t>ORD-2023-374486</t>
  </si>
  <si>
    <t>ORD-2024-997336</t>
  </si>
  <si>
    <t>ORD-2025-725646</t>
  </si>
  <si>
    <t>ORD-2023-868734</t>
  </si>
  <si>
    <t>ORD-2025-262491</t>
  </si>
  <si>
    <t>ORD-2024-638884</t>
  </si>
  <si>
    <t>ORD-2025-541501</t>
  </si>
  <si>
    <t>ORD-2023-422918</t>
  </si>
  <si>
    <t>ORD-2025-328504</t>
  </si>
  <si>
    <t>ORD-2024-851883</t>
  </si>
  <si>
    <t>ORD-2025-662997</t>
  </si>
  <si>
    <t>ORD-2024-478165</t>
  </si>
  <si>
    <t>ORD-2024-771210</t>
  </si>
  <si>
    <t>ORD-2024-155337</t>
  </si>
  <si>
    <t>ORD-2023-251563</t>
  </si>
  <si>
    <t>ORD-2024-286833</t>
  </si>
  <si>
    <t>ORD-2024-792558</t>
  </si>
  <si>
    <t>ORD-2024-166150</t>
  </si>
  <si>
    <t>ORD-2024-909942</t>
  </si>
  <si>
    <t>ORD-2024-223618</t>
  </si>
  <si>
    <t>ORD-2024-919471</t>
  </si>
  <si>
    <t>ORD-2025-649239</t>
  </si>
  <si>
    <t>ORD-2023-975863</t>
  </si>
  <si>
    <t>ORD-2023-869884</t>
  </si>
  <si>
    <t>ORD-2025-698069</t>
  </si>
  <si>
    <t>ORD-2024-474999</t>
  </si>
  <si>
    <t>ORD-2023-427304</t>
  </si>
  <si>
    <t>ORD-2025-956101</t>
  </si>
  <si>
    <t>ORD-2025-184082</t>
  </si>
  <si>
    <t>ORD-2023-576840</t>
  </si>
  <si>
    <t>ORD-2023-178249</t>
  </si>
  <si>
    <t>ORD-2024-588972</t>
  </si>
  <si>
    <t>ORD-2023-603238</t>
  </si>
  <si>
    <t>ORD-2023-883066</t>
  </si>
  <si>
    <t>ORD-2024-584090</t>
  </si>
  <si>
    <t>ORD-2025-537785</t>
  </si>
  <si>
    <t>ORD-2024-605518</t>
  </si>
  <si>
    <t>ORD-2023-521818</t>
  </si>
  <si>
    <t>ORD-2025-650719</t>
  </si>
  <si>
    <t>ORD-2025-501927</t>
  </si>
  <si>
    <t>ORD-2023-430904</t>
  </si>
  <si>
    <t>ORD-2025-354346</t>
  </si>
  <si>
    <t>ORD-2024-164288</t>
  </si>
  <si>
    <t>ORD-2023-867285</t>
  </si>
  <si>
    <t>ORD-2024-836421</t>
  </si>
  <si>
    <t>ORD-2023-613287</t>
  </si>
  <si>
    <t>ORD-2024-783321</t>
  </si>
  <si>
    <t>ORD-2024-232632</t>
  </si>
  <si>
    <t>ORD-2023-906481</t>
  </si>
  <si>
    <t>ORD-2024-902741</t>
  </si>
  <si>
    <t>ORD-2023-912395</t>
  </si>
  <si>
    <t>ORD-2024-389102</t>
  </si>
  <si>
    <t>ORD-2023-309373</t>
  </si>
  <si>
    <t>ORD-2023-825495</t>
  </si>
  <si>
    <t>ORD-2025-244832</t>
  </si>
  <si>
    <t>ORD-2024-211453</t>
  </si>
  <si>
    <t>ORD-2023-192324</t>
  </si>
  <si>
    <t>ORD-2024-438404</t>
  </si>
  <si>
    <t>ORD-2025-246470</t>
  </si>
  <si>
    <t>ORD-2023-497686</t>
  </si>
  <si>
    <t>ORD-2023-596758</t>
  </si>
  <si>
    <t>ORD-2024-201376</t>
  </si>
  <si>
    <t>ORD-2023-842488</t>
  </si>
  <si>
    <t>ORD-2024-136321</t>
  </si>
  <si>
    <t>ORD-2024-764468</t>
  </si>
  <si>
    <t>ORD-2024-553449</t>
  </si>
  <si>
    <t>ORD-2025-766923</t>
  </si>
  <si>
    <t>ORD-2025-418232</t>
  </si>
  <si>
    <t>ORD-2023-848013</t>
  </si>
  <si>
    <t>ORD-2024-357368</t>
  </si>
  <si>
    <t>ORD-2024-219735</t>
  </si>
  <si>
    <t>ORD-2023-240507</t>
  </si>
  <si>
    <t>ORD-2024-134084</t>
  </si>
  <si>
    <t>ORD-2023-884625</t>
  </si>
  <si>
    <t>ORD-2023-157993</t>
  </si>
  <si>
    <t>ORD-2024-329104</t>
  </si>
  <si>
    <t>ORD-2023-304451</t>
  </si>
  <si>
    <t>ORD-2024-942981</t>
  </si>
  <si>
    <t>ORD-2024-605629</t>
  </si>
  <si>
    <t>ORD-2023-450877</t>
  </si>
  <si>
    <t>ORD-2023-286994</t>
  </si>
  <si>
    <t>ORD-2025-700847</t>
  </si>
  <si>
    <t>ORD-2024-970848</t>
  </si>
  <si>
    <t>ORD-2025-845715</t>
  </si>
  <si>
    <t>ORD-2023-664749</t>
  </si>
  <si>
    <t>ORD-2024-960952</t>
  </si>
  <si>
    <t>ORD-2023-987700</t>
  </si>
  <si>
    <t>ORD-2025-652467</t>
  </si>
  <si>
    <t>ORD-2025-667201</t>
  </si>
  <si>
    <t>ORD-2024-237478</t>
  </si>
  <si>
    <t>ORD-2025-898843</t>
  </si>
  <si>
    <t>ORD-2023-334213</t>
  </si>
  <si>
    <t>ORD-2024-640340</t>
  </si>
  <si>
    <t>ORD-2023-399631</t>
  </si>
  <si>
    <t>ORD-2025-542939</t>
  </si>
  <si>
    <t>ORD-2023-825836</t>
  </si>
  <si>
    <t>ORD-2024-503082</t>
  </si>
  <si>
    <t>ORD-2024-760799</t>
  </si>
  <si>
    <t>ORD-2023-197661</t>
  </si>
  <si>
    <t>ORD-2024-212990</t>
  </si>
  <si>
    <t>ORD-2023-925146</t>
  </si>
  <si>
    <t>ORD-2023-177794</t>
  </si>
  <si>
    <t>ORD-2024-444710</t>
  </si>
  <si>
    <t>ORD-2024-668926</t>
  </si>
  <si>
    <t>ORD-2024-968374</t>
  </si>
  <si>
    <t>ORD-2023-575584</t>
  </si>
  <si>
    <t>ORD-2023-701153</t>
  </si>
  <si>
    <t>ORD-2023-382017</t>
  </si>
  <si>
    <t>ORD-2024-999607</t>
  </si>
  <si>
    <t>ORD-2023-133848</t>
  </si>
  <si>
    <t>ORD-2023-586275</t>
  </si>
  <si>
    <t>ORD-2025-964661</t>
  </si>
  <si>
    <t>ORD-2023-390998</t>
  </si>
  <si>
    <t>ORD-2023-920483</t>
  </si>
  <si>
    <t>ORD-2025-146850</t>
  </si>
  <si>
    <t>ORD-2024-687100</t>
  </si>
  <si>
    <t>ORD-2025-629393</t>
  </si>
  <si>
    <t>ORD-2024-686712</t>
  </si>
  <si>
    <t>ORD-2025-586799</t>
  </si>
  <si>
    <t>ORD-2024-988736</t>
  </si>
  <si>
    <t>ORD-2025-564184</t>
  </si>
  <si>
    <t>ORD-2023-653343</t>
  </si>
  <si>
    <t>ORD-2024-197852</t>
  </si>
  <si>
    <t>ORD-2023-431328</t>
  </si>
  <si>
    <t>ORD-2023-613317</t>
  </si>
  <si>
    <t>ORD-2024-720756</t>
  </si>
  <si>
    <t>ORD-2024-777623</t>
  </si>
  <si>
    <t>ORD-2025-762212</t>
  </si>
  <si>
    <t>ORD-2023-271918</t>
  </si>
  <si>
    <t>ORD-2023-713375</t>
  </si>
  <si>
    <t>ORD-2025-678688</t>
  </si>
  <si>
    <t>ORD-2023-501220</t>
  </si>
  <si>
    <t>ORD-2023-195665</t>
  </si>
  <si>
    <t>ORD-2023-290237</t>
  </si>
  <si>
    <t>ORD-2023-302041</t>
  </si>
  <si>
    <t>ORD-2025-289139</t>
  </si>
  <si>
    <t>ORD-2023-949710</t>
  </si>
  <si>
    <t>ORD-2023-603650</t>
  </si>
  <si>
    <t>ORD-2025-757957</t>
  </si>
  <si>
    <t>ORD-2024-423853</t>
  </si>
  <si>
    <t>ORD-2024-569164</t>
  </si>
  <si>
    <t>ORD-2023-946143</t>
  </si>
  <si>
    <t>ORD-2024-281211</t>
  </si>
  <si>
    <t>ORD-2024-805860</t>
  </si>
  <si>
    <t>ORD-2025-132174</t>
  </si>
  <si>
    <t>ORD-2023-964434</t>
  </si>
  <si>
    <t>ORD-2024-897622</t>
  </si>
  <si>
    <t>ORD-2023-517216</t>
  </si>
  <si>
    <t>ORD-2025-509940</t>
  </si>
  <si>
    <t>ORD-2025-646342</t>
  </si>
  <si>
    <t>ORD-2024-866535</t>
  </si>
  <si>
    <t>ORD-2023-747341</t>
  </si>
  <si>
    <t>ORD-2024-853298</t>
  </si>
  <si>
    <t>ORD-2024-544865</t>
  </si>
  <si>
    <t>ORD-2025-946490</t>
  </si>
  <si>
    <t>ORD-2024-320972</t>
  </si>
  <si>
    <t>ORD-2025-248586</t>
  </si>
  <si>
    <t>ORD-2024-664046</t>
  </si>
  <si>
    <t>ORD-2023-276806</t>
  </si>
  <si>
    <t>ORD-2024-220234</t>
  </si>
  <si>
    <t>ORD-2024-301260</t>
  </si>
  <si>
    <t>ORD-2024-350100</t>
  </si>
  <si>
    <t>ORD-2024-855600</t>
  </si>
  <si>
    <t>ORD-2023-474313</t>
  </si>
  <si>
    <t>ORD-2023-256951</t>
  </si>
  <si>
    <t>ORD-2025-184754</t>
  </si>
  <si>
    <t>ORD-2023-888140</t>
  </si>
  <si>
    <t>ORD-2023-638181</t>
  </si>
  <si>
    <t>ORD-2023-521280</t>
  </si>
  <si>
    <t>ORD-2023-630430</t>
  </si>
  <si>
    <t>ORD-2025-908258</t>
  </si>
  <si>
    <t>ORD-2025-440093</t>
  </si>
  <si>
    <t>ORD-2025-898022</t>
  </si>
  <si>
    <t>ORD-2024-500511</t>
  </si>
  <si>
    <t>ORD-2023-632893</t>
  </si>
  <si>
    <t>ORD-2023-967239</t>
  </si>
  <si>
    <t>ORD-2024-885858</t>
  </si>
  <si>
    <t>ORD-2023-253245</t>
  </si>
  <si>
    <t>ORD-2025-484073</t>
  </si>
  <si>
    <t>ORD-2024-745822</t>
  </si>
  <si>
    <t>ORD-2023-369160</t>
  </si>
  <si>
    <t>ORD-2024-834983</t>
  </si>
  <si>
    <t>ORD-2024-499009</t>
  </si>
  <si>
    <t>ORD-2024-948800</t>
  </si>
  <si>
    <t>ORD-2025-678328</t>
  </si>
  <si>
    <t>ORD-2024-580808</t>
  </si>
  <si>
    <t>ORD-2023-211715</t>
  </si>
  <si>
    <t>ORD-2023-715175</t>
  </si>
  <si>
    <t>ORD-2025-685236</t>
  </si>
  <si>
    <t>ORD-2023-274037</t>
  </si>
  <si>
    <t>ORD-2025-983096</t>
  </si>
  <si>
    <t>ORD-2024-366010</t>
  </si>
  <si>
    <t>ORD-2023-610470</t>
  </si>
  <si>
    <t>ORD-2025-541048</t>
  </si>
  <si>
    <t>ORD-2024-862371</t>
  </si>
  <si>
    <t>ORD-2024-277241</t>
  </si>
  <si>
    <t>ORD-2023-369150</t>
  </si>
  <si>
    <t>ORD-2025-922513</t>
  </si>
  <si>
    <t>ORD-2025-752845</t>
  </si>
  <si>
    <t>ORD-2023-667815</t>
  </si>
  <si>
    <t>ORD-2023-375011</t>
  </si>
  <si>
    <t>ORD-2025-487025</t>
  </si>
  <si>
    <t>ORD-2025-398335</t>
  </si>
  <si>
    <t>ORD-2024-792137</t>
  </si>
  <si>
    <t>ORD-2023-602648</t>
  </si>
  <si>
    <t>ORD-2024-207096</t>
  </si>
  <si>
    <t>ORD-2025-939953</t>
  </si>
  <si>
    <t>ORD-2025-191328</t>
  </si>
  <si>
    <t>ORD-2023-166668</t>
  </si>
  <si>
    <t>ORD-2023-594700</t>
  </si>
  <si>
    <t>ORD-2025-278048</t>
  </si>
  <si>
    <t>ORD-2024-878493</t>
  </si>
  <si>
    <t>ORD-2025-138578</t>
  </si>
  <si>
    <t>ORD-2025-944081</t>
  </si>
  <si>
    <t>ORD-2025-364852</t>
  </si>
  <si>
    <t>ORD-2025-415018</t>
  </si>
  <si>
    <t>ORD-2023-884192</t>
  </si>
  <si>
    <t>ORD-2024-165942</t>
  </si>
  <si>
    <t>ORD-2024-403664</t>
  </si>
  <si>
    <t>ORD-2023-890605</t>
  </si>
  <si>
    <t>ORD-2024-925626</t>
  </si>
  <si>
    <t>ORD-2024-427031</t>
  </si>
  <si>
    <t>ORD-2025-231184</t>
  </si>
  <si>
    <t>ORD-2023-363031</t>
  </si>
  <si>
    <t>ORD-2023-619570</t>
  </si>
  <si>
    <t>ORD-2025-861401</t>
  </si>
  <si>
    <t>ORD-2023-835010</t>
  </si>
  <si>
    <t>ORD-2024-819979</t>
  </si>
  <si>
    <t>ORD-2024-719055</t>
  </si>
  <si>
    <t>ORD-2023-888245</t>
  </si>
  <si>
    <t>ORD-2024-206121</t>
  </si>
  <si>
    <t>ORD-2024-500890</t>
  </si>
  <si>
    <t>ORD-2023-144816</t>
  </si>
  <si>
    <t>ORD-2024-153053</t>
  </si>
  <si>
    <t>ORD-2023-536542</t>
  </si>
  <si>
    <t>ORD-2025-779530</t>
  </si>
  <si>
    <t>ORD-2023-163610</t>
  </si>
  <si>
    <t>ORD-2025-653781</t>
  </si>
  <si>
    <t>ORD-2025-737787</t>
  </si>
  <si>
    <t>ORD-2023-944052</t>
  </si>
  <si>
    <t>ORD-2023-181257</t>
  </si>
  <si>
    <t>ORD-2025-323492</t>
  </si>
  <si>
    <t>ORD-2024-332076</t>
  </si>
  <si>
    <t>ORD-2024-571797</t>
  </si>
  <si>
    <t>ORD-2024-129345</t>
  </si>
  <si>
    <t>ORD-2023-660608</t>
  </si>
  <si>
    <t>ORD-2023-825084</t>
  </si>
  <si>
    <t>ORD-2023-261081</t>
  </si>
  <si>
    <t>ORD-2023-766015</t>
  </si>
  <si>
    <t>ORD-2024-333192</t>
  </si>
  <si>
    <t>ORD-2024-647473</t>
  </si>
  <si>
    <t>ORD-2024-892908</t>
  </si>
  <si>
    <t>ORD-2023-573146</t>
  </si>
  <si>
    <t>ORD-2024-901115</t>
  </si>
  <si>
    <t>ORD-2023-898009</t>
  </si>
  <si>
    <t>ORD-2023-208944</t>
  </si>
  <si>
    <t>ORD-2025-480172</t>
  </si>
  <si>
    <t>ORD-2023-735274</t>
  </si>
  <si>
    <t>ORD-2023-212701</t>
  </si>
  <si>
    <t>ORD-2023-479747</t>
  </si>
  <si>
    <t>ORD-2024-915495</t>
  </si>
  <si>
    <t>ORD-2024-225829</t>
  </si>
  <si>
    <t>ORD-2024-921935</t>
  </si>
  <si>
    <t>ORD-2025-949776</t>
  </si>
  <si>
    <t>ORD-2024-510591</t>
  </si>
  <si>
    <t>ORD-2024-961756</t>
  </si>
  <si>
    <t>ORD-2024-892173</t>
  </si>
  <si>
    <t>ORD-2024-704056</t>
  </si>
  <si>
    <t>ORD-2025-591006</t>
  </si>
  <si>
    <t>ORD-2023-159821</t>
  </si>
  <si>
    <t>ORD-2024-343877</t>
  </si>
  <si>
    <t>ORD-2023-386663</t>
  </si>
  <si>
    <t>ORD-2025-125517</t>
  </si>
  <si>
    <t>ORD-2024-819778</t>
  </si>
  <si>
    <t>ORD-2025-624006</t>
  </si>
  <si>
    <t>ORD-2023-132101</t>
  </si>
  <si>
    <t>ORD-2025-306903</t>
  </si>
  <si>
    <t>ORD-2023-813340</t>
  </si>
  <si>
    <t>ORD-2023-855675</t>
  </si>
  <si>
    <t>ORD-2023-545150</t>
  </si>
  <si>
    <t>ORD-2025-269934</t>
  </si>
  <si>
    <t>ORD-2024-690270</t>
  </si>
  <si>
    <t>ORD-2024-868223</t>
  </si>
  <si>
    <t>ORD-2025-188059</t>
  </si>
  <si>
    <t>ORD-2023-281890</t>
  </si>
  <si>
    <t>ORD-2025-636162</t>
  </si>
  <si>
    <t>ORD-2025-915869</t>
  </si>
  <si>
    <t>ORD-2025-192876</t>
  </si>
  <si>
    <t>ORD-2025-822030</t>
  </si>
  <si>
    <t>ORD-2025-789245</t>
  </si>
  <si>
    <t>ORD-2023-594955</t>
  </si>
  <si>
    <t>ORD-2024-398783</t>
  </si>
  <si>
    <t>ORD-2023-676553</t>
  </si>
  <si>
    <t>ORD-2025-866565</t>
  </si>
  <si>
    <t>ORD-2024-527858</t>
  </si>
  <si>
    <t>ORD-2023-619385</t>
  </si>
  <si>
    <t>ORD-2023-835226</t>
  </si>
  <si>
    <t>ORD-2025-485946</t>
  </si>
  <si>
    <t>ORD-2024-307849</t>
  </si>
  <si>
    <t>ORD-2023-368449</t>
  </si>
  <si>
    <t>ORD-2024-251426</t>
  </si>
  <si>
    <t>ORD-2023-927385</t>
  </si>
  <si>
    <t>ORD-2025-486350</t>
  </si>
  <si>
    <t>ORD-2025-677880</t>
  </si>
  <si>
    <t>ORD-2024-102866</t>
  </si>
  <si>
    <t>ORD-2025-588029</t>
  </si>
  <si>
    <t>ORD-2024-972999</t>
  </si>
  <si>
    <t>ORD-2025-608069</t>
  </si>
  <si>
    <t>ORD-2024-626750</t>
  </si>
  <si>
    <t>ORD-2024-170021</t>
  </si>
  <si>
    <t>ORD-2024-678110</t>
  </si>
  <si>
    <t>ORD-2025-909340</t>
  </si>
  <si>
    <t>ORD-2023-854471</t>
  </si>
  <si>
    <t>ORD-2024-390951</t>
  </si>
  <si>
    <t>ORD-2025-881624</t>
  </si>
  <si>
    <t>ORD-2025-512310</t>
  </si>
  <si>
    <t>ORD-2023-674887</t>
  </si>
  <si>
    <t>ORD-2024-542244</t>
  </si>
  <si>
    <t>ORD-2024-375848</t>
  </si>
  <si>
    <t>ORD-2023-933238</t>
  </si>
  <si>
    <t>ORD-2023-732585</t>
  </si>
  <si>
    <t>ORD-2024-465898</t>
  </si>
  <si>
    <t>ORD-2023-987081</t>
  </si>
  <si>
    <t>ORD-2024-655710</t>
  </si>
  <si>
    <t>ORD-2025-411385</t>
  </si>
  <si>
    <t>ORD-2025-222035</t>
  </si>
  <si>
    <t>ORD-2024-749242</t>
  </si>
  <si>
    <t>ORD-2023-623293</t>
  </si>
  <si>
    <t>ORD-2025-276968</t>
  </si>
  <si>
    <t>ORD-2025-650841</t>
  </si>
  <si>
    <t>ORD-2025-831576</t>
  </si>
  <si>
    <t>ORD-2024-468655</t>
  </si>
  <si>
    <t>ORD-2024-515105</t>
  </si>
  <si>
    <t>ORD-2025-803803</t>
  </si>
  <si>
    <t>ORD-2024-993481</t>
  </si>
  <si>
    <t>ORD-2024-811752</t>
  </si>
  <si>
    <t>ORD-2025-673091</t>
  </si>
  <si>
    <t>ORD-2024-381197</t>
  </si>
  <si>
    <t>ORD-2024-651852</t>
  </si>
  <si>
    <t>ORD-2023-659070</t>
  </si>
  <si>
    <t>ORD-2024-837651</t>
  </si>
  <si>
    <t>ORD-2024-581530</t>
  </si>
  <si>
    <t>ORD-2023-378104</t>
  </si>
  <si>
    <t>ORD-2024-972318</t>
  </si>
  <si>
    <t>ORD-2023-752962</t>
  </si>
  <si>
    <t>ORD-2023-808024</t>
  </si>
  <si>
    <t>ORD-2023-156396</t>
  </si>
  <si>
    <t>ORD-2023-184577</t>
  </si>
  <si>
    <t>ORD-2024-446030</t>
  </si>
  <si>
    <t>ORD-2023-842820</t>
  </si>
  <si>
    <t>ORD-2024-745424</t>
  </si>
  <si>
    <t>ORD-2024-510520</t>
  </si>
  <si>
    <t>ORD-2023-769774</t>
  </si>
  <si>
    <t>ORD-2023-580751</t>
  </si>
  <si>
    <t>ORD-2025-473192</t>
  </si>
  <si>
    <t>ORD-2024-886939</t>
  </si>
  <si>
    <t>ORD-2024-566589</t>
  </si>
  <si>
    <t>ORD-2023-109927</t>
  </si>
  <si>
    <t>ORD-2023-780206</t>
  </si>
  <si>
    <t>ORD-2024-851993</t>
  </si>
  <si>
    <t>ORD-2025-417942</t>
  </si>
  <si>
    <t>ORD-2023-172095</t>
  </si>
  <si>
    <t>ORD-2024-257550</t>
  </si>
  <si>
    <t>ORD-2023-581799</t>
  </si>
  <si>
    <t>ORD-2023-880296</t>
  </si>
  <si>
    <t>ORD-2023-191563</t>
  </si>
  <si>
    <t>ORD-2024-202166</t>
  </si>
  <si>
    <t>ORD-2023-539967</t>
  </si>
  <si>
    <t>ORD-2023-704111</t>
  </si>
  <si>
    <t>ORD-2024-356812</t>
  </si>
  <si>
    <t>ORD-2025-306251</t>
  </si>
  <si>
    <t>ORD-2025-496178</t>
  </si>
  <si>
    <t>ORD-2024-508213</t>
  </si>
  <si>
    <t>ORD-2024-787018</t>
  </si>
  <si>
    <t>ORD-2023-728177</t>
  </si>
  <si>
    <t>ORD-2025-795385</t>
  </si>
  <si>
    <t>ORD-2025-947929</t>
  </si>
  <si>
    <t>ORD-2023-931633</t>
  </si>
  <si>
    <t>ORD-2023-243704</t>
  </si>
  <si>
    <t>ORD-2025-779659</t>
  </si>
  <si>
    <t>ORD-2024-647571</t>
  </si>
  <si>
    <t>ORD-2025-683043</t>
  </si>
  <si>
    <t>ORD-2023-588455</t>
  </si>
  <si>
    <t>ORD-2024-641220</t>
  </si>
  <si>
    <t>ORD-2023-799597</t>
  </si>
  <si>
    <t>ORD-2023-569862</t>
  </si>
  <si>
    <t>ORD-2023-609394</t>
  </si>
  <si>
    <t>ORD-2024-105586</t>
  </si>
  <si>
    <t>ORD-2024-207792</t>
  </si>
  <si>
    <t>ORD-2025-417336</t>
  </si>
  <si>
    <t>ORD-2025-252117</t>
  </si>
  <si>
    <t>ORD-2023-867175</t>
  </si>
  <si>
    <t>ORD-2024-382152</t>
  </si>
  <si>
    <t>ORD-2023-597666</t>
  </si>
  <si>
    <t>ORD-2024-371409</t>
  </si>
  <si>
    <t>ORD-2024-973420</t>
  </si>
  <si>
    <t>ORD-2025-254721</t>
  </si>
  <si>
    <t>ORD-2024-247032</t>
  </si>
  <si>
    <t>ORD-2024-792353</t>
  </si>
  <si>
    <t>ORD-2025-703623</t>
  </si>
  <si>
    <t>ORD-2024-516704</t>
  </si>
  <si>
    <t>ORD-2024-578646</t>
  </si>
  <si>
    <t>ORD-2024-433936</t>
  </si>
  <si>
    <t>ORD-2023-434071</t>
  </si>
  <si>
    <t>ORD-2024-728474</t>
  </si>
  <si>
    <t>ORD-2023-406606</t>
  </si>
  <si>
    <t>ORD-2025-823055</t>
  </si>
  <si>
    <t>ORD-2023-573656</t>
  </si>
  <si>
    <t>ORD-2024-567435</t>
  </si>
  <si>
    <t>ORD-2023-744942</t>
  </si>
  <si>
    <t>ORD-2025-331237</t>
  </si>
  <si>
    <t>ORD-2025-680118</t>
  </si>
  <si>
    <t>ORD-2024-310809</t>
  </si>
  <si>
    <t>ORD-2025-474368</t>
  </si>
  <si>
    <t>ORD-2024-732543</t>
  </si>
  <si>
    <t>ORD-2023-867166</t>
  </si>
  <si>
    <t>ORD-2024-776337</t>
  </si>
  <si>
    <t>ORD-2023-913592</t>
  </si>
  <si>
    <t>ORD-2024-961501</t>
  </si>
  <si>
    <t>ORD-2024-964950</t>
  </si>
  <si>
    <t>ORD-2023-349264</t>
  </si>
  <si>
    <t>ORD-2025-137394</t>
  </si>
  <si>
    <t>ORD-2025-635337</t>
  </si>
  <si>
    <t>ORD-2023-568013</t>
  </si>
  <si>
    <t>ORD-2025-828263</t>
  </si>
  <si>
    <t>ORD-2024-402240</t>
  </si>
  <si>
    <t>ORD-2023-125739</t>
  </si>
  <si>
    <t>ORD-2024-892879</t>
  </si>
  <si>
    <t>ORD-2023-472050</t>
  </si>
  <si>
    <t>ORD-2024-468615</t>
  </si>
  <si>
    <t>ORD-2024-833375</t>
  </si>
  <si>
    <t>ORD-2024-206311</t>
  </si>
  <si>
    <t>ORD-2024-364080</t>
  </si>
  <si>
    <t>ORD-2025-460466</t>
  </si>
  <si>
    <t>ORD-2023-700699</t>
  </si>
  <si>
    <t>ORD-2024-713332</t>
  </si>
  <si>
    <t>ORD-2023-640022</t>
  </si>
  <si>
    <t>ORD-2024-532184</t>
  </si>
  <si>
    <t>ORD-2025-926547</t>
  </si>
  <si>
    <t>ORD-2025-778145</t>
  </si>
  <si>
    <t>ORD-2023-525643</t>
  </si>
  <si>
    <t>ORD-2025-312803</t>
  </si>
  <si>
    <t>ORD-2025-149156</t>
  </si>
  <si>
    <t>ORD-2023-215819</t>
  </si>
  <si>
    <t>ORD-2024-353078</t>
  </si>
  <si>
    <t>ORD-2023-621393</t>
  </si>
  <si>
    <t>ORD-2023-974506</t>
  </si>
  <si>
    <t>ORD-2023-811823</t>
  </si>
  <si>
    <t>ORD-2023-286720</t>
  </si>
  <si>
    <t>ORD-2024-626925</t>
  </si>
  <si>
    <t>ORD-2023-960380</t>
  </si>
  <si>
    <t>ORD-2023-453699</t>
  </si>
  <si>
    <t>ORD-2025-960931</t>
  </si>
  <si>
    <t>ORD-2024-419248</t>
  </si>
  <si>
    <t>ORD-2023-488227</t>
  </si>
  <si>
    <t>ORD-2023-472078</t>
  </si>
  <si>
    <t>ORD-2024-202877</t>
  </si>
  <si>
    <t>ORD-2024-140633</t>
  </si>
  <si>
    <t>ORD-2025-419532</t>
  </si>
  <si>
    <t>ORD-2023-139236</t>
  </si>
  <si>
    <t>ORD-2025-337268</t>
  </si>
  <si>
    <t>ORD-2025-332931</t>
  </si>
  <si>
    <t>ORD-2024-536442</t>
  </si>
  <si>
    <t>ORD-2023-957692</t>
  </si>
  <si>
    <t>ORD-2025-874124</t>
  </si>
  <si>
    <t>ORD-2024-687073</t>
  </si>
  <si>
    <t>ORD-2024-555229</t>
  </si>
  <si>
    <t>ORD-2024-872291</t>
  </si>
  <si>
    <t>ORD-2024-250862</t>
  </si>
  <si>
    <t>ORD-2024-331226</t>
  </si>
  <si>
    <t>ORD-2023-356427</t>
  </si>
  <si>
    <t>ORD-2025-659650</t>
  </si>
  <si>
    <t>ORD-2024-207669</t>
  </si>
  <si>
    <t>ORD-2024-979401</t>
  </si>
  <si>
    <t>ORD-2025-929414</t>
  </si>
  <si>
    <t>ORD-2024-766980</t>
  </si>
  <si>
    <t>ORD-2024-437164</t>
  </si>
  <si>
    <t>ORD-2025-169093</t>
  </si>
  <si>
    <t>ORD-2023-868460</t>
  </si>
  <si>
    <t>ORD-2025-177994</t>
  </si>
  <si>
    <t>ORD-2024-355095</t>
  </si>
  <si>
    <t>ORD-2023-126505</t>
  </si>
  <si>
    <t>ORD-2023-340056</t>
  </si>
  <si>
    <t>ORD-2025-281413</t>
  </si>
  <si>
    <t>ORD-2023-713614</t>
  </si>
  <si>
    <t>ORD-2023-173313</t>
  </si>
  <si>
    <t>ORD-2024-496601</t>
  </si>
  <si>
    <t>ORD-2025-155182</t>
  </si>
  <si>
    <t>ORD-2023-244375</t>
  </si>
  <si>
    <t>ORD-2023-856322</t>
  </si>
  <si>
    <t>ORD-2024-594527</t>
  </si>
  <si>
    <t>ORD-2024-689872</t>
  </si>
  <si>
    <t>ORD-2025-246692</t>
  </si>
  <si>
    <t>ORD-2023-378676</t>
  </si>
  <si>
    <t>ORD-2024-243988</t>
  </si>
  <si>
    <t>ORD-2024-572312</t>
  </si>
  <si>
    <t>ORD-2025-281062</t>
  </si>
  <si>
    <t>ORD-2023-727290</t>
  </si>
  <si>
    <t>ORD-2025-993993</t>
  </si>
  <si>
    <t>ORD-2023-619493</t>
  </si>
  <si>
    <t>ORD-2024-947056</t>
  </si>
  <si>
    <t>ORD-2025-856556</t>
  </si>
  <si>
    <t>ORD-2024-442776</t>
  </si>
  <si>
    <t>ORD-2025-705398</t>
  </si>
  <si>
    <t>ORD-2023-689428</t>
  </si>
  <si>
    <t>ORD-2025-683247</t>
  </si>
  <si>
    <t>ORD-2024-585443</t>
  </si>
  <si>
    <t>ORD-2024-907733</t>
  </si>
  <si>
    <t>ORD-2024-550400</t>
  </si>
  <si>
    <t>ORD-2025-189846</t>
  </si>
  <si>
    <t>ORD-2025-752192</t>
  </si>
  <si>
    <t>ORD-2023-294716</t>
  </si>
  <si>
    <t>ORD-2023-552115</t>
  </si>
  <si>
    <t>ORD-2023-107265</t>
  </si>
  <si>
    <t>ORD-2025-262434</t>
  </si>
  <si>
    <t>ORD-2024-266562</t>
  </si>
  <si>
    <t>ORD-2024-838925</t>
  </si>
  <si>
    <t>ORD-2023-664790</t>
  </si>
  <si>
    <t>ORD-2024-331408</t>
  </si>
  <si>
    <t>ORD-2024-741404</t>
  </si>
  <si>
    <t>ORD-2024-341535</t>
  </si>
  <si>
    <t>ORD-2023-451931</t>
  </si>
  <si>
    <t>ORD-2025-532859</t>
  </si>
  <si>
    <t>ORD-2023-502205</t>
  </si>
  <si>
    <t>ORD-2024-930679</t>
  </si>
  <si>
    <t>ORD-2025-150713</t>
  </si>
  <si>
    <t>ORD-2024-756884</t>
  </si>
  <si>
    <t>ORD-2023-755337</t>
  </si>
  <si>
    <t>ORD-2025-907040</t>
  </si>
  <si>
    <t>ORD-2024-817997</t>
  </si>
  <si>
    <t>ORD-2025-649633</t>
  </si>
  <si>
    <t>ORD-2023-885216</t>
  </si>
  <si>
    <t>ORD-2023-561823</t>
  </si>
  <si>
    <t>ORD-2023-249805</t>
  </si>
  <si>
    <t>ORD-2023-548934</t>
  </si>
  <si>
    <t>ORD-2023-921939</t>
  </si>
  <si>
    <t>ORD-2023-961864</t>
  </si>
  <si>
    <t>ORD-2023-455933</t>
  </si>
  <si>
    <t>ORD-2025-728935</t>
  </si>
  <si>
    <t>Africa</t>
  </si>
  <si>
    <t>Asia</t>
  </si>
  <si>
    <t>Americas</t>
  </si>
  <si>
    <t>Europe</t>
  </si>
  <si>
    <t>Kenya</t>
  </si>
  <si>
    <t>Nigeria</t>
  </si>
  <si>
    <t>Japan</t>
  </si>
  <si>
    <t>Canada</t>
  </si>
  <si>
    <t>India</t>
  </si>
  <si>
    <t>Brazil</t>
  </si>
  <si>
    <t>Germany</t>
  </si>
  <si>
    <t>France</t>
  </si>
  <si>
    <t>United Kingdom</t>
  </si>
  <si>
    <t>China</t>
  </si>
  <si>
    <t>USA</t>
  </si>
  <si>
    <t>South Africa</t>
  </si>
  <si>
    <t>Kisumu</t>
  </si>
  <si>
    <t>Port Harcourt</t>
  </si>
  <si>
    <t>Nairobi</t>
  </si>
  <si>
    <t>Lagos</t>
  </si>
  <si>
    <t>Osaka</t>
  </si>
  <si>
    <t>Toronto</t>
  </si>
  <si>
    <t>Bengaluru</t>
  </si>
  <si>
    <t>Abuja</t>
  </si>
  <si>
    <t>São Paulo</t>
  </si>
  <si>
    <t>Berlin</t>
  </si>
  <si>
    <t>Brasília</t>
  </si>
  <si>
    <t>Marseille</t>
  </si>
  <si>
    <t>Birmingham</t>
  </si>
  <si>
    <t>Mombasa</t>
  </si>
  <si>
    <t>Shenzhen</t>
  </si>
  <si>
    <t>Chicago</t>
  </si>
  <si>
    <t>Nakuru</t>
  </si>
  <si>
    <t>Lyon</t>
  </si>
  <si>
    <t>Delhi</t>
  </si>
  <si>
    <t>Montreal</t>
  </si>
  <si>
    <t>Johannesburg</t>
  </si>
  <si>
    <t>London</t>
  </si>
  <si>
    <t>Munich</t>
  </si>
  <si>
    <t>Shanghai</t>
  </si>
  <si>
    <t>San Francisco</t>
  </si>
  <si>
    <t>Durban</t>
  </si>
  <si>
    <t>Vancouver</t>
  </si>
  <si>
    <t>Tokyo</t>
  </si>
  <si>
    <t>Paris</t>
  </si>
  <si>
    <t>Mumbai</t>
  </si>
  <si>
    <t>Rio de Janeiro</t>
  </si>
  <si>
    <t>Manchester</t>
  </si>
  <si>
    <t>Nagoya</t>
  </si>
  <si>
    <t>Cape Town</t>
  </si>
  <si>
    <t>Hyderabad</t>
  </si>
  <si>
    <t>Austin</t>
  </si>
  <si>
    <t>Frankfurt</t>
  </si>
  <si>
    <t>Beijing</t>
  </si>
  <si>
    <t>New York</t>
  </si>
  <si>
    <t>Corporate</t>
  </si>
  <si>
    <t>Education</t>
  </si>
  <si>
    <t>Non-Profit</t>
  </si>
  <si>
    <t>Consumer</t>
  </si>
  <si>
    <t>Small Business</t>
  </si>
  <si>
    <t>Enterprise</t>
  </si>
  <si>
    <t>Retail</t>
  </si>
  <si>
    <t>Online</t>
  </si>
  <si>
    <t>Marketplace</t>
  </si>
  <si>
    <t>Distributor</t>
  </si>
  <si>
    <t>Direct</t>
  </si>
  <si>
    <t>C. Otieno</t>
  </si>
  <si>
    <t>J. Njeri</t>
  </si>
  <si>
    <t>I. Johnson</t>
  </si>
  <si>
    <t>G. Dubois</t>
  </si>
  <si>
    <t>L. Okafor</t>
  </si>
  <si>
    <t>B. Chen</t>
  </si>
  <si>
    <t>E. Garcia</t>
  </si>
  <si>
    <t>O. Wang</t>
  </si>
  <si>
    <t>A. Patel</t>
  </si>
  <si>
    <t>F. Müller</t>
  </si>
  <si>
    <t>H. Kim</t>
  </si>
  <si>
    <t>K. Singh</t>
  </si>
  <si>
    <t>M. Rossi</t>
  </si>
  <si>
    <t>N. Brown</t>
  </si>
  <si>
    <t>D. Smith</t>
  </si>
  <si>
    <t>Components</t>
  </si>
  <si>
    <t>Printers</t>
  </si>
  <si>
    <t>Networking</t>
  </si>
  <si>
    <t>Phones</t>
  </si>
  <si>
    <t>Laptops</t>
  </si>
  <si>
    <t>Monitors</t>
  </si>
  <si>
    <t>Accessories</t>
  </si>
  <si>
    <t>CMP-8270</t>
  </si>
  <si>
    <t>PRN-9322</t>
  </si>
  <si>
    <t>NET-9666</t>
  </si>
  <si>
    <t>PHN-4556</t>
  </si>
  <si>
    <t>PRN-8041</t>
  </si>
  <si>
    <t>LAP-8555</t>
  </si>
  <si>
    <t>MON-8629</t>
  </si>
  <si>
    <t>PRN-6276</t>
  </si>
  <si>
    <t>MON-6892</t>
  </si>
  <si>
    <t>CMP-3731</t>
  </si>
  <si>
    <t>ACC-7938</t>
  </si>
  <si>
    <t>PHN-7019</t>
  </si>
  <si>
    <t>CMP-3693</t>
  </si>
  <si>
    <t>PRN-8392</t>
  </si>
  <si>
    <t>ACC-1663</t>
  </si>
  <si>
    <t>LAP-1698</t>
  </si>
  <si>
    <t>PRN-6791</t>
  </si>
  <si>
    <t>PHN-1197</t>
  </si>
  <si>
    <t>ACC-8098</t>
  </si>
  <si>
    <t>LAP-3385</t>
  </si>
  <si>
    <t>LAP-9815</t>
  </si>
  <si>
    <t>NET-3255</t>
  </si>
  <si>
    <t>ACC-3961</t>
  </si>
  <si>
    <t>LAP-4987</t>
  </si>
  <si>
    <t>CMP-2693</t>
  </si>
  <si>
    <t>ACC-8683</t>
  </si>
  <si>
    <t>PRN-4170</t>
  </si>
  <si>
    <t>PHN-6854</t>
  </si>
  <si>
    <t>PHN-1784</t>
  </si>
  <si>
    <t>NET-9716</t>
  </si>
  <si>
    <t>CMP-6919</t>
  </si>
  <si>
    <t>PHN-4854</t>
  </si>
  <si>
    <t>NET-7966</t>
  </si>
  <si>
    <t>LAP-9932</t>
  </si>
  <si>
    <t>CMP-1559</t>
  </si>
  <si>
    <t>PRN-4506</t>
  </si>
  <si>
    <t>CMP-7617</t>
  </si>
  <si>
    <t>CMP-8390</t>
  </si>
  <si>
    <t>PRN-7303</t>
  </si>
  <si>
    <t>PRN-6536</t>
  </si>
  <si>
    <t>MON-9967</t>
  </si>
  <si>
    <t>NET-1412</t>
  </si>
  <si>
    <t>PRN-3143</t>
  </si>
  <si>
    <t>PRN-9787</t>
  </si>
  <si>
    <t>CMP-5946</t>
  </si>
  <si>
    <t>NET-2062</t>
  </si>
  <si>
    <t>PRN-2542</t>
  </si>
  <si>
    <t>NET-2365</t>
  </si>
  <si>
    <t>NET-5268</t>
  </si>
  <si>
    <t>PRN-1504</t>
  </si>
  <si>
    <t>ACC-6348</t>
  </si>
  <si>
    <t>MON-4330</t>
  </si>
  <si>
    <t>LAP-7819</t>
  </si>
  <si>
    <t>LAP-3779</t>
  </si>
  <si>
    <t>NET-9989</t>
  </si>
  <si>
    <t>MON-4925</t>
  </si>
  <si>
    <t>LAP-6989</t>
  </si>
  <si>
    <t>ACC-5780</t>
  </si>
  <si>
    <t>ACC-1770</t>
  </si>
  <si>
    <t>ACC-2252</t>
  </si>
  <si>
    <t>CMP-8002</t>
  </si>
  <si>
    <t>CMP-6971</t>
  </si>
  <si>
    <t>PHN-8350</t>
  </si>
  <si>
    <t>MON-5188</t>
  </si>
  <si>
    <t>LAP-3393</t>
  </si>
  <si>
    <t>PHN-4644</t>
  </si>
  <si>
    <t>ACC-9150</t>
  </si>
  <si>
    <t>MON-6870</t>
  </si>
  <si>
    <t>MON-2296</t>
  </si>
  <si>
    <t>CMP-7371</t>
  </si>
  <si>
    <t>ACC-2761</t>
  </si>
  <si>
    <t>LAP-4517</t>
  </si>
  <si>
    <t>LAP-8489</t>
  </si>
  <si>
    <t>NET-1846</t>
  </si>
  <si>
    <t>CMP-5208</t>
  </si>
  <si>
    <t>CMP-1009</t>
  </si>
  <si>
    <t>ACC-4490</t>
  </si>
  <si>
    <t>ACC-9162</t>
  </si>
  <si>
    <t>CMP-5820</t>
  </si>
  <si>
    <t>MON-7943</t>
  </si>
  <si>
    <t>NET-5018</t>
  </si>
  <si>
    <t>PRN-9669</t>
  </si>
  <si>
    <t>CMP-2865</t>
  </si>
  <si>
    <t>MON-3371</t>
  </si>
  <si>
    <t>NET-7166</t>
  </si>
  <si>
    <t>CMP-4531</t>
  </si>
  <si>
    <t>CMP-8196</t>
  </si>
  <si>
    <t>CMP-2854</t>
  </si>
  <si>
    <t>MON-8973</t>
  </si>
  <si>
    <t>MON-2990</t>
  </si>
  <si>
    <t>NET-1966</t>
  </si>
  <si>
    <t>PHN-3482</t>
  </si>
  <si>
    <t>PRN-6490</t>
  </si>
  <si>
    <t>ACC-9038</t>
  </si>
  <si>
    <t>PHN-6954</t>
  </si>
  <si>
    <t>PRN-8970</t>
  </si>
  <si>
    <t>MON-1822</t>
  </si>
  <si>
    <t>ACC-5177</t>
  </si>
  <si>
    <t>NET-1804</t>
  </si>
  <si>
    <t>LAP-3679</t>
  </si>
  <si>
    <t>PHN-8368</t>
  </si>
  <si>
    <t>CMP-8141</t>
  </si>
  <si>
    <t>LAP-7136</t>
  </si>
  <si>
    <t>ACC-2386</t>
  </si>
  <si>
    <t>LAP-5150</t>
  </si>
  <si>
    <t>CMP-8101</t>
  </si>
  <si>
    <t>PHN-8970</t>
  </si>
  <si>
    <t>PHN-2341</t>
  </si>
  <si>
    <t>NET-6387</t>
  </si>
  <si>
    <t>ACC-9820</t>
  </si>
  <si>
    <t>CMP-6392</t>
  </si>
  <si>
    <t>LAP-9230</t>
  </si>
  <si>
    <t>NET-4241</t>
  </si>
  <si>
    <t>ACC-4511</t>
  </si>
  <si>
    <t>NET-3033</t>
  </si>
  <si>
    <t>MON-2828</t>
  </si>
  <si>
    <t>PRN-6429</t>
  </si>
  <si>
    <t>LAP-8214</t>
  </si>
  <si>
    <t>MON-9194</t>
  </si>
  <si>
    <t>LAP-2218</t>
  </si>
  <si>
    <t>NET-6370</t>
  </si>
  <si>
    <t>MON-3745</t>
  </si>
  <si>
    <t>PHN-7924</t>
  </si>
  <si>
    <t>NET-8561</t>
  </si>
  <si>
    <t>CMP-2136</t>
  </si>
  <si>
    <t>CMP-6352</t>
  </si>
  <si>
    <t>CMP-2040</t>
  </si>
  <si>
    <t>CMP-6346</t>
  </si>
  <si>
    <t>PHN-4356</t>
  </si>
  <si>
    <t>NET-4155</t>
  </si>
  <si>
    <t>MON-5179</t>
  </si>
  <si>
    <t>ACC-4056</t>
  </si>
  <si>
    <t>LAP-9782</t>
  </si>
  <si>
    <t>PHN-2875</t>
  </si>
  <si>
    <t>PRN-4788</t>
  </si>
  <si>
    <t>MON-3043</t>
  </si>
  <si>
    <t>CMP-3720</t>
  </si>
  <si>
    <t>PHN-8014</t>
  </si>
  <si>
    <t>PRN-4911</t>
  </si>
  <si>
    <t>ACC-1021</t>
  </si>
  <si>
    <t>MON-2266</t>
  </si>
  <si>
    <t>PHN-8057</t>
  </si>
  <si>
    <t>ACC-7078</t>
  </si>
  <si>
    <t>PRN-4453</t>
  </si>
  <si>
    <t>NET-2394</t>
  </si>
  <si>
    <t>LAP-1525</t>
  </si>
  <si>
    <t>LAP-3278</t>
  </si>
  <si>
    <t>ACC-6543</t>
  </si>
  <si>
    <t>PRN-4432</t>
  </si>
  <si>
    <t>PHN-4568</t>
  </si>
  <si>
    <t>PRN-6178</t>
  </si>
  <si>
    <t>LAP-6342</t>
  </si>
  <si>
    <t>PRN-8175</t>
  </si>
  <si>
    <t>PRN-7089</t>
  </si>
  <si>
    <t>ACC-4124</t>
  </si>
  <si>
    <t>NET-7924</t>
  </si>
  <si>
    <t>NET-8761</t>
  </si>
  <si>
    <t>CMP-3875</t>
  </si>
  <si>
    <t>ACC-3989</t>
  </si>
  <si>
    <t>PHN-9234</t>
  </si>
  <si>
    <t>MON-9906</t>
  </si>
  <si>
    <t>CMP-4610</t>
  </si>
  <si>
    <t>PHN-5445</t>
  </si>
  <si>
    <t>MON-9227</t>
  </si>
  <si>
    <t>PRN-4097</t>
  </si>
  <si>
    <t>MON-6699</t>
  </si>
  <si>
    <t>LAP-1482</t>
  </si>
  <si>
    <t>MON-2100</t>
  </si>
  <si>
    <t>MON-7602</t>
  </si>
  <si>
    <t>CMP-1072</t>
  </si>
  <si>
    <t>ACC-2735</t>
  </si>
  <si>
    <t>CMP-5211</t>
  </si>
  <si>
    <t>CMP-1632</t>
  </si>
  <si>
    <t>LAP-7099</t>
  </si>
  <si>
    <t>PRN-3785</t>
  </si>
  <si>
    <t>MON-6962</t>
  </si>
  <si>
    <t>PRN-5107</t>
  </si>
  <si>
    <t>CMP-9264</t>
  </si>
  <si>
    <t>MON-5259</t>
  </si>
  <si>
    <t>PRN-8137</t>
  </si>
  <si>
    <t>ACC-6777</t>
  </si>
  <si>
    <t>PHN-7488</t>
  </si>
  <si>
    <t>ACC-9591</t>
  </si>
  <si>
    <t>MON-5517</t>
  </si>
  <si>
    <t>MON-8758</t>
  </si>
  <si>
    <t>ACC-3385</t>
  </si>
  <si>
    <t>MON-1593</t>
  </si>
  <si>
    <t>ACC-4631</t>
  </si>
  <si>
    <t>MON-7869</t>
  </si>
  <si>
    <t>MON-4271</t>
  </si>
  <si>
    <t>LAP-5531</t>
  </si>
  <si>
    <t>MON-7511</t>
  </si>
  <si>
    <t>LAP-7979</t>
  </si>
  <si>
    <t>PRN-4983</t>
  </si>
  <si>
    <t>NET-5941</t>
  </si>
  <si>
    <t>MON-6341</t>
  </si>
  <si>
    <t>PHN-9789</t>
  </si>
  <si>
    <t>PHN-5082</t>
  </si>
  <si>
    <t>NET-3460</t>
  </si>
  <si>
    <t>PRN-7019</t>
  </si>
  <si>
    <t>PHN-3159</t>
  </si>
  <si>
    <t>PRN-8604</t>
  </si>
  <si>
    <t>PHN-2013</t>
  </si>
  <si>
    <t>NET-6036</t>
  </si>
  <si>
    <t>MON-4959</t>
  </si>
  <si>
    <t>MON-1663</t>
  </si>
  <si>
    <t>CMP-7256</t>
  </si>
  <si>
    <t>ACC-1659</t>
  </si>
  <si>
    <t>PRN-6068</t>
  </si>
  <si>
    <t>ACC-8999</t>
  </si>
  <si>
    <t>CMP-3978</t>
  </si>
  <si>
    <t>MON-7868</t>
  </si>
  <si>
    <t>PRN-3014</t>
  </si>
  <si>
    <t>PHN-1671</t>
  </si>
  <si>
    <t>ACC-5260</t>
  </si>
  <si>
    <t>NET-7588</t>
  </si>
  <si>
    <t>MON-1572</t>
  </si>
  <si>
    <t>MON-2537</t>
  </si>
  <si>
    <t>PRN-5666</t>
  </si>
  <si>
    <t>PRN-2749</t>
  </si>
  <si>
    <t>CMP-4970</t>
  </si>
  <si>
    <t>ACC-3551</t>
  </si>
  <si>
    <t>CMP-7063</t>
  </si>
  <si>
    <t>NET-1612</t>
  </si>
  <si>
    <t>LAP-9766</t>
  </si>
  <si>
    <t>PHN-7274</t>
  </si>
  <si>
    <t>NET-1645</t>
  </si>
  <si>
    <t>ACC-5079</t>
  </si>
  <si>
    <t>PRN-2098</t>
  </si>
  <si>
    <t>PRN-7049</t>
  </si>
  <si>
    <t>CMP-6925</t>
  </si>
  <si>
    <t>PHN-2787</t>
  </si>
  <si>
    <t>PRN-1141</t>
  </si>
  <si>
    <t>MON-5249</t>
  </si>
  <si>
    <t>CMP-8230</t>
  </si>
  <si>
    <t>PRN-7816</t>
  </si>
  <si>
    <t>PHN-8804</t>
  </si>
  <si>
    <t>CMP-8851</t>
  </si>
  <si>
    <t>PHN-2447</t>
  </si>
  <si>
    <t>LAP-2846</t>
  </si>
  <si>
    <t>PRN-5005</t>
  </si>
  <si>
    <t>PHN-3800</t>
  </si>
  <si>
    <t>LAP-4828</t>
  </si>
  <si>
    <t>PRN-5492</t>
  </si>
  <si>
    <t>PHN-7132</t>
  </si>
  <si>
    <t>PHN-4741</t>
  </si>
  <si>
    <t>LAP-2774</t>
  </si>
  <si>
    <t>MON-2842</t>
  </si>
  <si>
    <t>NET-2628</t>
  </si>
  <si>
    <t>MON-2998</t>
  </si>
  <si>
    <t>CMP-7563</t>
  </si>
  <si>
    <t>LAP-6160</t>
  </si>
  <si>
    <t>MON-4361</t>
  </si>
  <si>
    <t>PRN-2829</t>
  </si>
  <si>
    <t>MON-8939</t>
  </si>
  <si>
    <t>LAP-5009</t>
  </si>
  <si>
    <t>CMP-4807</t>
  </si>
  <si>
    <t>NET-2439</t>
  </si>
  <si>
    <t>MON-7626</t>
  </si>
  <si>
    <t>ACC-3567</t>
  </si>
  <si>
    <t>CMP-4630</t>
  </si>
  <si>
    <t>ACC-1882</t>
  </si>
  <si>
    <t>NET-9125</t>
  </si>
  <si>
    <t>PHN-3819</t>
  </si>
  <si>
    <t>LAP-3490</t>
  </si>
  <si>
    <t>PRN-1276</t>
  </si>
  <si>
    <t>MON-9733</t>
  </si>
  <si>
    <t>CMP-9392</t>
  </si>
  <si>
    <t>PHN-3014</t>
  </si>
  <si>
    <t>PRN-6776</t>
  </si>
  <si>
    <t>ACC-3951</t>
  </si>
  <si>
    <t>MON-1436</t>
  </si>
  <si>
    <t>MON-8651</t>
  </si>
  <si>
    <t>MON-3307</t>
  </si>
  <si>
    <t>PRN-8758</t>
  </si>
  <si>
    <t>LAP-7056</t>
  </si>
  <si>
    <t>NET-5523</t>
  </si>
  <si>
    <t>ACC-8094</t>
  </si>
  <si>
    <t>PHN-6832</t>
  </si>
  <si>
    <t>LAP-2378</t>
  </si>
  <si>
    <t>MON-5424</t>
  </si>
  <si>
    <t>NET-8430</t>
  </si>
  <si>
    <t>PHN-1234</t>
  </si>
  <si>
    <t>LAP-9016</t>
  </si>
  <si>
    <t>LAP-9931</t>
  </si>
  <si>
    <t>PHN-6818</t>
  </si>
  <si>
    <t>PHN-3803</t>
  </si>
  <si>
    <t>NET-9835</t>
  </si>
  <si>
    <t>ACC-6223</t>
  </si>
  <si>
    <t>CMP-8659</t>
  </si>
  <si>
    <t>ACC-4483</t>
  </si>
  <si>
    <t>PRN-8763</t>
  </si>
  <si>
    <t>ACC-8557</t>
  </si>
  <si>
    <t>ACC-1492</t>
  </si>
  <si>
    <t>CMP-3743</t>
  </si>
  <si>
    <t>LAP-1619</t>
  </si>
  <si>
    <t>PRN-7976</t>
  </si>
  <si>
    <t>MON-4326</t>
  </si>
  <si>
    <t>MON-5444</t>
  </si>
  <si>
    <t>ACC-5422</t>
  </si>
  <si>
    <t>CMP-9307</t>
  </si>
  <si>
    <t>PRN-6520</t>
  </si>
  <si>
    <t>NET-1699</t>
  </si>
  <si>
    <t>PHN-5316</t>
  </si>
  <si>
    <t>LAP-4607</t>
  </si>
  <si>
    <t>MON-5276</t>
  </si>
  <si>
    <t>ACC-9533</t>
  </si>
  <si>
    <t>NET-3749</t>
  </si>
  <si>
    <t>PRN-2991</t>
  </si>
  <si>
    <t>LAP-4551</t>
  </si>
  <si>
    <t>MON-6310</t>
  </si>
  <si>
    <t>NET-1166</t>
  </si>
  <si>
    <t>ACC-2903</t>
  </si>
  <si>
    <t>PRN-2293</t>
  </si>
  <si>
    <t>MON-1389</t>
  </si>
  <si>
    <t>CMP-4093</t>
  </si>
  <si>
    <t>PHN-6131</t>
  </si>
  <si>
    <t>NET-4104</t>
  </si>
  <si>
    <t>MON-9319</t>
  </si>
  <si>
    <t>ACC-2988</t>
  </si>
  <si>
    <t>PHN-9399</t>
  </si>
  <si>
    <t>NET-4554</t>
  </si>
  <si>
    <t>NET-5195</t>
  </si>
  <si>
    <t>CMP-9801</t>
  </si>
  <si>
    <t>CMP-3093</t>
  </si>
  <si>
    <t>ACC-2364</t>
  </si>
  <si>
    <t>CMP-5138</t>
  </si>
  <si>
    <t>PHN-2337</t>
  </si>
  <si>
    <t>MON-2993</t>
  </si>
  <si>
    <t>LAP-9024</t>
  </si>
  <si>
    <t>PHN-6307</t>
  </si>
  <si>
    <t>NET-9003</t>
  </si>
  <si>
    <t>ACC-3068</t>
  </si>
  <si>
    <t>ACC-1060</t>
  </si>
  <si>
    <t>PHN-3854</t>
  </si>
  <si>
    <t>PRN-1086</t>
  </si>
  <si>
    <t>PHN-7815</t>
  </si>
  <si>
    <t>PRN-5384</t>
  </si>
  <si>
    <t>ACC-8178</t>
  </si>
  <si>
    <t>MON-1018</t>
  </si>
  <si>
    <t>ACC-1238</t>
  </si>
  <si>
    <t>NET-1816</t>
  </si>
  <si>
    <t>PRN-4893</t>
  </si>
  <si>
    <t>PHN-1717</t>
  </si>
  <si>
    <t>NET-9575</t>
  </si>
  <si>
    <t>LAP-3604</t>
  </si>
  <si>
    <t>ACC-6626</t>
  </si>
  <si>
    <t>PHN-1670</t>
  </si>
  <si>
    <t>CMP-4792</t>
  </si>
  <si>
    <t>LAP-1990</t>
  </si>
  <si>
    <t>PRN-7410</t>
  </si>
  <si>
    <t>MON-4278</t>
  </si>
  <si>
    <t>ACC-5334</t>
  </si>
  <si>
    <t>NET-8957</t>
  </si>
  <si>
    <t>PRN-9960</t>
  </si>
  <si>
    <t>ACC-3103</t>
  </si>
  <si>
    <t>PRN-9490</t>
  </si>
  <si>
    <t>NET-3850</t>
  </si>
  <si>
    <t>ACC-7047</t>
  </si>
  <si>
    <t>PRN-6660</t>
  </si>
  <si>
    <t>ACC-7838</t>
  </si>
  <si>
    <t>PHN-5383</t>
  </si>
  <si>
    <t>LAP-3904</t>
  </si>
  <si>
    <t>MON-5749</t>
  </si>
  <si>
    <t>PRN-3690</t>
  </si>
  <si>
    <t>CMP-7055</t>
  </si>
  <si>
    <t>PHN-6866</t>
  </si>
  <si>
    <t>CMP-3259</t>
  </si>
  <si>
    <t>LAP-6750</t>
  </si>
  <si>
    <t>PRN-3775</t>
  </si>
  <si>
    <t>LAP-2942</t>
  </si>
  <si>
    <t>PHN-2036</t>
  </si>
  <si>
    <t>MON-4373</t>
  </si>
  <si>
    <t>PRN-8657</t>
  </si>
  <si>
    <t>PHN-7974</t>
  </si>
  <si>
    <t>PHN-4915</t>
  </si>
  <si>
    <t>NET-3535</t>
  </si>
  <si>
    <t>CMP-2574</t>
  </si>
  <si>
    <t>NET-7901</t>
  </si>
  <si>
    <t>NET-5482</t>
  </si>
  <si>
    <t>NET-1336</t>
  </si>
  <si>
    <t>PRN-5876</t>
  </si>
  <si>
    <t>NET-3828</t>
  </si>
  <si>
    <t>MON-7622</t>
  </si>
  <si>
    <t>LAP-2806</t>
  </si>
  <si>
    <t>PRN-8850</t>
  </si>
  <si>
    <t>LAP-9100</t>
  </si>
  <si>
    <t>LAP-5763</t>
  </si>
  <si>
    <t>LAP-7320</t>
  </si>
  <si>
    <t>MON-5891</t>
  </si>
  <si>
    <t>PRN-1183</t>
  </si>
  <si>
    <t>CMP-2096</t>
  </si>
  <si>
    <t>PHN-3398</t>
  </si>
  <si>
    <t>CMP-8545</t>
  </si>
  <si>
    <t>ACC-1249</t>
  </si>
  <si>
    <t>MON-9662</t>
  </si>
  <si>
    <t>LAP-8347</t>
  </si>
  <si>
    <t>CMP-6898</t>
  </si>
  <si>
    <t>MON-3504</t>
  </si>
  <si>
    <t>NET-3432</t>
  </si>
  <si>
    <t>PRN-5591</t>
  </si>
  <si>
    <t>CMP-2015</t>
  </si>
  <si>
    <t>LAP-9901</t>
  </si>
  <si>
    <t>CMP-8658</t>
  </si>
  <si>
    <t>MON-2073</t>
  </si>
  <si>
    <t>PRN-9378</t>
  </si>
  <si>
    <t>PHN-5887</t>
  </si>
  <si>
    <t>LAP-8119</t>
  </si>
  <si>
    <t>ACC-9644</t>
  </si>
  <si>
    <t>LAP-7009</t>
  </si>
  <si>
    <t>PRN-1725</t>
  </si>
  <si>
    <t>PHN-8483</t>
  </si>
  <si>
    <t>PHN-3971</t>
  </si>
  <si>
    <t>NET-6578</t>
  </si>
  <si>
    <t>PRN-9975</t>
  </si>
  <si>
    <t>ACC-1075</t>
  </si>
  <si>
    <t>ACC-2902</t>
  </si>
  <si>
    <t>PRN-5815</t>
  </si>
  <si>
    <t>MON-4195</t>
  </si>
  <si>
    <t>PHN-8478</t>
  </si>
  <si>
    <t>PHN-1044</t>
  </si>
  <si>
    <t>LAP-8910</t>
  </si>
  <si>
    <t>PHN-2859</t>
  </si>
  <si>
    <t>PRN-6308</t>
  </si>
  <si>
    <t>LAP-8469</t>
  </si>
  <si>
    <t>LAP-7553</t>
  </si>
  <si>
    <t>PHN-3077</t>
  </si>
  <si>
    <t>MON-3350</t>
  </si>
  <si>
    <t>PHN-5683</t>
  </si>
  <si>
    <t>PRN-2409</t>
  </si>
  <si>
    <t>LAP-8825</t>
  </si>
  <si>
    <t>MON-8697</t>
  </si>
  <si>
    <t>MON-4789</t>
  </si>
  <si>
    <t>NET-7998</t>
  </si>
  <si>
    <t>PHN-8891</t>
  </si>
  <si>
    <t>NET-9832</t>
  </si>
  <si>
    <t>CMP-8604</t>
  </si>
  <si>
    <t>ACC-6594</t>
  </si>
  <si>
    <t>NET-2499</t>
  </si>
  <si>
    <t>PRN-1923</t>
  </si>
  <si>
    <t>PHN-4346</t>
  </si>
  <si>
    <t>ACC-1375</t>
  </si>
  <si>
    <t>PRN-4892</t>
  </si>
  <si>
    <t>PRN-9557</t>
  </si>
  <si>
    <t>PRN-8008</t>
  </si>
  <si>
    <t>LAP-1946</t>
  </si>
  <si>
    <t>MON-7106</t>
  </si>
  <si>
    <t>MON-5386</t>
  </si>
  <si>
    <t>PHN-2436</t>
  </si>
  <si>
    <t>PRN-2301</t>
  </si>
  <si>
    <t>ACC-3645</t>
  </si>
  <si>
    <t>CMP-6811</t>
  </si>
  <si>
    <t>PHN-5675</t>
  </si>
  <si>
    <t>MON-6882</t>
  </si>
  <si>
    <t>ACC-8620</t>
  </si>
  <si>
    <t>PHN-6506</t>
  </si>
  <si>
    <t>MON-5086</t>
  </si>
  <si>
    <t>LAP-4899</t>
  </si>
  <si>
    <t>CMP-3313</t>
  </si>
  <si>
    <t>CMP-6649</t>
  </si>
  <si>
    <t>ACC-5206</t>
  </si>
  <si>
    <t>PRN-6911</t>
  </si>
  <si>
    <t>NET-5270</t>
  </si>
  <si>
    <t>CMP-5658</t>
  </si>
  <si>
    <t>CMP-3938</t>
  </si>
  <si>
    <t>ACC-7671</t>
  </si>
  <si>
    <t>NET-6014</t>
  </si>
  <si>
    <t>CMP-4159</t>
  </si>
  <si>
    <t>PRN-3159</t>
  </si>
  <si>
    <t>PRN-9488</t>
  </si>
  <si>
    <t>PRN-7079</t>
  </si>
  <si>
    <t>CMP-1220</t>
  </si>
  <si>
    <t>MON-2462</t>
  </si>
  <si>
    <t>PHN-9465</t>
  </si>
  <si>
    <t>PRN-1271</t>
  </si>
  <si>
    <t>LAP-1066</t>
  </si>
  <si>
    <t>CMP-8675</t>
  </si>
  <si>
    <t>LAP-1178</t>
  </si>
  <si>
    <t>ACC-1731</t>
  </si>
  <si>
    <t>NET-1893</t>
  </si>
  <si>
    <t>PRN-3917</t>
  </si>
  <si>
    <t>LAP-3220</t>
  </si>
  <si>
    <t>PHN-2462</t>
  </si>
  <si>
    <t>NET-2894</t>
  </si>
  <si>
    <t>CMP-2335</t>
  </si>
  <si>
    <t>PHN-5938</t>
  </si>
  <si>
    <t>PRN-1371</t>
  </si>
  <si>
    <t>PRN-5813</t>
  </si>
  <si>
    <t>PHN-6480</t>
  </si>
  <si>
    <t>ACC-2990</t>
  </si>
  <si>
    <t>CMP-5435</t>
  </si>
  <si>
    <t>ACC-1596</t>
  </si>
  <si>
    <t>PHN-7852</t>
  </si>
  <si>
    <t>ACC-7240</t>
  </si>
  <si>
    <t>MON-8867</t>
  </si>
  <si>
    <t>NET-1228</t>
  </si>
  <si>
    <t>NET-1145</t>
  </si>
  <si>
    <t>ACC-2867</t>
  </si>
  <si>
    <t>MON-9274</t>
  </si>
  <si>
    <t>MON-4830</t>
  </si>
  <si>
    <t>PHN-9107</t>
  </si>
  <si>
    <t>PRN-1060</t>
  </si>
  <si>
    <t>NET-8329</t>
  </si>
  <si>
    <t>NET-6269</t>
  </si>
  <si>
    <t>CMP-6529</t>
  </si>
  <si>
    <t>PHN-8776</t>
  </si>
  <si>
    <t>NET-3728</t>
  </si>
  <si>
    <t>LAP-3565</t>
  </si>
  <si>
    <t>LAP-5078</t>
  </si>
  <si>
    <t>MON-2465</t>
  </si>
  <si>
    <t>CMP-3223</t>
  </si>
  <si>
    <t>CMP-8127</t>
  </si>
  <si>
    <t>PHN-1924</t>
  </si>
  <si>
    <t>CMP-1156</t>
  </si>
  <si>
    <t>LAP-3905</t>
  </si>
  <si>
    <t>PRN-1786</t>
  </si>
  <si>
    <t>ACC-3349</t>
  </si>
  <si>
    <t>NET-4228</t>
  </si>
  <si>
    <t>CMP-5633</t>
  </si>
  <si>
    <t>CMP-5825</t>
  </si>
  <si>
    <t>LAP-6499</t>
  </si>
  <si>
    <t>ACC-3721</t>
  </si>
  <si>
    <t>MON-6190</t>
  </si>
  <si>
    <t>CMP-2410</t>
  </si>
  <si>
    <t>PRN-2641</t>
  </si>
  <si>
    <t>PRN-1882</t>
  </si>
  <si>
    <t>PRN-1641</t>
  </si>
  <si>
    <t>LAP-1739</t>
  </si>
  <si>
    <t>PRN-4732</t>
  </si>
  <si>
    <t>NET-9569</t>
  </si>
  <si>
    <t>PHN-3007</t>
  </si>
  <si>
    <t>MON-9216</t>
  </si>
  <si>
    <t>PHN-8072</t>
  </si>
  <si>
    <t>LAP-1308</t>
  </si>
  <si>
    <t>LAP-7353</t>
  </si>
  <si>
    <t>NET-6533</t>
  </si>
  <si>
    <t>ACC-9445</t>
  </si>
  <si>
    <t>PRN-1654</t>
  </si>
  <si>
    <t>NET-8787</t>
  </si>
  <si>
    <t>LAP-1989</t>
  </si>
  <si>
    <t>MON-8688</t>
  </si>
  <si>
    <t>ACC-8242</t>
  </si>
  <si>
    <t>LAP-4666</t>
  </si>
  <si>
    <t>NET-5196</t>
  </si>
  <si>
    <t>MON-8422</t>
  </si>
  <si>
    <t>ACC-3415</t>
  </si>
  <si>
    <t>PRN-9624</t>
  </si>
  <si>
    <t>MON-6287</t>
  </si>
  <si>
    <t>NET-4491</t>
  </si>
  <si>
    <t>MON-4317</t>
  </si>
  <si>
    <t>NET-7349</t>
  </si>
  <si>
    <t>ACC-5150</t>
  </si>
  <si>
    <t>ACC-5144</t>
  </si>
  <si>
    <t>PHN-6111</t>
  </si>
  <si>
    <t>ACC-9283</t>
  </si>
  <si>
    <t>PRN-2407</t>
  </si>
  <si>
    <t>MON-7099</t>
  </si>
  <si>
    <t>ACC-7354</t>
  </si>
  <si>
    <t>PRN-6585</t>
  </si>
  <si>
    <t>CMP-9498</t>
  </si>
  <si>
    <t>PHN-1919</t>
  </si>
  <si>
    <t>MON-6053</t>
  </si>
  <si>
    <t>NET-2502</t>
  </si>
  <si>
    <t>LAP-5689</t>
  </si>
  <si>
    <t>CMP-5911</t>
  </si>
  <si>
    <t>LAP-7523</t>
  </si>
  <si>
    <t>MON-1118</t>
  </si>
  <si>
    <t>NET-9177</t>
  </si>
  <si>
    <t>CMP-6495</t>
  </si>
  <si>
    <t>ACC-4587</t>
  </si>
  <si>
    <t>PHN-4395</t>
  </si>
  <si>
    <t>LAP-3581</t>
  </si>
  <si>
    <t>MON-6065</t>
  </si>
  <si>
    <t>CMP-4945</t>
  </si>
  <si>
    <t>NET-3785</t>
  </si>
  <si>
    <t>NET-3689</t>
  </si>
  <si>
    <t>ACC-3833</t>
  </si>
  <si>
    <t>NET-2932</t>
  </si>
  <si>
    <t>PHN-7636</t>
  </si>
  <si>
    <t>CMP-1223</t>
  </si>
  <si>
    <t>MON-7207</t>
  </si>
  <si>
    <t>LAP-4483</t>
  </si>
  <si>
    <t>LAP-1969</t>
  </si>
  <si>
    <t>PHN-4566</t>
  </si>
  <si>
    <t>PHN-5366</t>
  </si>
  <si>
    <t>CMP-9001</t>
  </si>
  <si>
    <t>PHN-9677</t>
  </si>
  <si>
    <t>ACC-1604</t>
  </si>
  <si>
    <t>ACC-4815</t>
  </si>
  <si>
    <t>CMP-5311</t>
  </si>
  <si>
    <t>NET-1282</t>
  </si>
  <si>
    <t>MON-1564</t>
  </si>
  <si>
    <t>ACC-7906</t>
  </si>
  <si>
    <t>LAP-6577</t>
  </si>
  <si>
    <t>CMP-5065</t>
  </si>
  <si>
    <t>PRN-4787</t>
  </si>
  <si>
    <t>PRN-9867</t>
  </si>
  <si>
    <t>MON-2849</t>
  </si>
  <si>
    <t>LAP-8633</t>
  </si>
  <si>
    <t>PRN-9793</t>
  </si>
  <si>
    <t>NET-6218</t>
  </si>
  <si>
    <t>PRN-6131</t>
  </si>
  <si>
    <t>PRN-5067</t>
  </si>
  <si>
    <t>LAP-4932</t>
  </si>
  <si>
    <t>ACC-7713</t>
  </si>
  <si>
    <t>PHN-7379</t>
  </si>
  <si>
    <t>PRN-5569</t>
  </si>
  <si>
    <t>CMP-1470</t>
  </si>
  <si>
    <t>PRN-9249</t>
  </si>
  <si>
    <t>PRN-4906</t>
  </si>
  <si>
    <t>MON-8129</t>
  </si>
  <si>
    <t>NET-5987</t>
  </si>
  <si>
    <t>NET-5423</t>
  </si>
  <si>
    <t>PRN-5264</t>
  </si>
  <si>
    <t>NET-8856</t>
  </si>
  <si>
    <t>MON-4215</t>
  </si>
  <si>
    <t>PRN-5753</t>
  </si>
  <si>
    <t>CMP-5006</t>
  </si>
  <si>
    <t>ACC-4766</t>
  </si>
  <si>
    <t>NET-8610</t>
  </si>
  <si>
    <t>NET-4675</t>
  </si>
  <si>
    <t>ACC-1028</t>
  </si>
  <si>
    <t>NET-4735</t>
  </si>
  <si>
    <t>NET-2460</t>
  </si>
  <si>
    <t>CMP-1555</t>
  </si>
  <si>
    <t>MON-3773</t>
  </si>
  <si>
    <t>PHN-4677</t>
  </si>
  <si>
    <t>CMP-1940</t>
  </si>
  <si>
    <t>PHN-9184</t>
  </si>
  <si>
    <t>LAP-3017</t>
  </si>
  <si>
    <t>Assignment</t>
  </si>
  <si>
    <t>Excel Mastery Assignment: Sales Operations &amp; Analytics</t>
  </si>
  <si>
    <t>Overview:</t>
  </si>
  <si>
    <t>You are an analyst for a multi-regional electronics distributor. The 'Data' sheet contains 632 rows and 15 columns of transactional data with intentional data-quality issues.</t>
  </si>
  <si>
    <t>Your job is to clean, enrich, analyze, and present insights via a dynamic dashboard.</t>
  </si>
  <si>
    <t>Part A — Data Cleaning &amp; Preparation:</t>
  </si>
  <si>
    <t>1) Create a staging table where you:</t>
  </si>
  <si>
    <t xml:space="preserve">   • Remove exact duplicate rows (define and document your duplicate criteria).</t>
  </si>
  <si>
    <t xml:space="preserve">   • Fix data types (dates as Dates, numeric fields as numbers).</t>
  </si>
  <si>
    <t xml:space="preserve">   • Handle missing values for City, Salesperson, and Channel using reasonable business logic (document your approach).</t>
  </si>
  <si>
    <t xml:space="preserve">   • Flag and correct suspicious UnitPrice values (e.g., negative prices) and discounts (e.g., &gt; 30%).</t>
  </si>
  <si>
    <t xml:space="preserve">   • Ensure RequiredDate is not earlier than OrderDate; where it is, impute a corrected RequiredDate (explain your rule).</t>
  </si>
  <si>
    <t xml:space="preserve">   • Add a derived 'LeadTimeDays' = RequiredDate − OrderDate (in days).</t>
  </si>
  <si>
    <t>2) Create calculated columns (do these in Excel, not by formula in the data source):</t>
  </si>
  <si>
    <t xml:space="preserve">   • GrossRevenue = UnitPrice × Quantity × (1 − DiscountPct).</t>
  </si>
  <si>
    <t xml:space="preserve">   • CostOfGoods = UnitCost × Quantity.</t>
  </si>
  <si>
    <t xml:space="preserve">   • GrossProfit = GrossRevenue − CostOfGoods.</t>
  </si>
  <si>
    <t xml:space="preserve">   • MarginPct = IF(GrossRevenue=0, 0, GrossProfit / GrossRevenue).</t>
  </si>
  <si>
    <t>3) Create standardized dimensions:</t>
  </si>
  <si>
    <t xml:space="preserve">   • Month (MMM-YYYY) from OrderDate.</t>
  </si>
  <si>
    <t xml:space="preserve">   • Quarter (e.g., Q1-2024).</t>
  </si>
  <si>
    <t xml:space="preserve">   • Region hierarchy: Region → Country → City.</t>
  </si>
  <si>
    <t xml:space="preserve">   • ProductCategory and a derived 'PriceBand' (e.g., Low/Medium/High using quantiles).</t>
  </si>
  <si>
    <t>Part B — Analysis Tasks (show workings with PivotTables / formulas):</t>
  </si>
  <si>
    <t>4) Build a cohort of first-time sales by Country and Month:</t>
  </si>
  <si>
    <t xml:space="preserve">   • Identify the first month each Country appears and calculate monthly revenue tracked from that start (cohort analysis).</t>
  </si>
  <si>
    <t>5) ABC analysis by SKU within each ProductCategory using GrossRevenue:</t>
  </si>
  <si>
    <t xml:space="preserve">   • Classify SKUs into A (top 80%), B (next 15%), C (last 5%) of revenue per category.</t>
  </si>
  <si>
    <t>6) Salesperson productivity:</t>
  </si>
  <si>
    <t xml:space="preserve">   • Compute Revenue/Order, Orders/Month, and GrossProfit/Order by Salesperson; highlight the top and bottom 3.</t>
  </si>
  <si>
    <t>7) Channel mix &amp; cannibalization:</t>
  </si>
  <si>
    <t xml:space="preserve">   • Compare revenue shares by Channel across Regions; identify where online cannibalizes retail (justify with data).</t>
  </si>
  <si>
    <t>8) Service level proxy:</t>
  </si>
  <si>
    <t xml:space="preserve">   • Using LeadTimeDays, determine % of orders meeting a 7-day target by Country and Category.</t>
  </si>
  <si>
    <t>9) Price compliance:</t>
  </si>
  <si>
    <t xml:space="preserve">   • Share of orders with DiscountPct &gt; 20% by Region and Salesperson; list outliers.</t>
  </si>
  <si>
    <t>Part C — Scenario Modeling (What-If):</t>
  </si>
  <si>
    <t>10) Build a What-If control panel (slider/cell inputs):</t>
  </si>
  <si>
    <t xml:space="preserve">   • Global Discount Cap (e.g., 0%–25%).</t>
  </si>
  <si>
    <t xml:space="preserve">   • UnitCost inflation factor (e.g., 0%–15%).</t>
  </si>
  <si>
    <t xml:space="preserve">   • Quantity uplift (e.g., 0%–20%).</t>
  </si>
  <si>
    <t xml:space="preserve">   Recalculate Revenue and Profit metrics under these scenarios and compare to the baseline.</t>
  </si>
  <si>
    <t>Part D — Interactive Dashboard:</t>
  </si>
  <si>
    <t>11) Create a single-page dashboard with:</t>
  </si>
  <si>
    <t xml:space="preserve">   • Slicers for Region, Country, Channel, ProductCategory, Month, and Salesperson.</t>
  </si>
  <si>
    <t xml:space="preserve">   • KPIs: Total Revenue, Gross Profit, Margin %, Avg Order Value, On-Time % (LeadTimeDays ≤ 7).</t>
  </si>
  <si>
    <t xml:space="preserve">   • Visuals:</t>
  </si>
  <si>
    <t xml:space="preserve">       – Revenue by Month (line chart).</t>
  </si>
  <si>
    <t xml:space="preserve">       – Profit by Region and Channel (stacked column).</t>
  </si>
  <si>
    <t xml:space="preserve">       – Top 10 SKUs by Revenue (bar).</t>
  </si>
  <si>
    <t xml:space="preserve">       – Discount Outliers (box/whisker or scatter) — if Excel version permits, else alternative view.</t>
  </si>
  <si>
    <t xml:space="preserve">   • Dynamic titles reflecting applied filters.</t>
  </si>
  <si>
    <t>12) Tell a story:</t>
  </si>
  <si>
    <t xml:space="preserve">   • Write 5–8 bullet insights derived from the dashboard; include at least one insight per Region.</t>
  </si>
  <si>
    <t>Part E — Submission Checklist:</t>
  </si>
  <si>
    <t>13) Include a 'ReadMe' sheet summarizing: data issues found, cleaning rules, and assumptions.</t>
  </si>
  <si>
    <t>14) Ensure all measures are built with Excel formulas or Power Pivot (no hard-coded totals).</t>
  </si>
  <si>
    <t>15) Ensure your dashboard responds to slicers without broken references.</t>
  </si>
  <si>
    <t>Run Remove Dublicates across all 15 columns to find exact matches. No exact dublicates were found.</t>
  </si>
  <si>
    <t>Row Labels</t>
  </si>
  <si>
    <t>Grand Total</t>
  </si>
  <si>
    <t>Count of OrderID</t>
  </si>
  <si>
    <t>Formatted columns involving dates as short date, converted DicountPc column as percentage, and quantity as number.</t>
  </si>
  <si>
    <t>Filled blanks for City column using the logic of  most Orders placed in the associated country i.e.  City with most orders (Mode) for associated country.</t>
  </si>
  <si>
    <t>Column Labels</t>
  </si>
  <si>
    <t>Filled blanks for Salesperson by logic of most number of orders for each salesperson for associated country. Where country tied, salesperson with most orders in the Region was selected.</t>
  </si>
  <si>
    <t>Filled blanks for Channel by logic of most number of orders in associated country and customer segment. Where orders tied for a particular customer segmennt in associated country, the most channel with most orders for that segment was selected.</t>
  </si>
  <si>
    <t>Cleaned UnitPrice</t>
  </si>
  <si>
    <t>Flagged negative Unit prices by applying conditional formating to the column and highlighting cells with values less than 0. Introduced a new column called cleaned UnitPrice and applied the ABS() formula to convert negative numbers to positive.</t>
  </si>
  <si>
    <t>Cleaned DiscountPct</t>
  </si>
  <si>
    <t>Flagged Discounts that were greater than 30% by applying conditional formatting to highlight cells with values greater than 30%. Introduced a new column called cleaned DiscountPct and applied IF formula together with AVERAGEIF to find cells with greater than 30% discounts in flagged column and replace them with the Average of the values in the flagged column that are less than 30%. ("=IF(O4&gt;30%,AVERAGEIF($O$2:$O$633,"&lt;30%"),O4)")</t>
  </si>
  <si>
    <t>LeadTimeDays</t>
  </si>
  <si>
    <t>Cleaned RequiredDate</t>
  </si>
  <si>
    <t>Average of LeadTimeDays</t>
  </si>
  <si>
    <t>Cleaned LeadTimeDays</t>
  </si>
  <si>
    <t>Identified where RequiredDate was earlier than OrderDate but using LeadTimeDays (RequiredDate-OrderDate) column to find days that were less than 0 and used conditional formatting to highlight them. Introduced a new column, (Cleaned RequiredDate) and replaced dates with associated LeadTimeDays being less than 0, with the Average LeadTimeDays for the associated Country, City and Channel.</t>
  </si>
  <si>
    <t>Introduced a Cleaned LeadTimeDays column involing the corrected RequiredDate and OrderDate(Cleaned RequiredDate - OrderDate).</t>
  </si>
  <si>
    <t>GrossRevenue</t>
  </si>
  <si>
    <t>CostOfGoods</t>
  </si>
  <si>
    <t>GrossProfit</t>
  </si>
  <si>
    <t>MarginPct</t>
  </si>
  <si>
    <t>OrderDate         (mmm-yyyy)</t>
  </si>
  <si>
    <t>Order Quarter</t>
  </si>
  <si>
    <t>Region hierarchy</t>
  </si>
  <si>
    <t>Created Standardized dimentions for Order date, as (MMM-YYYY), buy formatting the column as custom and selecting mmm-yyyy as the prefered format.</t>
  </si>
  <si>
    <t xml:space="preserve">Created Standardized dimentions for Order date, as Quarters, (Q1-YYYY) by applying the formula  ="Q"&amp;ROUNDUP(MONTH(B2)/3,0)&amp;"-"&amp;YEAR(B2) </t>
  </si>
  <si>
    <t>Created Standardized dimentions for Region hierarchy as Region - Country - City by using TEXTJOIN</t>
  </si>
  <si>
    <t>PriceBand</t>
  </si>
  <si>
    <t>Created Standardized dimensions using quantiles(Low, Medium, High)  for PriceBand,  by applying PERCENTILE.INC() function on UnitPrice column  and the IF() function to classify  0.33 percentile and below as Low,  0.67 and below as Medium and anything that falls outside these as High.</t>
  </si>
  <si>
    <t>2023</t>
  </si>
  <si>
    <t>2024</t>
  </si>
  <si>
    <t>2025</t>
  </si>
  <si>
    <t>Sum of GrossRevenue</t>
  </si>
  <si>
    <t>StartDate</t>
  </si>
  <si>
    <t>Identifyied the first month each Country appears by introducing the StartDate column and applied the MINIF() function to find the earliest OrderDate for each country. Used a pivot table with GrossRevenue as the values field, StartDate and Country in the Rows and the OrderDate(mmm-yyyy) as the column to calculate monthly revenue tracked from that start</t>
  </si>
  <si>
    <t>ABC Analysis</t>
  </si>
  <si>
    <t>Cumulative Revenue %</t>
  </si>
  <si>
    <t>Constructed a PivotTable with ProductCategory and SKU as the Row fields and GrossRevenue as the values, the sorted the GrossRevenue value field from largest to smallest to get the top earning items at the top of the table.  Converted the GrossRevenue values into % running total to get the cumulative gross revenue for the SKUs sequentially then used Nested IF() function to assign grades based on running total thresholds i.e. Class A (Top 80%) for the few items(SKUs), that brings the first 80% of the total revenue, Class B for the middle revenue generating items that brings the next 15% of the total revenue(to make it 95% of total revenue), and Class C for the many items(SKUs) that bring the least % of the total revenue(last 5%), indicated by the cumulative revenue% column, where the lowest percentages represent the highest-earning items at the top of the list as they begin to accumulate the first 80% of total sales, the next 15% (81% to 95%) for the the mid-tier items adding to the total revenue, and the highest percentages (last 5% to make 100%) belong to the slow-moving items at the very bottom completing the total revenue.</t>
  </si>
  <si>
    <t>Sum of GrossProfit</t>
  </si>
  <si>
    <t>Revenue/Order</t>
  </si>
  <si>
    <t>Profit/Order</t>
  </si>
  <si>
    <t>Orders/month</t>
  </si>
  <si>
    <t>Total No. of months</t>
  </si>
  <si>
    <t>Constructed a PivotTable with Salesperson as the Row field, and GrossRevenue (Sum), GrossProfit (Sum), and OrderID (Count) as the values. Created new columns directly next to the PivotTable to calculate the requested KPIs using basic division formulas: divided the GrossRevenue by the OrderID count to get Revenue per Order, divided GrossProfit by the OrderID count to get Profit per Order, and divided the OrderID count by 33 (the total number of months in the dataset) to get Orders per Month. Applied Top/Bottom conditional formatting rules to these three KPI columns, highlighting the top 3 values in green and the bottom 3 values in red to visually isolate the highest and lowest performing salespeople across the business.</t>
  </si>
  <si>
    <t>Constructed a PivotTable using GrossRevenue as the values field, Region in the Rows, and Channel in the Columns for analysis. Converted the GrossRevenue values into  % of Row Total to determine the exact revenue share mix for each region. Applied a Color Scale conditional formatting rule to the Online and Retail percentage columns to visually identify channel cannibalization(where,online % is higher than the retail %)</t>
  </si>
  <si>
    <t>Target Met             (7 days)</t>
  </si>
  <si>
    <t>No</t>
  </si>
  <si>
    <t>Yes</t>
  </si>
  <si>
    <r>
      <t>Created a helper column called Target Met(7 Days)using an IF function (</t>
    </r>
    <r>
      <rPr>
        <sz val="10"/>
        <color theme="1"/>
        <rFont val="Arial Unicode MS"/>
      </rPr>
      <t>=IF(LeadTimeDays&lt;=7, "Yes", "No")</t>
    </r>
    <r>
      <rPr>
        <sz val="11"/>
        <color theme="1"/>
        <rFont val="Calibri"/>
        <family val="2"/>
        <scheme val="minor"/>
      </rPr>
      <t>) to flag orders that met the target as Yes. Constructed a PivotTable with Country and ProductCategory  in the Rows box, the new helper column in the Columns box, and the Count of OrderID in the Values box. Converted the value fields to % of Row Total to output the exact percentage of orders that successfully met the 7-day lead time target for every category within each country.</t>
    </r>
  </si>
  <si>
    <t>Discount(&gt;20%)</t>
  </si>
  <si>
    <r>
      <t>Created a helper column (Discount&gt;20%) using an IF function (</t>
    </r>
    <r>
      <rPr>
        <sz val="10"/>
        <color theme="1"/>
        <rFont val="Arial Unicode MS"/>
      </rPr>
      <t>=IF(Cleaned DiscountPct&gt;0.20, "Yes", "No")</t>
    </r>
    <r>
      <rPr>
        <sz val="11"/>
        <color theme="1"/>
        <rFont val="Calibri"/>
        <family val="2"/>
        <scheme val="minor"/>
      </rPr>
      <t>) to flag discounts exceeding 20%. Built a PivotTable with Region and Salesperson in the Rows box, the new helper column in the Columns box, and the Count of OrderID in the Values box. Converted the values to % of Row Total to get share of orders with discounts &gt;20%. Applied  Greater Than Conditional Formatting rule to the "Yes" % column, using the overall % average.</t>
    </r>
  </si>
  <si>
    <t>Global   Discount Cap (0% - 25%)</t>
  </si>
  <si>
    <t>UnitCost inflation factor (0% - 15%)</t>
  </si>
  <si>
    <t>Quantity uplift (0% - 20%)</t>
  </si>
  <si>
    <t>DiscountPct (Scenario)</t>
  </si>
  <si>
    <t>Quantity (Scenario)</t>
  </si>
  <si>
    <t>UnitCost (Scenario)</t>
  </si>
  <si>
    <t>GrossRevenue            (Scenario)</t>
  </si>
  <si>
    <t>GrossProfit(Scenario)</t>
  </si>
  <si>
    <t>Baseline</t>
  </si>
  <si>
    <t>Scenario</t>
  </si>
  <si>
    <t>Variance</t>
  </si>
  <si>
    <t>% Change</t>
  </si>
  <si>
    <t>Total Revenue</t>
  </si>
  <si>
    <t>Total Gross Profit</t>
  </si>
  <si>
    <t>Created a Scenario Modeling  worksheet to serve as an interactive control panel and applied Data Validation to  limit the inputs for Global Discount Cap (0-25%), Unit Cost Inflation (0-15%), and Quantity Uplift (0-20%). Introduced new columns (Scenario columns) to my the dataset and applyed scenario calculations into the new columns, by using MIN() function to cap discounts against the control panel, a ROUND function to calculate whole-unit quantity growth, and multiplication to get unit cost inflation. Calculated scenario Gross Revenue and scenario Gross Profit using the newly adjusted variables. Built a summary table using SUM functions to compare original baselines directly against the scenario totals.</t>
  </si>
  <si>
    <t>Jan</t>
  </si>
  <si>
    <t>Feb</t>
  </si>
  <si>
    <t>Mar</t>
  </si>
  <si>
    <t>Apr</t>
  </si>
  <si>
    <t>May</t>
  </si>
  <si>
    <t>Jun</t>
  </si>
  <si>
    <t>Jul</t>
  </si>
  <si>
    <t>Aug</t>
  </si>
  <si>
    <t>Sep</t>
  </si>
  <si>
    <t>Oct</t>
  </si>
  <si>
    <t>Nov</t>
  </si>
  <si>
    <t>Dec</t>
  </si>
  <si>
    <t>(All)</t>
  </si>
  <si>
    <t>Average Discount</t>
  </si>
  <si>
    <t>Column1</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</si>
</sst>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4">
    <numFmt numFmtId="164" formatCode="yyyy\-mm\-dd"/>
    <numFmt numFmtId="165" formatCode="yyyy\-mm\-dd;@"/>
    <numFmt numFmtId="166" formatCode="0.0"/>
    <numFmt numFmtId="167" formatCode="mmm\-yyyy"/>
  </numFmts>
  <fonts count="4">
    <font>
      <sz val="11"/>
      <color theme="1"/>
      <name val="Calibri"/>
      <family val="2"/>
      <scheme val="minor"/>
    </font>
    <font>
      <b/>
      <sz val="11"/>
      <color theme="1"/>
      <name val="Calibri"/>
      <family val="2"/>
      <scheme val="minor"/>
    </font>
    <font>
      <sz val="11"/>
      <color theme="1"/>
      <name val="Calibri"/>
      <family val="2"/>
      <scheme val="minor"/>
    </font>
    <font>
      <sz val="10"/>
      <color theme="1"/>
      <name val="Arial Unicode MS"/>
    </font>
  </fonts>
  <fills count="3">
    <fill>
      <patternFill patternType="none"/>
    </fill>
    <fill>
      <patternFill patternType="gray125"/>
    </fill>
    <fill>
      <patternFill patternType="solid">
        <fgColor rgb="FF111111"/>
        <bgColor indexed="64"/>
      </patternFill>
    </fill>
  </fills>
  <borders count="2">
    <border>
      <left/>
      <right/>
      <top/>
      <bottom/>
      <diagonal/>
    </border>
    <border>
      <left style="thin">
        <color auto="1"/>
      </left>
      <right style="thin">
        <color auto="1"/>
      </right>
      <top style="thin">
        <color auto="1"/>
      </top>
      <bottom style="thin">
        <color auto="1"/>
      </bottom>
      <diagonal/>
    </border>
  </borders>
  <cellStyleXfs count="2">
    <xf numFmtId="0" fontId="0" fillId="0" borderId="0"/>
    <xf numFmtId="9" fontId="2" fillId="0" borderId="0" applyFont="0" applyFill="0" applyBorder="0" applyAlignment="0" applyProtection="0"/>
  </cellStyleXfs>
  <cellXfs count="42">
    <xf numFmtId="0" fontId="0" fillId="0" borderId="0" xfId="0"/>
    <xf numFmtId="0" fontId="1" fillId="0" borderId="1" xfId="0" applyFont="1" applyBorder="1" applyAlignment="1">
      <alignment horizontal="center" vertical="top"/>
    </xf>
    <xf numFmtId="164" fontId="0" fillId="0" borderId="0" xfId="0" applyNumberFormat="1"/>
    <xf numFmtId="165" fontId="1" fillId="0" borderId="1" xfId="0" applyNumberFormat="1" applyFont="1" applyBorder="1" applyAlignment="1">
      <alignment horizontal="center" vertical="top"/>
    </xf>
    <xf numFmtId="165" fontId="0" fillId="0" borderId="0" xfId="0" applyNumberFormat="1"/>
    <xf numFmtId="4" fontId="1" fillId="0" borderId="1" xfId="0" applyNumberFormat="1" applyFont="1" applyBorder="1" applyAlignment="1">
      <alignment horizontal="center" vertical="top"/>
    </xf>
    <xf numFmtId="4" fontId="0" fillId="0" borderId="0" xfId="0" applyNumberFormat="1"/>
    <xf numFmtId="2" fontId="1" fillId="0" borderId="1" xfId="0" applyNumberFormat="1" applyFont="1" applyBorder="1" applyAlignment="1">
      <alignment horizontal="center" vertical="top"/>
    </xf>
    <xf numFmtId="2" fontId="0" fillId="0" borderId="0" xfId="0" applyNumberFormat="1"/>
    <xf numFmtId="0" fontId="0" fillId="0" borderId="0" xfId="0" pivotButton="1"/>
    <xf numFmtId="0" fontId="0" fillId="0" borderId="0" xfId="0" applyAlignment="1">
      <alignment horizontal="left"/>
    </xf>
    <xf numFmtId="0" fontId="0" fillId="0" borderId="0" xfId="0" applyAlignment="1">
      <alignment horizontal="left" indent="1"/>
    </xf>
    <xf numFmtId="0" fontId="0" fillId="0" borderId="0" xfId="0" applyAlignment="1">
      <alignment horizontal="left" indent="2"/>
    </xf>
    <xf numFmtId="2" fontId="1" fillId="0" borderId="1" xfId="0" applyNumberFormat="1" applyFont="1" applyBorder="1" applyAlignment="1">
      <alignment horizontal="center" vertical="top" wrapText="1"/>
    </xf>
    <xf numFmtId="9" fontId="1" fillId="0" borderId="1" xfId="1" applyFont="1" applyBorder="1" applyAlignment="1">
      <alignment horizontal="center" vertical="top"/>
    </xf>
    <xf numFmtId="9" fontId="0" fillId="0" borderId="0" xfId="1" applyFont="1"/>
    <xf numFmtId="9" fontId="1" fillId="0" borderId="1" xfId="1" applyFont="1" applyBorder="1" applyAlignment="1">
      <alignment horizontal="center" vertical="top" wrapText="1"/>
    </xf>
    <xf numFmtId="1" fontId="0" fillId="0" borderId="0" xfId="0" applyNumberFormat="1"/>
    <xf numFmtId="165" fontId="1" fillId="0" borderId="1" xfId="0" applyNumberFormat="1" applyFont="1" applyBorder="1" applyAlignment="1">
      <alignment horizontal="center" vertical="top" wrapText="1"/>
    </xf>
    <xf numFmtId="0" fontId="0" fillId="0" borderId="0" xfId="0" applyAlignment="1">
      <alignment horizontal="left" indent="3"/>
    </xf>
    <xf numFmtId="0" fontId="1" fillId="0" borderId="0" xfId="0" applyFont="1" applyAlignment="1">
      <alignment wrapText="1"/>
    </xf>
    <xf numFmtId="0" fontId="1" fillId="0" borderId="0" xfId="0" applyFont="1" applyAlignment="1">
      <alignment horizontal="center" vertical="top" wrapText="1"/>
    </xf>
    <xf numFmtId="0" fontId="1" fillId="0" borderId="0" xfId="0" applyFont="1" applyAlignment="1">
      <alignment horizontal="center" vertical="top"/>
    </xf>
    <xf numFmtId="2" fontId="1" fillId="0" borderId="0" xfId="0" applyNumberFormat="1" applyFont="1" applyAlignment="1">
      <alignment horizontal="center" vertical="top"/>
    </xf>
    <xf numFmtId="166" fontId="0" fillId="0" borderId="0" xfId="0" applyNumberFormat="1"/>
    <xf numFmtId="1" fontId="1" fillId="0" borderId="1" xfId="0" applyNumberFormat="1" applyFont="1" applyBorder="1" applyAlignment="1">
      <alignment horizontal="center" vertical="top"/>
    </xf>
    <xf numFmtId="0" fontId="1" fillId="0" borderId="0" xfId="0" applyFont="1"/>
    <xf numFmtId="9" fontId="1" fillId="0" borderId="0" xfId="1" applyFont="1" applyAlignment="1">
      <alignment horizontal="center" vertical="top"/>
    </xf>
    <xf numFmtId="167" fontId="0" fillId="0" borderId="0" xfId="0" applyNumberFormat="1"/>
    <xf numFmtId="167" fontId="1" fillId="0" borderId="1" xfId="0" applyNumberFormat="1" applyFont="1" applyBorder="1" applyAlignment="1">
      <alignment horizontal="center" vertical="top" wrapText="1"/>
    </xf>
    <xf numFmtId="0" fontId="1" fillId="0" borderId="1" xfId="0" applyFont="1" applyBorder="1" applyAlignment="1">
      <alignment horizontal="center" vertical="top" wrapText="1"/>
    </xf>
    <xf numFmtId="164" fontId="1" fillId="0" borderId="1" xfId="0" applyNumberFormat="1" applyFont="1" applyBorder="1" applyAlignment="1">
      <alignment horizontal="center" vertical="top" wrapText="1"/>
    </xf>
    <xf numFmtId="164" fontId="0" fillId="0" borderId="0" xfId="0" applyNumberFormat="1" applyAlignment="1">
      <alignment horizontal="left"/>
    </xf>
    <xf numFmtId="10" fontId="0" fillId="0" borderId="0" xfId="0" applyNumberFormat="1"/>
    <xf numFmtId="9" fontId="0" fillId="0" borderId="0" xfId="0" applyNumberFormat="1"/>
    <xf numFmtId="0" fontId="0" fillId="0" borderId="1" xfId="0" applyBorder="1"/>
    <xf numFmtId="2" fontId="0" fillId="0" borderId="1" xfId="0" applyNumberFormat="1" applyBorder="1"/>
    <xf numFmtId="0" fontId="0" fillId="0" borderId="1" xfId="0" applyFont="1" applyBorder="1" applyAlignment="1">
      <alignment horizontal="left"/>
    </xf>
    <xf numFmtId="9" fontId="0" fillId="0" borderId="1" xfId="1" applyFont="1" applyBorder="1"/>
    <xf numFmtId="166" fontId="0" fillId="0" borderId="1" xfId="0" applyNumberFormat="1" applyBorder="1"/>
    <xf numFmtId="0" fontId="0" fillId="2" borderId="0" xfId="0" applyFill="1"/>
    <xf numFmtId="0" fontId="0" fillId="0" borderId="0" xfId="0" applyNumberFormat="1"/>
  </cellXfs>
  <cellStyles count="2">
    <cellStyle name="Normal" xfId="0" builtinId="0"/>
    <cellStyle name="Percent" xfId="1" builtinId="5"/>
  </cellStyles>
  <dxfs count="42">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theme="0"/>
      </font>
      <fill>
        <patternFill>
          <bgColor rgb="FF2F3437"/>
        </patternFill>
      </fill>
      <border diagonalUp="0" diagonalDown="0">
        <left style="thin">
          <color rgb="FFFAC090"/>
        </left>
        <right style="thin">
          <color rgb="FFFAC090"/>
        </right>
        <top style="thin">
          <color rgb="FFFAC090"/>
        </top>
        <bottom style="thin">
          <color rgb="FFFAC090"/>
        </bottom>
        <vertical/>
        <horizontal/>
      </border>
    </dxf>
    <dxf>
      <font>
        <b/>
        <i val="0"/>
        <strike val="0"/>
        <condense val="0"/>
        <extend val="0"/>
        <outline val="0"/>
        <shadow val="0"/>
        <u val="none"/>
        <vertAlign val="baseline"/>
        <sz val="11"/>
        <color theme="1"/>
        <name val="Calibri"/>
        <family val="2"/>
        <scheme val="minor"/>
      </font>
      <alignment horizontal="center" vertical="top" textRotation="0" wrapText="1" indent="0" justifyLastLine="0" shrinkToFit="0" readingOrder="0"/>
    </dxf>
    <dxf>
      <numFmt numFmtId="2" formatCode="0.00"/>
    </dxf>
    <dxf>
      <numFmt numFmtId="2" formatCode="0.00"/>
    </dxf>
    <dxf>
      <numFmt numFmtId="13" formatCode="0%"/>
    </dxf>
    <dxf>
      <font>
        <b val="0"/>
        <i val="0"/>
        <strike val="0"/>
        <condense val="0"/>
        <extend val="0"/>
        <outline val="0"/>
        <shadow val="0"/>
        <u val="none"/>
        <vertAlign val="baseline"/>
        <sz val="11"/>
        <color theme="1"/>
        <name val="Calibri"/>
        <family val="2"/>
        <scheme val="minor"/>
      </font>
    </dxf>
    <dxf>
      <numFmt numFmtId="2" formatCode="0.00"/>
    </dxf>
    <dxf>
      <numFmt numFmtId="2" formatCode="0.00"/>
    </dxf>
    <dxf>
      <numFmt numFmtId="2" formatCode="0.00"/>
    </dxf>
    <dxf>
      <numFmt numFmtId="1" formatCode="0"/>
    </dxf>
    <dxf>
      <font>
        <b val="0"/>
        <i val="0"/>
        <strike val="0"/>
        <condense val="0"/>
        <extend val="0"/>
        <outline val="0"/>
        <shadow val="0"/>
        <u val="none"/>
        <vertAlign val="baseline"/>
        <sz val="11"/>
        <color theme="1"/>
        <name val="Calibri"/>
        <family val="2"/>
        <scheme val="minor"/>
      </font>
    </dxf>
    <dxf>
      <font>
        <b val="0"/>
        <i val="0"/>
        <strike val="0"/>
        <condense val="0"/>
        <extend val="0"/>
        <outline val="0"/>
        <shadow val="0"/>
        <u val="none"/>
        <vertAlign val="baseline"/>
        <sz val="11"/>
        <color theme="1"/>
        <name val="Calibri"/>
        <family val="2"/>
        <scheme val="minor"/>
      </font>
    </dxf>
    <dxf>
      <numFmt numFmtId="2" formatCode="0.00"/>
    </dxf>
    <dxf>
      <numFmt numFmtId="2" formatCode="0.00"/>
    </dxf>
    <dxf>
      <numFmt numFmtId="2" formatCode="0.00"/>
    </dxf>
    <dxf>
      <numFmt numFmtId="4" formatCode="#,##0.00"/>
    </dxf>
    <dxf>
      <numFmt numFmtId="164" formatCode="yyyy\-mm\-dd"/>
    </dxf>
    <dxf>
      <numFmt numFmtId="1" formatCode="0"/>
    </dxf>
    <dxf>
      <numFmt numFmtId="1" formatCode="0"/>
    </dxf>
    <dxf>
      <numFmt numFmtId="165" formatCode="yyyy\-mm\-dd;@"/>
    </dxf>
    <dxf>
      <numFmt numFmtId="165" formatCode="yyyy\-mm\-dd;@"/>
    </dxf>
    <dxf>
      <numFmt numFmtId="167" formatCode="mmm\-yyyy"/>
    </dxf>
    <dxf>
      <numFmt numFmtId="167" formatCode="mmm\-yyyy"/>
    </dxf>
    <dxf>
      <numFmt numFmtId="165" formatCode="yyyy\-mm\-dd;@"/>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numFmt numFmtId="14" formatCode="0.00%"/>
    </dxf>
  </dxfs>
  <tableStyles count="1" defaultTableStyle="TableStyleMedium9" defaultPivotStyle="PivotStyleLight16">
    <tableStyle name="Slicer Style 1" pivot="0" table="0" count="1" xr9:uid="{71978330-B09E-4830-ADE1-880C5506E8AC}">
      <tableStyleElement type="wholeTable" dxfId="4"/>
    </tableStyle>
  </tableStyles>
  <colors>
    <mruColors>
      <color rgb="FFFAC090"/>
      <color rgb="FF2F3437"/>
      <color rgb="FFD9D9D9"/>
      <color rgb="FF111111"/>
      <color rgb="FFFFA7A7"/>
    </mruColors>
  </colors>
  <extLst>
    <ext xmlns:x14="http://schemas.microsoft.com/office/spreadsheetml/2009/9/main" uri="{EB79DEF2-80B8-43e5-95BD-54CBDDF9020C}">
      <x14:slicerStyles defaultSlicerStyle="SlicerStyleLight1">
        <x14:slicerStyle name="Slicer Style 1"/>
      </x14:slicerStyles>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pivotCacheDefinition" Target="pivotCache/pivotCacheDefinition1.xml"/><Relationship Id="rId26" Type="http://schemas.microsoft.com/office/2007/relationships/slicerCache" Target="slicerCaches/slicerCache6.xml"/><Relationship Id="rId3" Type="http://schemas.openxmlformats.org/officeDocument/2006/relationships/worksheet" Target="worksheets/sheet3.xml"/><Relationship Id="rId21" Type="http://schemas.microsoft.com/office/2007/relationships/slicerCache" Target="slicerCaches/slicerCache1.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5" Type="http://schemas.microsoft.com/office/2007/relationships/slicerCache" Target="slicerCaches/slicerCache5.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pivotCacheDefinition" Target="pivotCache/pivotCacheDefinition3.xml"/><Relationship Id="rId29" Type="http://schemas.openxmlformats.org/officeDocument/2006/relationships/sharedStrings" Target="sharedStrings.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microsoft.com/office/2007/relationships/slicerCache" Target="slicerCaches/slicerCache4.xml"/><Relationship Id="rId5" Type="http://schemas.openxmlformats.org/officeDocument/2006/relationships/worksheet" Target="worksheets/sheet5.xml"/><Relationship Id="rId15" Type="http://schemas.openxmlformats.org/officeDocument/2006/relationships/worksheet" Target="worksheets/sheet15.xml"/><Relationship Id="rId23" Type="http://schemas.microsoft.com/office/2007/relationships/slicerCache" Target="slicerCaches/slicerCache3.xml"/><Relationship Id="rId28" Type="http://schemas.openxmlformats.org/officeDocument/2006/relationships/styles" Target="styles.xml"/><Relationship Id="rId10" Type="http://schemas.openxmlformats.org/officeDocument/2006/relationships/worksheet" Target="worksheets/sheet10.xml"/><Relationship Id="rId19" Type="http://schemas.openxmlformats.org/officeDocument/2006/relationships/pivotCacheDefinition" Target="pivotCache/pivotCacheDefinition2.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microsoft.com/office/2007/relationships/slicerCache" Target="slicerCaches/slicerCache2.xml"/><Relationship Id="rId27" Type="http://schemas.openxmlformats.org/officeDocument/2006/relationships/theme" Target="theme/theme1.xml"/><Relationship Id="rId30" Type="http://schemas.openxmlformats.org/officeDocument/2006/relationships/calcChain" Target="calcChain.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[Excel_Assignment and Brief (3).xlsx]Dashboard Charts!Revenue by month</c:name>
    <c:fmtId val="3"/>
  </c:pivotSource>
  <c:chart>
    <c:title>
      <c:tx>
        <c:rich>
          <a:bodyPr rot="0" spcFirstLastPara="1" vertOverflow="ellipsis" vert="horz" wrap="square" anchor="ctr" anchorCtr="1"/>
          <a:lstStyle/>
          <a:p>
            <a:pPr>
              <a:defRPr sz="1400" b="0" i="0" u="none" strike="noStrike" kern="1200" spc="0" baseline="0">
                <a:solidFill>
                  <a:schemeClr val="bg1"/>
                </a:solidFill>
                <a:latin typeface="+mn-lt"/>
                <a:ea typeface="+mn-ea"/>
                <a:cs typeface="+mn-cs"/>
              </a:defRPr>
            </a:pPr>
            <a:r>
              <a:rPr lang="en-US"/>
              <a:t>REVENUE BY MONTH </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bg1"/>
              </a:solidFill>
              <a:latin typeface="+mn-lt"/>
              <a:ea typeface="+mn-ea"/>
              <a:cs typeface="+mn-cs"/>
            </a:defRPr>
          </a:pPr>
          <a:endParaRPr lang="en-US"/>
        </a:p>
      </c:txPr>
    </c:title>
    <c:autoTitleDeleted val="0"/>
    <c:pivotFmts>
      <c:pivotFmt>
        <c:idx val="0"/>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ln w="28575" cap="rnd">
            <a:solidFill>
              <a:srgbClr val="FAC090"/>
            </a:solidFill>
            <a:round/>
          </a:ln>
          <a:effectLst/>
        </c:spPr>
        <c:marker>
          <c:symbol val="none"/>
        </c:marker>
        <c:dLbl>
          <c:idx val="0"/>
          <c:spPr>
            <a:noFill/>
            <a:ln>
              <a:noFill/>
            </a:ln>
            <a:effectLst/>
          </c:spPr>
          <c:txPr>
            <a:bodyPr rot="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'Dashboard Charts'!$B$3</c:f>
              <c:strCache>
                <c:ptCount val="1"/>
                <c:pt idx="0">
                  <c:v>Total</c:v>
                </c:pt>
              </c:strCache>
            </c:strRef>
          </c:tx>
          <c:spPr>
            <a:ln w="28575" cap="rnd">
              <a:solidFill>
                <a:srgbClr val="FAC090"/>
              </a:solidFill>
              <a:round/>
            </a:ln>
            <a:effectLst/>
          </c:spPr>
          <c:marker>
            <c:symbol val="none"/>
          </c:marker>
          <c:cat>
            <c:multiLvlStrRef>
              <c:f>'Dashboard Charts'!$A$4:$A$40</c:f>
              <c:multiLvlStrCache>
                <c:ptCount val="33"/>
                <c:lvl>
                  <c:pt idx="0">
                    <c:v>Jan</c:v>
                  </c:pt>
                  <c:pt idx="1">
                    <c:v>Feb</c:v>
                  </c:pt>
                  <c:pt idx="2">
                    <c:v>Mar</c:v>
                  </c:pt>
                  <c:pt idx="3">
                    <c:v>Apr</c:v>
                  </c:pt>
                  <c:pt idx="4">
                    <c:v>May</c:v>
                  </c:pt>
                  <c:pt idx="5">
                    <c:v>Jun</c:v>
                  </c:pt>
                  <c:pt idx="6">
                    <c:v>Jul</c:v>
                  </c:pt>
                  <c:pt idx="7">
                    <c:v>Aug</c:v>
                  </c:pt>
                  <c:pt idx="8">
                    <c:v>Sep</c:v>
                  </c:pt>
                  <c:pt idx="9">
                    <c:v>Oct</c:v>
                  </c:pt>
                  <c:pt idx="10">
                    <c:v>Nov</c:v>
                  </c:pt>
                  <c:pt idx="11">
                    <c:v>Dec</c:v>
                  </c:pt>
                  <c:pt idx="12">
                    <c:v>Jan</c:v>
                  </c:pt>
                  <c:pt idx="13">
                    <c:v>Feb</c:v>
                  </c:pt>
                  <c:pt idx="14">
                    <c:v>Mar</c:v>
                  </c:pt>
                  <c:pt idx="15">
                    <c:v>Apr</c:v>
                  </c:pt>
                  <c:pt idx="16">
                    <c:v>May</c:v>
                  </c:pt>
                  <c:pt idx="17">
                    <c:v>Jun</c:v>
                  </c:pt>
                  <c:pt idx="18">
                    <c:v>Jul</c:v>
                  </c:pt>
                  <c:pt idx="19">
                    <c:v>Aug</c:v>
                  </c:pt>
                  <c:pt idx="20">
                    <c:v>Sep</c:v>
                  </c:pt>
                  <c:pt idx="21">
                    <c:v>Oct</c:v>
                  </c:pt>
                  <c:pt idx="22">
                    <c:v>Nov</c:v>
                  </c:pt>
                  <c:pt idx="23">
                    <c:v>Dec</c:v>
                  </c:pt>
                  <c:pt idx="24">
                    <c:v>Jan</c:v>
                  </c:pt>
                  <c:pt idx="25">
                    <c:v>Feb</c:v>
                  </c:pt>
                  <c:pt idx="26">
                    <c:v>Mar</c:v>
                  </c:pt>
                  <c:pt idx="27">
                    <c:v>Apr</c:v>
                  </c:pt>
                  <c:pt idx="28">
                    <c:v>May</c:v>
                  </c:pt>
                  <c:pt idx="29">
                    <c:v>Jun</c:v>
                  </c:pt>
                  <c:pt idx="30">
                    <c:v>Jul</c:v>
                  </c:pt>
                  <c:pt idx="31">
                    <c:v>Aug</c:v>
                  </c:pt>
                  <c:pt idx="32">
                    <c:v>Sep</c:v>
                  </c:pt>
                </c:lvl>
                <c:lvl>
                  <c:pt idx="0">
                    <c:v>2023</c:v>
                  </c:pt>
                  <c:pt idx="12">
                    <c:v>2024</c:v>
                  </c:pt>
                  <c:pt idx="24">
                    <c:v>2025</c:v>
                  </c:pt>
                </c:lvl>
              </c:multiLvlStrCache>
            </c:multiLvlStrRef>
          </c:cat>
          <c:val>
            <c:numRef>
              <c:f>'Dashboard Charts'!$B$4:$B$40</c:f>
              <c:numCache>
                <c:formatCode>0.00</c:formatCode>
                <c:ptCount val="33"/>
                <c:pt idx="0">
                  <c:v>178642.73714999997</c:v>
                </c:pt>
                <c:pt idx="1">
                  <c:v>433149.19553000003</c:v>
                </c:pt>
                <c:pt idx="2">
                  <c:v>215576.67437999998</c:v>
                </c:pt>
                <c:pt idx="3">
                  <c:v>371604.58273999998</c:v>
                </c:pt>
                <c:pt idx="4">
                  <c:v>471414.63820975996</c:v>
                </c:pt>
                <c:pt idx="5">
                  <c:v>236474.06157000002</c:v>
                </c:pt>
                <c:pt idx="6">
                  <c:v>567977.51752838411</c:v>
                </c:pt>
                <c:pt idx="7">
                  <c:v>339044.67039000004</c:v>
                </c:pt>
                <c:pt idx="8">
                  <c:v>141266.51418999999</c:v>
                </c:pt>
                <c:pt idx="9">
                  <c:v>259682.90958616001</c:v>
                </c:pt>
                <c:pt idx="10">
                  <c:v>127009.5058</c:v>
                </c:pt>
                <c:pt idx="11">
                  <c:v>382101.36680000002</c:v>
                </c:pt>
                <c:pt idx="12">
                  <c:v>299100.37307999999</c:v>
                </c:pt>
                <c:pt idx="13">
                  <c:v>307793.71461999998</c:v>
                </c:pt>
                <c:pt idx="14">
                  <c:v>374300.10981000005</c:v>
                </c:pt>
                <c:pt idx="15">
                  <c:v>239506.82714000004</c:v>
                </c:pt>
                <c:pt idx="16">
                  <c:v>416985.76567000011</c:v>
                </c:pt>
                <c:pt idx="17">
                  <c:v>634490.72337999998</c:v>
                </c:pt>
                <c:pt idx="18">
                  <c:v>275628.61962999997</c:v>
                </c:pt>
                <c:pt idx="19">
                  <c:v>389348.62163068791</c:v>
                </c:pt>
                <c:pt idx="20">
                  <c:v>347613.18767000007</c:v>
                </c:pt>
                <c:pt idx="21">
                  <c:v>425869.98518280004</c:v>
                </c:pt>
                <c:pt idx="22">
                  <c:v>416944.18554999994</c:v>
                </c:pt>
                <c:pt idx="23">
                  <c:v>352686.24307999999</c:v>
                </c:pt>
                <c:pt idx="24">
                  <c:v>223498.20032000003</c:v>
                </c:pt>
                <c:pt idx="25">
                  <c:v>221608.49786999999</c:v>
                </c:pt>
                <c:pt idx="26">
                  <c:v>212887.97577270406</c:v>
                </c:pt>
                <c:pt idx="27">
                  <c:v>336135.16749999998</c:v>
                </c:pt>
                <c:pt idx="28">
                  <c:v>377451.76693136001</c:v>
                </c:pt>
                <c:pt idx="29">
                  <c:v>381463.40396000008</c:v>
                </c:pt>
                <c:pt idx="30">
                  <c:v>486970.83348000003</c:v>
                </c:pt>
                <c:pt idx="31">
                  <c:v>366808.72249999997</c:v>
                </c:pt>
                <c:pt idx="32">
                  <c:v>172279.72760000001</c:v>
                </c:pt>
              </c:numCache>
            </c:numRef>
          </c:val>
          <c:smooth val="0"/>
          <c:extLst>
            <c:ext xmlns:c16="http://schemas.microsoft.com/office/drawing/2014/chart" uri="{C3380CC4-5D6E-409C-BE32-E72D297353CC}">
              <c16:uniqueId val="{00000000-69EF-4912-9ED0-F0D7F372FA69}"/>
            </c:ext>
          </c:extLst>
        </c:ser>
        <c:dLbls>
          <c:showLegendKey val="0"/>
          <c:showVal val="0"/>
          <c:showCatName val="0"/>
          <c:showSerName val="0"/>
          <c:showPercent val="0"/>
          <c:showBubbleSize val="0"/>
        </c:dLbls>
        <c:smooth val="0"/>
        <c:axId val="818907120"/>
        <c:axId val="818919120"/>
      </c:lineChart>
      <c:catAx>
        <c:axId val="818907120"/>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n-US"/>
          </a:p>
        </c:txPr>
        <c:crossAx val="818919120"/>
        <c:crosses val="autoZero"/>
        <c:auto val="1"/>
        <c:lblAlgn val="ctr"/>
        <c:lblOffset val="100"/>
        <c:noMultiLvlLbl val="0"/>
      </c:catAx>
      <c:valAx>
        <c:axId val="818919120"/>
        <c:scaling>
          <c:orientation val="minMax"/>
        </c:scaling>
        <c:delete val="0"/>
        <c:axPos val="l"/>
        <c:majorGridlines>
          <c:spPr>
            <a:ln w="9525" cap="flat" cmpd="sng" algn="ctr">
              <a:solidFill>
                <a:srgbClr val="FAC090"/>
              </a:solidFill>
              <a:round/>
            </a:ln>
            <a:effectLst/>
          </c:spPr>
        </c:majorGridlines>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n-US"/>
          </a:p>
        </c:txPr>
        <c:crossAx val="818907120"/>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rgbClr val="2F3437"/>
    </a:solidFill>
    <a:ln w="9525" cap="flat" cmpd="sng" algn="ctr">
      <a:solidFill>
        <a:schemeClr val="bg1">
          <a:lumMod val="50000"/>
        </a:schemeClr>
      </a:solidFill>
      <a:round/>
    </a:ln>
    <a:effectLst/>
  </c:spPr>
  <c:txPr>
    <a:bodyPr/>
    <a:lstStyle/>
    <a:p>
      <a:pPr>
        <a:defRPr>
          <a:solidFill>
            <a:schemeClr val="bg1"/>
          </a:solidFill>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[Excel_Assignment and Brief (3).xlsx]Dashboard Charts!profit(region/channel)</c:name>
    <c:fmtId val="7"/>
  </c:pivotSource>
  <c:chart>
    <c:title>
      <c:tx>
        <c:rich>
          <a:bodyPr rot="0" spcFirstLastPara="1" vertOverflow="ellipsis" vert="horz" wrap="square" anchor="ctr" anchorCtr="1"/>
          <a:lstStyle/>
          <a:p>
            <a:pPr>
              <a:defRPr sz="1400" b="0" i="0" u="none" strike="noStrike" kern="1200" spc="0" baseline="0">
                <a:solidFill>
                  <a:schemeClr val="bg1"/>
                </a:solidFill>
                <a:latin typeface="+mn-lt"/>
                <a:ea typeface="+mn-ea"/>
                <a:cs typeface="+mn-cs"/>
              </a:defRPr>
            </a:pPr>
            <a:r>
              <a:rPr lang="en-US"/>
              <a:t>PROFIT BY REGEION AND CHANNEL</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bg1"/>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9"/>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0"/>
        <c:spPr>
          <a:solidFill>
            <a:sysClr val="window" lastClr="FFFFFF"/>
          </a:solidFill>
          <a:ln>
            <a:noFill/>
          </a:ln>
          <a:effectLst/>
        </c:spPr>
        <c:marker>
          <c:symbol val="none"/>
        </c:marker>
        <c:dLbl>
          <c:idx val="0"/>
          <c:spPr>
            <a:noFill/>
            <a:ln>
              <a:noFill/>
            </a:ln>
            <a:effectLst/>
          </c:spPr>
          <c:txPr>
            <a:bodyPr rot="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1"/>
        <c:spPr>
          <a:solidFill>
            <a:schemeClr val="bg1">
              <a:lumMod val="75000"/>
            </a:schemeClr>
          </a:solidFill>
          <a:ln>
            <a:noFill/>
          </a:ln>
          <a:effectLst/>
        </c:spPr>
        <c:marker>
          <c:symbol val="none"/>
        </c:marker>
        <c:dLbl>
          <c:idx val="0"/>
          <c:spPr>
            <a:noFill/>
            <a:ln>
              <a:noFill/>
            </a:ln>
            <a:effectLst/>
          </c:spPr>
          <c:txPr>
            <a:bodyPr rot="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2"/>
        <c:spPr>
          <a:solidFill>
            <a:schemeClr val="bg1">
              <a:lumMod val="50000"/>
            </a:schemeClr>
          </a:solidFill>
          <a:ln>
            <a:noFill/>
          </a:ln>
          <a:effectLst/>
        </c:spPr>
        <c:marker>
          <c:symbol val="none"/>
        </c:marker>
        <c:dLbl>
          <c:idx val="0"/>
          <c:spPr>
            <a:noFill/>
            <a:ln>
              <a:noFill/>
            </a:ln>
            <a:effectLst/>
          </c:spPr>
          <c:txPr>
            <a:bodyPr rot="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3"/>
        <c:spPr>
          <a:solidFill>
            <a:schemeClr val="tx1">
              <a:lumMod val="65000"/>
              <a:lumOff val="35000"/>
            </a:schemeClr>
          </a:solidFill>
          <a:ln>
            <a:noFill/>
          </a:ln>
          <a:effectLst/>
        </c:spPr>
        <c:marker>
          <c:symbol val="none"/>
        </c:marker>
        <c:dLbl>
          <c:idx val="0"/>
          <c:spPr>
            <a:noFill/>
            <a:ln>
              <a:noFill/>
            </a:ln>
            <a:effectLst/>
          </c:spPr>
          <c:txPr>
            <a:bodyPr rot="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4"/>
        <c:spPr>
          <a:solidFill>
            <a:schemeClr val="tx1">
              <a:lumMod val="85000"/>
              <a:lumOff val="15000"/>
            </a:schemeClr>
          </a:solidFill>
          <a:ln>
            <a:noFill/>
          </a:ln>
          <a:effectLst/>
        </c:spPr>
        <c:marker>
          <c:symbol val="none"/>
        </c:marker>
        <c:dLbl>
          <c:idx val="0"/>
          <c:spPr>
            <a:noFill/>
            <a:ln>
              <a:noFill/>
            </a:ln>
            <a:effectLst/>
          </c:spPr>
          <c:txPr>
            <a:bodyPr rot="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stacked"/>
        <c:varyColors val="0"/>
        <c:ser>
          <c:idx val="0"/>
          <c:order val="0"/>
          <c:tx>
            <c:strRef>
              <c:f>'Dashboard Charts'!$F$3:$F$4</c:f>
              <c:strCache>
                <c:ptCount val="1"/>
                <c:pt idx="0">
                  <c:v>Direct</c:v>
                </c:pt>
              </c:strCache>
            </c:strRef>
          </c:tx>
          <c:spPr>
            <a:solidFill>
              <a:sysClr val="window" lastClr="FFFFFF"/>
            </a:solidFill>
            <a:ln>
              <a:noFill/>
            </a:ln>
            <a:effectLst/>
          </c:spPr>
          <c:invertIfNegative val="0"/>
          <c:cat>
            <c:strRef>
              <c:f>'Dashboard Charts'!$E$5:$E$9</c:f>
              <c:strCache>
                <c:ptCount val="4"/>
                <c:pt idx="0">
                  <c:v>Africa</c:v>
                </c:pt>
                <c:pt idx="1">
                  <c:v>Americas</c:v>
                </c:pt>
                <c:pt idx="2">
                  <c:v>Asia</c:v>
                </c:pt>
                <c:pt idx="3">
                  <c:v>Europe</c:v>
                </c:pt>
              </c:strCache>
            </c:strRef>
          </c:cat>
          <c:val>
            <c:numRef>
              <c:f>'Dashboard Charts'!$F$5:$F$9</c:f>
              <c:numCache>
                <c:formatCode>0.00</c:formatCode>
                <c:ptCount val="4"/>
                <c:pt idx="0">
                  <c:v>186715.2224728</c:v>
                </c:pt>
                <c:pt idx="1">
                  <c:v>258674.92591000002</c:v>
                </c:pt>
                <c:pt idx="2">
                  <c:v>233003.93359270395</c:v>
                </c:pt>
                <c:pt idx="3">
                  <c:v>300745.65850000002</c:v>
                </c:pt>
              </c:numCache>
            </c:numRef>
          </c:val>
          <c:extLst>
            <c:ext xmlns:c16="http://schemas.microsoft.com/office/drawing/2014/chart" uri="{C3380CC4-5D6E-409C-BE32-E72D297353CC}">
              <c16:uniqueId val="{00000000-08CA-4203-A051-CD0B2A890BCB}"/>
            </c:ext>
          </c:extLst>
        </c:ser>
        <c:ser>
          <c:idx val="1"/>
          <c:order val="1"/>
          <c:tx>
            <c:strRef>
              <c:f>'Dashboard Charts'!$G$3:$G$4</c:f>
              <c:strCache>
                <c:ptCount val="1"/>
                <c:pt idx="0">
                  <c:v>Distributor</c:v>
                </c:pt>
              </c:strCache>
            </c:strRef>
          </c:tx>
          <c:spPr>
            <a:solidFill>
              <a:schemeClr val="bg1">
                <a:lumMod val="75000"/>
              </a:schemeClr>
            </a:solidFill>
            <a:ln>
              <a:noFill/>
            </a:ln>
            <a:effectLst/>
          </c:spPr>
          <c:invertIfNegative val="0"/>
          <c:cat>
            <c:strRef>
              <c:f>'Dashboard Charts'!$E$5:$E$9</c:f>
              <c:strCache>
                <c:ptCount val="4"/>
                <c:pt idx="0">
                  <c:v>Africa</c:v>
                </c:pt>
                <c:pt idx="1">
                  <c:v>Americas</c:v>
                </c:pt>
                <c:pt idx="2">
                  <c:v>Asia</c:v>
                </c:pt>
                <c:pt idx="3">
                  <c:v>Europe</c:v>
                </c:pt>
              </c:strCache>
            </c:strRef>
          </c:cat>
          <c:val>
            <c:numRef>
              <c:f>'Dashboard Charts'!$G$5:$G$9</c:f>
              <c:numCache>
                <c:formatCode>0.00</c:formatCode>
                <c:ptCount val="4"/>
                <c:pt idx="0">
                  <c:v>227456.26997814397</c:v>
                </c:pt>
                <c:pt idx="1">
                  <c:v>177464.66859135995</c:v>
                </c:pt>
                <c:pt idx="2">
                  <c:v>155163.86647000001</c:v>
                </c:pt>
                <c:pt idx="3">
                  <c:v>105550.85220000002</c:v>
                </c:pt>
              </c:numCache>
            </c:numRef>
          </c:val>
          <c:extLst>
            <c:ext xmlns:c16="http://schemas.microsoft.com/office/drawing/2014/chart" uri="{C3380CC4-5D6E-409C-BE32-E72D297353CC}">
              <c16:uniqueId val="{00000001-08CA-4203-A051-CD0B2A890BCB}"/>
            </c:ext>
          </c:extLst>
        </c:ser>
        <c:ser>
          <c:idx val="2"/>
          <c:order val="2"/>
          <c:tx>
            <c:strRef>
              <c:f>'Dashboard Charts'!$H$3:$H$4</c:f>
              <c:strCache>
                <c:ptCount val="1"/>
                <c:pt idx="0">
                  <c:v>Marketplace</c:v>
                </c:pt>
              </c:strCache>
            </c:strRef>
          </c:tx>
          <c:spPr>
            <a:solidFill>
              <a:schemeClr val="bg1">
                <a:lumMod val="50000"/>
              </a:schemeClr>
            </a:solidFill>
            <a:ln>
              <a:noFill/>
            </a:ln>
            <a:effectLst/>
          </c:spPr>
          <c:invertIfNegative val="0"/>
          <c:cat>
            <c:strRef>
              <c:f>'Dashboard Charts'!$E$5:$E$9</c:f>
              <c:strCache>
                <c:ptCount val="4"/>
                <c:pt idx="0">
                  <c:v>Africa</c:v>
                </c:pt>
                <c:pt idx="1">
                  <c:v>Americas</c:v>
                </c:pt>
                <c:pt idx="2">
                  <c:v>Asia</c:v>
                </c:pt>
                <c:pt idx="3">
                  <c:v>Europe</c:v>
                </c:pt>
              </c:strCache>
            </c:strRef>
          </c:cat>
          <c:val>
            <c:numRef>
              <c:f>'Dashboard Charts'!$H$5:$H$9</c:f>
              <c:numCache>
                <c:formatCode>0.00</c:formatCode>
                <c:ptCount val="4"/>
                <c:pt idx="0">
                  <c:v>164839.30455999999</c:v>
                </c:pt>
                <c:pt idx="1">
                  <c:v>97387.60751999999</c:v>
                </c:pt>
                <c:pt idx="2">
                  <c:v>151470.01311684796</c:v>
                </c:pt>
                <c:pt idx="3">
                  <c:v>111146.83824999999</c:v>
                </c:pt>
              </c:numCache>
            </c:numRef>
          </c:val>
          <c:extLst>
            <c:ext xmlns:c16="http://schemas.microsoft.com/office/drawing/2014/chart" uri="{C3380CC4-5D6E-409C-BE32-E72D297353CC}">
              <c16:uniqueId val="{00000002-08CA-4203-A051-CD0B2A890BCB}"/>
            </c:ext>
          </c:extLst>
        </c:ser>
        <c:ser>
          <c:idx val="3"/>
          <c:order val="3"/>
          <c:tx>
            <c:strRef>
              <c:f>'Dashboard Charts'!$I$3:$I$4</c:f>
              <c:strCache>
                <c:ptCount val="1"/>
                <c:pt idx="0">
                  <c:v>Online</c:v>
                </c:pt>
              </c:strCache>
            </c:strRef>
          </c:tx>
          <c:spPr>
            <a:solidFill>
              <a:schemeClr val="tx1">
                <a:lumMod val="65000"/>
                <a:lumOff val="35000"/>
              </a:schemeClr>
            </a:solidFill>
            <a:ln>
              <a:noFill/>
            </a:ln>
            <a:effectLst/>
          </c:spPr>
          <c:invertIfNegative val="0"/>
          <c:cat>
            <c:strRef>
              <c:f>'Dashboard Charts'!$E$5:$E$9</c:f>
              <c:strCache>
                <c:ptCount val="4"/>
                <c:pt idx="0">
                  <c:v>Africa</c:v>
                </c:pt>
                <c:pt idx="1">
                  <c:v>Americas</c:v>
                </c:pt>
                <c:pt idx="2">
                  <c:v>Asia</c:v>
                </c:pt>
                <c:pt idx="3">
                  <c:v>Europe</c:v>
                </c:pt>
              </c:strCache>
            </c:strRef>
          </c:cat>
          <c:val>
            <c:numRef>
              <c:f>'Dashboard Charts'!$I$5:$I$9</c:f>
              <c:numCache>
                <c:formatCode>0.00</c:formatCode>
                <c:ptCount val="4"/>
                <c:pt idx="0">
                  <c:v>145453.94626999996</c:v>
                </c:pt>
                <c:pt idx="1">
                  <c:v>261943.84436999995</c:v>
                </c:pt>
                <c:pt idx="2">
                  <c:v>149042.38968999998</c:v>
                </c:pt>
                <c:pt idx="3">
                  <c:v>200067.16276999997</c:v>
                </c:pt>
              </c:numCache>
            </c:numRef>
          </c:val>
          <c:extLst>
            <c:ext xmlns:c16="http://schemas.microsoft.com/office/drawing/2014/chart" uri="{C3380CC4-5D6E-409C-BE32-E72D297353CC}">
              <c16:uniqueId val="{00000003-08CA-4203-A051-CD0B2A890BCB}"/>
            </c:ext>
          </c:extLst>
        </c:ser>
        <c:ser>
          <c:idx val="4"/>
          <c:order val="4"/>
          <c:tx>
            <c:strRef>
              <c:f>'Dashboard Charts'!$J$3:$J$4</c:f>
              <c:strCache>
                <c:ptCount val="1"/>
                <c:pt idx="0">
                  <c:v>Retail</c:v>
                </c:pt>
              </c:strCache>
            </c:strRef>
          </c:tx>
          <c:spPr>
            <a:solidFill>
              <a:schemeClr val="tx1">
                <a:lumMod val="85000"/>
                <a:lumOff val="15000"/>
              </a:schemeClr>
            </a:solidFill>
            <a:ln>
              <a:noFill/>
            </a:ln>
            <a:effectLst/>
          </c:spPr>
          <c:invertIfNegative val="0"/>
          <c:cat>
            <c:strRef>
              <c:f>'Dashboard Charts'!$E$5:$E$9</c:f>
              <c:strCache>
                <c:ptCount val="4"/>
                <c:pt idx="0">
                  <c:v>Africa</c:v>
                </c:pt>
                <c:pt idx="1">
                  <c:v>Americas</c:v>
                </c:pt>
                <c:pt idx="2">
                  <c:v>Asia</c:v>
                </c:pt>
                <c:pt idx="3">
                  <c:v>Europe</c:v>
                </c:pt>
              </c:strCache>
            </c:strRef>
          </c:cat>
          <c:val>
            <c:numRef>
              <c:f>'Dashboard Charts'!$J$5:$J$9</c:f>
              <c:numCache>
                <c:formatCode>0.00</c:formatCode>
                <c:ptCount val="4"/>
                <c:pt idx="0">
                  <c:v>140531.63970999999</c:v>
                </c:pt>
                <c:pt idx="1">
                  <c:v>69035.709220000004</c:v>
                </c:pt>
                <c:pt idx="2">
                  <c:v>169788.98485000004</c:v>
                </c:pt>
                <c:pt idx="3">
                  <c:v>150086.47820999994</c:v>
                </c:pt>
              </c:numCache>
            </c:numRef>
          </c:val>
          <c:extLst>
            <c:ext xmlns:c16="http://schemas.microsoft.com/office/drawing/2014/chart" uri="{C3380CC4-5D6E-409C-BE32-E72D297353CC}">
              <c16:uniqueId val="{00000004-08CA-4203-A051-CD0B2A890BCB}"/>
            </c:ext>
          </c:extLst>
        </c:ser>
        <c:dLbls>
          <c:showLegendKey val="0"/>
          <c:showVal val="0"/>
          <c:showCatName val="0"/>
          <c:showSerName val="0"/>
          <c:showPercent val="0"/>
          <c:showBubbleSize val="0"/>
        </c:dLbls>
        <c:gapWidth val="150"/>
        <c:overlap val="100"/>
        <c:axId val="995344144"/>
        <c:axId val="995340304"/>
      </c:barChart>
      <c:catAx>
        <c:axId val="995344144"/>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n-US"/>
          </a:p>
        </c:txPr>
        <c:crossAx val="995340304"/>
        <c:crosses val="autoZero"/>
        <c:auto val="1"/>
        <c:lblAlgn val="ctr"/>
        <c:lblOffset val="100"/>
        <c:noMultiLvlLbl val="0"/>
      </c:catAx>
      <c:valAx>
        <c:axId val="995340304"/>
        <c:scaling>
          <c:orientation val="minMax"/>
        </c:scaling>
        <c:delete val="0"/>
        <c:axPos val="l"/>
        <c:majorGridlines>
          <c:spPr>
            <a:ln w="9525" cap="flat" cmpd="sng" algn="ctr">
              <a:solidFill>
                <a:srgbClr val="FAC090"/>
              </a:solidFill>
              <a:round/>
            </a:ln>
            <a:effectLst/>
          </c:spPr>
        </c:majorGridlines>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n-US"/>
          </a:p>
        </c:txPr>
        <c:crossAx val="995344144"/>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rgbClr val="2F3437"/>
    </a:solidFill>
    <a:ln w="9525" cap="flat" cmpd="sng" algn="ctr">
      <a:solidFill>
        <a:schemeClr val="bg1">
          <a:lumMod val="65000"/>
        </a:schemeClr>
      </a:solidFill>
      <a:round/>
    </a:ln>
    <a:effectLst/>
  </c:spPr>
  <c:txPr>
    <a:bodyPr/>
    <a:lstStyle/>
    <a:p>
      <a:pPr>
        <a:defRPr>
          <a:solidFill>
            <a:schemeClr val="bg1"/>
          </a:solidFill>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[Excel_Assignment and Brief (3).xlsx]Dashboard Charts!Top 10 SKU</c:name>
    <c:fmtId val="3"/>
  </c:pivotSource>
  <c:chart>
    <c:title>
      <c:tx>
        <c:rich>
          <a:bodyPr rot="0" spcFirstLastPara="1" vertOverflow="ellipsis" vert="horz" wrap="square" anchor="ctr" anchorCtr="1"/>
          <a:lstStyle/>
          <a:p>
            <a:pPr algn="ctr" rtl="0">
              <a:defRPr sz="1400" b="0" i="0" u="none" strike="noStrike" kern="1200" spc="0" baseline="0">
                <a:solidFill>
                  <a:schemeClr val="bg1"/>
                </a:solidFill>
                <a:latin typeface="+mn-lt"/>
                <a:ea typeface="+mn-ea"/>
                <a:cs typeface="+mn-cs"/>
              </a:defRPr>
            </a:pPr>
            <a:r>
              <a:rPr lang="en-US"/>
              <a:t>TOP 10 SKU BY REVENUE </a:t>
            </a:r>
          </a:p>
          <a:p>
            <a:pPr algn="ctr" rtl="0">
              <a:defRPr/>
            </a:pPr>
            <a:endParaRPr lang="en-US"/>
          </a:p>
        </c:rich>
      </c:tx>
      <c:overlay val="0"/>
      <c:spPr>
        <a:noFill/>
        <a:ln>
          <a:noFill/>
        </a:ln>
        <a:effectLst/>
      </c:spPr>
      <c:txPr>
        <a:bodyPr rot="0" spcFirstLastPara="1" vertOverflow="ellipsis" vert="horz" wrap="square" anchor="ctr" anchorCtr="1"/>
        <a:lstStyle/>
        <a:p>
          <a:pPr algn="ctr" rtl="0">
            <a:defRPr sz="1400" b="0" i="0" u="none" strike="noStrike" kern="1200" spc="0" baseline="0">
              <a:solidFill>
                <a:schemeClr val="bg1"/>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rgbClr val="FAC090"/>
          </a:solidFill>
          <a:ln>
            <a:noFill/>
          </a:ln>
          <a:effectLst/>
        </c:spPr>
        <c:marker>
          <c:symbol val="none"/>
        </c:marker>
        <c:dLbl>
          <c:idx val="0"/>
          <c:spPr>
            <a:noFill/>
            <a:ln>
              <a:noFill/>
            </a:ln>
            <a:effectLst/>
          </c:spPr>
          <c:txPr>
            <a:bodyPr rot="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'Dashboard Charts'!$F$13</c:f>
              <c:strCache>
                <c:ptCount val="1"/>
                <c:pt idx="0">
                  <c:v>Total</c:v>
                </c:pt>
              </c:strCache>
            </c:strRef>
          </c:tx>
          <c:spPr>
            <a:solidFill>
              <a:srgbClr val="FAC090"/>
            </a:solidFill>
            <a:ln>
              <a:noFill/>
            </a:ln>
            <a:effectLst/>
          </c:spPr>
          <c:invertIfNegative val="0"/>
          <c:cat>
            <c:strRef>
              <c:f>'Dashboard Charts'!$E$14:$E$24</c:f>
              <c:strCache>
                <c:ptCount val="10"/>
                <c:pt idx="0">
                  <c:v>CMP-3938</c:v>
                </c:pt>
                <c:pt idx="1">
                  <c:v>CMP-8851</c:v>
                </c:pt>
                <c:pt idx="2">
                  <c:v>LAP-3904</c:v>
                </c:pt>
                <c:pt idx="3">
                  <c:v>LAP-8910</c:v>
                </c:pt>
                <c:pt idx="4">
                  <c:v>MON-2266</c:v>
                </c:pt>
                <c:pt idx="5">
                  <c:v>MON-6699</c:v>
                </c:pt>
                <c:pt idx="6">
                  <c:v>MON-6962</c:v>
                </c:pt>
                <c:pt idx="7">
                  <c:v>NET-2365</c:v>
                </c:pt>
                <c:pt idx="8">
                  <c:v>NET-5523</c:v>
                </c:pt>
                <c:pt idx="9">
                  <c:v>NET-5987</c:v>
                </c:pt>
              </c:strCache>
            </c:strRef>
          </c:cat>
          <c:val>
            <c:numRef>
              <c:f>'Dashboard Charts'!$F$14:$F$24</c:f>
              <c:numCache>
                <c:formatCode>General</c:formatCode>
                <c:ptCount val="10"/>
                <c:pt idx="0">
                  <c:v>84136.119600000005</c:v>
                </c:pt>
                <c:pt idx="1">
                  <c:v>139277.83032000001</c:v>
                </c:pt>
                <c:pt idx="2">
                  <c:v>82514.711519999997</c:v>
                </c:pt>
                <c:pt idx="3">
                  <c:v>102122.94203999999</c:v>
                </c:pt>
                <c:pt idx="4">
                  <c:v>87404.929919999995</c:v>
                </c:pt>
                <c:pt idx="5">
                  <c:v>85637.740319999997</c:v>
                </c:pt>
                <c:pt idx="6">
                  <c:v>92715.25</c:v>
                </c:pt>
                <c:pt idx="7">
                  <c:v>109244</c:v>
                </c:pt>
                <c:pt idx="8">
                  <c:v>79548.755999999994</c:v>
                </c:pt>
                <c:pt idx="9">
                  <c:v>82141.339799999987</c:v>
                </c:pt>
              </c:numCache>
            </c:numRef>
          </c:val>
          <c:extLst>
            <c:ext xmlns:c16="http://schemas.microsoft.com/office/drawing/2014/chart" uri="{C3380CC4-5D6E-409C-BE32-E72D297353CC}">
              <c16:uniqueId val="{00000000-6761-462C-98BA-AFD41428FE19}"/>
            </c:ext>
          </c:extLst>
        </c:ser>
        <c:dLbls>
          <c:showLegendKey val="0"/>
          <c:showVal val="0"/>
          <c:showCatName val="0"/>
          <c:showSerName val="0"/>
          <c:showPercent val="0"/>
          <c:showBubbleSize val="0"/>
        </c:dLbls>
        <c:gapWidth val="182"/>
        <c:axId val="995355664"/>
        <c:axId val="995354224"/>
      </c:barChart>
      <c:catAx>
        <c:axId val="995355664"/>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n-US"/>
          </a:p>
        </c:txPr>
        <c:crossAx val="995354224"/>
        <c:crosses val="autoZero"/>
        <c:auto val="1"/>
        <c:lblAlgn val="ctr"/>
        <c:lblOffset val="100"/>
        <c:noMultiLvlLbl val="0"/>
      </c:catAx>
      <c:valAx>
        <c:axId val="995354224"/>
        <c:scaling>
          <c:orientation val="minMax"/>
        </c:scaling>
        <c:delete val="0"/>
        <c:axPos val="b"/>
        <c:majorGridlines>
          <c:spPr>
            <a:ln w="9525" cap="flat" cmpd="sng" algn="ctr">
              <a:solidFill>
                <a:srgbClr val="FAC090"/>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n-US"/>
          </a:p>
        </c:txPr>
        <c:crossAx val="995355664"/>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rgbClr val="2F3437"/>
    </a:solidFill>
    <a:ln w="9525" cap="flat" cmpd="sng" algn="ctr">
      <a:solidFill>
        <a:schemeClr val="bg1">
          <a:lumMod val="65000"/>
        </a:schemeClr>
      </a:solidFill>
      <a:round/>
    </a:ln>
    <a:effectLst/>
  </c:spPr>
  <c:txPr>
    <a:bodyPr/>
    <a:lstStyle/>
    <a:p>
      <a:pPr>
        <a:defRPr>
          <a:solidFill>
            <a:schemeClr val="bg1"/>
          </a:solidFill>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8"/>
    </mc:Choice>
    <mc:Fallback>
      <c:style val="8"/>
    </mc:Fallback>
  </mc:AlternateContent>
  <c:chart>
    <c:title>
      <c:tx>
        <c:rich>
          <a:bodyPr rot="0" spcFirstLastPara="1" vertOverflow="ellipsis" vert="horz" wrap="square" anchor="ctr" anchorCtr="1"/>
          <a:lstStyle/>
          <a:p>
            <a:pPr>
              <a:defRPr sz="1400" b="0" i="0" u="none" strike="noStrike" kern="1200" spc="0" baseline="0">
                <a:solidFill>
                  <a:schemeClr val="bg1"/>
                </a:solidFill>
                <a:latin typeface="+mn-lt"/>
                <a:ea typeface="+mn-ea"/>
                <a:cs typeface="+mn-cs"/>
              </a:defRPr>
            </a:pPr>
            <a:r>
              <a:rPr lang="en-US"/>
              <a:t>DISCOUNT OUTLIERS</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bg1"/>
              </a:solidFill>
              <a:latin typeface="+mn-lt"/>
              <a:ea typeface="+mn-ea"/>
              <a:cs typeface="+mn-cs"/>
            </a:defRPr>
          </a:pPr>
          <a:endParaRPr lang="en-US"/>
        </a:p>
      </c:txPr>
    </c:title>
    <c:autoTitleDeleted val="0"/>
    <c:plotArea>
      <c:layout/>
      <c:scatterChart>
        <c:scatterStyle val="lineMarker"/>
        <c:varyColors val="0"/>
        <c:ser>
          <c:idx val="0"/>
          <c:order val="0"/>
          <c:tx>
            <c:strRef>
              <c:f>Clean!$X$1</c:f>
              <c:strCache>
                <c:ptCount val="1"/>
                <c:pt idx="0">
                  <c:v>DiscountPct</c:v>
                </c:pt>
              </c:strCache>
            </c:strRef>
          </c:tx>
          <c:spPr>
            <a:ln w="28575" cap="rnd">
              <a:noFill/>
              <a:round/>
            </a:ln>
            <a:effectLst/>
          </c:spPr>
          <c:marker>
            <c:symbol val="circle"/>
            <c:size val="5"/>
            <c:spPr>
              <a:solidFill>
                <a:schemeClr val="accent6"/>
              </a:solidFill>
              <a:ln w="9525">
                <a:solidFill>
                  <a:schemeClr val="accent6"/>
                </a:solidFill>
              </a:ln>
              <a:effectLst/>
            </c:spPr>
          </c:marker>
          <c:xVal>
            <c:strRef>
              <c:f>Clean!$R$2:$R$633</c:f>
              <c:strCache>
                <c:ptCount val="632"/>
                <c:pt idx="0">
                  <c:v>Components</c:v>
                </c:pt>
                <c:pt idx="1">
                  <c:v>Printers</c:v>
                </c:pt>
                <c:pt idx="2">
                  <c:v>Networking</c:v>
                </c:pt>
                <c:pt idx="3">
                  <c:v>Phones</c:v>
                </c:pt>
                <c:pt idx="4">
                  <c:v>Printers</c:v>
                </c:pt>
                <c:pt idx="5">
                  <c:v>Laptops</c:v>
                </c:pt>
                <c:pt idx="6">
                  <c:v>Monitors</c:v>
                </c:pt>
                <c:pt idx="7">
                  <c:v>Printers</c:v>
                </c:pt>
                <c:pt idx="8">
                  <c:v>Monitors</c:v>
                </c:pt>
                <c:pt idx="9">
                  <c:v>Components</c:v>
                </c:pt>
                <c:pt idx="10">
                  <c:v>Accessories</c:v>
                </c:pt>
                <c:pt idx="11">
                  <c:v>Phones</c:v>
                </c:pt>
                <c:pt idx="12">
                  <c:v>Components</c:v>
                </c:pt>
                <c:pt idx="13">
                  <c:v>Printers</c:v>
                </c:pt>
                <c:pt idx="14">
                  <c:v>Accessories</c:v>
                </c:pt>
                <c:pt idx="15">
                  <c:v>Laptops</c:v>
                </c:pt>
                <c:pt idx="16">
                  <c:v>Printers</c:v>
                </c:pt>
                <c:pt idx="17">
                  <c:v>Phones</c:v>
                </c:pt>
                <c:pt idx="18">
                  <c:v>Accessories</c:v>
                </c:pt>
                <c:pt idx="19">
                  <c:v>Laptops</c:v>
                </c:pt>
                <c:pt idx="20">
                  <c:v>Laptops</c:v>
                </c:pt>
                <c:pt idx="21">
                  <c:v>Networking</c:v>
                </c:pt>
                <c:pt idx="22">
                  <c:v>Accessories</c:v>
                </c:pt>
                <c:pt idx="23">
                  <c:v>Laptops</c:v>
                </c:pt>
                <c:pt idx="24">
                  <c:v>Components</c:v>
                </c:pt>
                <c:pt idx="25">
                  <c:v>Accessories</c:v>
                </c:pt>
                <c:pt idx="26">
                  <c:v>Printers</c:v>
                </c:pt>
                <c:pt idx="27">
                  <c:v>Phones</c:v>
                </c:pt>
                <c:pt idx="28">
                  <c:v>Phones</c:v>
                </c:pt>
                <c:pt idx="29">
                  <c:v>Networking</c:v>
                </c:pt>
                <c:pt idx="30">
                  <c:v>Components</c:v>
                </c:pt>
                <c:pt idx="31">
                  <c:v>Phones</c:v>
                </c:pt>
                <c:pt idx="32">
                  <c:v>Networking</c:v>
                </c:pt>
                <c:pt idx="33">
                  <c:v>Laptops</c:v>
                </c:pt>
                <c:pt idx="34">
                  <c:v>Components</c:v>
                </c:pt>
                <c:pt idx="35">
                  <c:v>Printers</c:v>
                </c:pt>
                <c:pt idx="36">
                  <c:v>Components</c:v>
                </c:pt>
                <c:pt idx="37">
                  <c:v>Components</c:v>
                </c:pt>
                <c:pt idx="38">
                  <c:v>Printers</c:v>
                </c:pt>
                <c:pt idx="39">
                  <c:v>Printers</c:v>
                </c:pt>
                <c:pt idx="40">
                  <c:v>Monitors</c:v>
                </c:pt>
                <c:pt idx="41">
                  <c:v>Networking</c:v>
                </c:pt>
                <c:pt idx="42">
                  <c:v>Printers</c:v>
                </c:pt>
                <c:pt idx="43">
                  <c:v>Printers</c:v>
                </c:pt>
                <c:pt idx="44">
                  <c:v>Components</c:v>
                </c:pt>
                <c:pt idx="45">
                  <c:v>Networking</c:v>
                </c:pt>
                <c:pt idx="46">
                  <c:v>Printers</c:v>
                </c:pt>
                <c:pt idx="47">
                  <c:v>Networking</c:v>
                </c:pt>
                <c:pt idx="48">
                  <c:v>Networking</c:v>
                </c:pt>
                <c:pt idx="49">
                  <c:v>Printers</c:v>
                </c:pt>
                <c:pt idx="50">
                  <c:v>Accessories</c:v>
                </c:pt>
                <c:pt idx="51">
                  <c:v>Monitors</c:v>
                </c:pt>
                <c:pt idx="52">
                  <c:v>Laptops</c:v>
                </c:pt>
                <c:pt idx="53">
                  <c:v>Laptops</c:v>
                </c:pt>
                <c:pt idx="54">
                  <c:v>Networking</c:v>
                </c:pt>
                <c:pt idx="55">
                  <c:v>Monitors</c:v>
                </c:pt>
                <c:pt idx="56">
                  <c:v>Laptops</c:v>
                </c:pt>
                <c:pt idx="57">
                  <c:v>Accessories</c:v>
                </c:pt>
                <c:pt idx="58">
                  <c:v>Accessories</c:v>
                </c:pt>
                <c:pt idx="59">
                  <c:v>Accessories</c:v>
                </c:pt>
                <c:pt idx="60">
                  <c:v>Components</c:v>
                </c:pt>
                <c:pt idx="61">
                  <c:v>Components</c:v>
                </c:pt>
                <c:pt idx="62">
                  <c:v>Phones</c:v>
                </c:pt>
                <c:pt idx="63">
                  <c:v>Monitors</c:v>
                </c:pt>
                <c:pt idx="64">
                  <c:v>Laptops</c:v>
                </c:pt>
                <c:pt idx="65">
                  <c:v>Phones</c:v>
                </c:pt>
                <c:pt idx="66">
                  <c:v>Accessories</c:v>
                </c:pt>
                <c:pt idx="67">
                  <c:v>Monitors</c:v>
                </c:pt>
                <c:pt idx="68">
                  <c:v>Monitors</c:v>
                </c:pt>
                <c:pt idx="69">
                  <c:v>Components</c:v>
                </c:pt>
                <c:pt idx="70">
                  <c:v>Accessories</c:v>
                </c:pt>
                <c:pt idx="71">
                  <c:v>Laptops</c:v>
                </c:pt>
                <c:pt idx="72">
                  <c:v>Laptops</c:v>
                </c:pt>
                <c:pt idx="73">
                  <c:v>Networking</c:v>
                </c:pt>
                <c:pt idx="74">
                  <c:v>Components</c:v>
                </c:pt>
                <c:pt idx="75">
                  <c:v>Components</c:v>
                </c:pt>
                <c:pt idx="76">
                  <c:v>Accessories</c:v>
                </c:pt>
                <c:pt idx="77">
                  <c:v>Accessories</c:v>
                </c:pt>
                <c:pt idx="78">
                  <c:v>Components</c:v>
                </c:pt>
                <c:pt idx="79">
                  <c:v>Monitors</c:v>
                </c:pt>
                <c:pt idx="80">
                  <c:v>Networking</c:v>
                </c:pt>
                <c:pt idx="81">
                  <c:v>Printers</c:v>
                </c:pt>
                <c:pt idx="82">
                  <c:v>Components</c:v>
                </c:pt>
                <c:pt idx="83">
                  <c:v>Monitors</c:v>
                </c:pt>
                <c:pt idx="84">
                  <c:v>Networking</c:v>
                </c:pt>
                <c:pt idx="85">
                  <c:v>Components</c:v>
                </c:pt>
                <c:pt idx="86">
                  <c:v>Components</c:v>
                </c:pt>
                <c:pt idx="87">
                  <c:v>Components</c:v>
                </c:pt>
                <c:pt idx="88">
                  <c:v>Monitors</c:v>
                </c:pt>
                <c:pt idx="89">
                  <c:v>Monitors</c:v>
                </c:pt>
                <c:pt idx="90">
                  <c:v>Networking</c:v>
                </c:pt>
                <c:pt idx="91">
                  <c:v>Phones</c:v>
                </c:pt>
                <c:pt idx="92">
                  <c:v>Printers</c:v>
                </c:pt>
                <c:pt idx="93">
                  <c:v>Accessories</c:v>
                </c:pt>
                <c:pt idx="94">
                  <c:v>Phones</c:v>
                </c:pt>
                <c:pt idx="95">
                  <c:v>Printers</c:v>
                </c:pt>
                <c:pt idx="96">
                  <c:v>Monitors</c:v>
                </c:pt>
                <c:pt idx="97">
                  <c:v>Accessories</c:v>
                </c:pt>
                <c:pt idx="98">
                  <c:v>Networking</c:v>
                </c:pt>
                <c:pt idx="99">
                  <c:v>Laptops</c:v>
                </c:pt>
                <c:pt idx="100">
                  <c:v>Phones</c:v>
                </c:pt>
                <c:pt idx="101">
                  <c:v>Components</c:v>
                </c:pt>
                <c:pt idx="102">
                  <c:v>Laptops</c:v>
                </c:pt>
                <c:pt idx="103">
                  <c:v>Accessories</c:v>
                </c:pt>
                <c:pt idx="104">
                  <c:v>Laptops</c:v>
                </c:pt>
                <c:pt idx="105">
                  <c:v>Components</c:v>
                </c:pt>
                <c:pt idx="106">
                  <c:v>Phones</c:v>
                </c:pt>
                <c:pt idx="107">
                  <c:v>Phones</c:v>
                </c:pt>
                <c:pt idx="108">
                  <c:v>Networking</c:v>
                </c:pt>
                <c:pt idx="109">
                  <c:v>Accessories</c:v>
                </c:pt>
                <c:pt idx="110">
                  <c:v>Components</c:v>
                </c:pt>
                <c:pt idx="111">
                  <c:v>Laptops</c:v>
                </c:pt>
                <c:pt idx="112">
                  <c:v>Networking</c:v>
                </c:pt>
                <c:pt idx="113">
                  <c:v>Accessories</c:v>
                </c:pt>
                <c:pt idx="114">
                  <c:v>Networking</c:v>
                </c:pt>
                <c:pt idx="115">
                  <c:v>Monitors</c:v>
                </c:pt>
                <c:pt idx="116">
                  <c:v>Printers</c:v>
                </c:pt>
                <c:pt idx="117">
                  <c:v>Laptops</c:v>
                </c:pt>
                <c:pt idx="118">
                  <c:v>Monitors</c:v>
                </c:pt>
                <c:pt idx="119">
                  <c:v>Laptops</c:v>
                </c:pt>
                <c:pt idx="120">
                  <c:v>Networking</c:v>
                </c:pt>
                <c:pt idx="121">
                  <c:v>Monitors</c:v>
                </c:pt>
                <c:pt idx="122">
                  <c:v>Phones</c:v>
                </c:pt>
                <c:pt idx="123">
                  <c:v>Networking</c:v>
                </c:pt>
                <c:pt idx="124">
                  <c:v>Components</c:v>
                </c:pt>
                <c:pt idx="125">
                  <c:v>Components</c:v>
                </c:pt>
                <c:pt idx="126">
                  <c:v>Components</c:v>
                </c:pt>
                <c:pt idx="127">
                  <c:v>Components</c:v>
                </c:pt>
                <c:pt idx="128">
                  <c:v>Phones</c:v>
                </c:pt>
                <c:pt idx="129">
                  <c:v>Networking</c:v>
                </c:pt>
                <c:pt idx="130">
                  <c:v>Monitors</c:v>
                </c:pt>
                <c:pt idx="131">
                  <c:v>Accessories</c:v>
                </c:pt>
                <c:pt idx="132">
                  <c:v>Laptops</c:v>
                </c:pt>
                <c:pt idx="133">
                  <c:v>Phones</c:v>
                </c:pt>
                <c:pt idx="134">
                  <c:v>Printers</c:v>
                </c:pt>
                <c:pt idx="135">
                  <c:v>Monitors</c:v>
                </c:pt>
                <c:pt idx="136">
                  <c:v>Components</c:v>
                </c:pt>
                <c:pt idx="137">
                  <c:v>Phones</c:v>
                </c:pt>
                <c:pt idx="138">
                  <c:v>Printers</c:v>
                </c:pt>
                <c:pt idx="139">
                  <c:v>Accessories</c:v>
                </c:pt>
                <c:pt idx="140">
                  <c:v>Monitors</c:v>
                </c:pt>
                <c:pt idx="141">
                  <c:v>Phones</c:v>
                </c:pt>
                <c:pt idx="142">
                  <c:v>Accessories</c:v>
                </c:pt>
                <c:pt idx="143">
                  <c:v>Printers</c:v>
                </c:pt>
                <c:pt idx="144">
                  <c:v>Networking</c:v>
                </c:pt>
                <c:pt idx="145">
                  <c:v>Laptops</c:v>
                </c:pt>
                <c:pt idx="146">
                  <c:v>Laptops</c:v>
                </c:pt>
                <c:pt idx="147">
                  <c:v>Accessories</c:v>
                </c:pt>
                <c:pt idx="148">
                  <c:v>Printers</c:v>
                </c:pt>
                <c:pt idx="149">
                  <c:v>Phones</c:v>
                </c:pt>
                <c:pt idx="150">
                  <c:v>Printers</c:v>
                </c:pt>
                <c:pt idx="151">
                  <c:v>Laptops</c:v>
                </c:pt>
                <c:pt idx="152">
                  <c:v>Printers</c:v>
                </c:pt>
                <c:pt idx="153">
                  <c:v>Printers</c:v>
                </c:pt>
                <c:pt idx="154">
                  <c:v>Accessories</c:v>
                </c:pt>
                <c:pt idx="155">
                  <c:v>Networking</c:v>
                </c:pt>
                <c:pt idx="156">
                  <c:v>Networking</c:v>
                </c:pt>
                <c:pt idx="157">
                  <c:v>Components</c:v>
                </c:pt>
                <c:pt idx="158">
                  <c:v>Accessories</c:v>
                </c:pt>
                <c:pt idx="159">
                  <c:v>Phones</c:v>
                </c:pt>
                <c:pt idx="160">
                  <c:v>Monitors</c:v>
                </c:pt>
                <c:pt idx="161">
                  <c:v>Components</c:v>
                </c:pt>
                <c:pt idx="162">
                  <c:v>Phones</c:v>
                </c:pt>
                <c:pt idx="163">
                  <c:v>Monitors</c:v>
                </c:pt>
                <c:pt idx="164">
                  <c:v>Printers</c:v>
                </c:pt>
                <c:pt idx="165">
                  <c:v>Monitors</c:v>
                </c:pt>
                <c:pt idx="166">
                  <c:v>Laptops</c:v>
                </c:pt>
                <c:pt idx="167">
                  <c:v>Monitors</c:v>
                </c:pt>
                <c:pt idx="168">
                  <c:v>Monitors</c:v>
                </c:pt>
                <c:pt idx="169">
                  <c:v>Components</c:v>
                </c:pt>
                <c:pt idx="170">
                  <c:v>Accessories</c:v>
                </c:pt>
                <c:pt idx="171">
                  <c:v>Components</c:v>
                </c:pt>
                <c:pt idx="172">
                  <c:v>Components</c:v>
                </c:pt>
                <c:pt idx="173">
                  <c:v>Laptops</c:v>
                </c:pt>
                <c:pt idx="174">
                  <c:v>Printers</c:v>
                </c:pt>
                <c:pt idx="175">
                  <c:v>Monitors</c:v>
                </c:pt>
                <c:pt idx="176">
                  <c:v>Printers</c:v>
                </c:pt>
                <c:pt idx="177">
                  <c:v>Components</c:v>
                </c:pt>
                <c:pt idx="178">
                  <c:v>Monitors</c:v>
                </c:pt>
                <c:pt idx="179">
                  <c:v>Printers</c:v>
                </c:pt>
                <c:pt idx="180">
                  <c:v>Accessories</c:v>
                </c:pt>
                <c:pt idx="181">
                  <c:v>Phones</c:v>
                </c:pt>
                <c:pt idx="182">
                  <c:v>Accessories</c:v>
                </c:pt>
                <c:pt idx="183">
                  <c:v>Monitors</c:v>
                </c:pt>
                <c:pt idx="184">
                  <c:v>Monitors</c:v>
                </c:pt>
                <c:pt idx="185">
                  <c:v>Accessories</c:v>
                </c:pt>
                <c:pt idx="186">
                  <c:v>Monitors</c:v>
                </c:pt>
                <c:pt idx="187">
                  <c:v>Accessories</c:v>
                </c:pt>
                <c:pt idx="188">
                  <c:v>Monitors</c:v>
                </c:pt>
                <c:pt idx="189">
                  <c:v>Monitors</c:v>
                </c:pt>
                <c:pt idx="190">
                  <c:v>Laptops</c:v>
                </c:pt>
                <c:pt idx="191">
                  <c:v>Monitors</c:v>
                </c:pt>
                <c:pt idx="192">
                  <c:v>Laptops</c:v>
                </c:pt>
                <c:pt idx="193">
                  <c:v>Printers</c:v>
                </c:pt>
                <c:pt idx="194">
                  <c:v>Networking</c:v>
                </c:pt>
                <c:pt idx="195">
                  <c:v>Monitors</c:v>
                </c:pt>
                <c:pt idx="196">
                  <c:v>Phones</c:v>
                </c:pt>
                <c:pt idx="197">
                  <c:v>Phones</c:v>
                </c:pt>
                <c:pt idx="198">
                  <c:v>Networking</c:v>
                </c:pt>
                <c:pt idx="199">
                  <c:v>Printers</c:v>
                </c:pt>
                <c:pt idx="200">
                  <c:v>Phones</c:v>
                </c:pt>
                <c:pt idx="201">
                  <c:v>Printers</c:v>
                </c:pt>
                <c:pt idx="202">
                  <c:v>Phones</c:v>
                </c:pt>
                <c:pt idx="203">
                  <c:v>Networking</c:v>
                </c:pt>
                <c:pt idx="204">
                  <c:v>Monitors</c:v>
                </c:pt>
                <c:pt idx="205">
                  <c:v>Monitors</c:v>
                </c:pt>
                <c:pt idx="206">
                  <c:v>Components</c:v>
                </c:pt>
                <c:pt idx="207">
                  <c:v>Accessories</c:v>
                </c:pt>
                <c:pt idx="208">
                  <c:v>Printers</c:v>
                </c:pt>
                <c:pt idx="209">
                  <c:v>Accessories</c:v>
                </c:pt>
                <c:pt idx="210">
                  <c:v>Components</c:v>
                </c:pt>
                <c:pt idx="211">
                  <c:v>Monitors</c:v>
                </c:pt>
                <c:pt idx="212">
                  <c:v>Printers</c:v>
                </c:pt>
                <c:pt idx="213">
                  <c:v>Phones</c:v>
                </c:pt>
                <c:pt idx="214">
                  <c:v>Accessories</c:v>
                </c:pt>
                <c:pt idx="215">
                  <c:v>Networking</c:v>
                </c:pt>
                <c:pt idx="216">
                  <c:v>Monitors</c:v>
                </c:pt>
                <c:pt idx="217">
                  <c:v>Monitors</c:v>
                </c:pt>
                <c:pt idx="218">
                  <c:v>Printers</c:v>
                </c:pt>
                <c:pt idx="219">
                  <c:v>Printers</c:v>
                </c:pt>
                <c:pt idx="220">
                  <c:v>Components</c:v>
                </c:pt>
                <c:pt idx="221">
                  <c:v>Accessories</c:v>
                </c:pt>
                <c:pt idx="222">
                  <c:v>Components</c:v>
                </c:pt>
                <c:pt idx="223">
                  <c:v>Networking</c:v>
                </c:pt>
                <c:pt idx="224">
                  <c:v>Laptops</c:v>
                </c:pt>
                <c:pt idx="225">
                  <c:v>Phones</c:v>
                </c:pt>
                <c:pt idx="226">
                  <c:v>Networking</c:v>
                </c:pt>
                <c:pt idx="227">
                  <c:v>Accessories</c:v>
                </c:pt>
                <c:pt idx="228">
                  <c:v>Printers</c:v>
                </c:pt>
                <c:pt idx="229">
                  <c:v>Printers</c:v>
                </c:pt>
                <c:pt idx="230">
                  <c:v>Components</c:v>
                </c:pt>
                <c:pt idx="231">
                  <c:v>Phones</c:v>
                </c:pt>
                <c:pt idx="232">
                  <c:v>Printers</c:v>
                </c:pt>
                <c:pt idx="233">
                  <c:v>Monitors</c:v>
                </c:pt>
                <c:pt idx="234">
                  <c:v>Components</c:v>
                </c:pt>
                <c:pt idx="235">
                  <c:v>Printers</c:v>
                </c:pt>
                <c:pt idx="236">
                  <c:v>Phones</c:v>
                </c:pt>
                <c:pt idx="237">
                  <c:v>Components</c:v>
                </c:pt>
                <c:pt idx="238">
                  <c:v>Phones</c:v>
                </c:pt>
                <c:pt idx="239">
                  <c:v>Laptops</c:v>
                </c:pt>
                <c:pt idx="240">
                  <c:v>Printers</c:v>
                </c:pt>
                <c:pt idx="241">
                  <c:v>Phones</c:v>
                </c:pt>
                <c:pt idx="242">
                  <c:v>Laptops</c:v>
                </c:pt>
                <c:pt idx="243">
                  <c:v>Printers</c:v>
                </c:pt>
                <c:pt idx="244">
                  <c:v>Phones</c:v>
                </c:pt>
                <c:pt idx="245">
                  <c:v>Phones</c:v>
                </c:pt>
                <c:pt idx="246">
                  <c:v>Laptops</c:v>
                </c:pt>
                <c:pt idx="247">
                  <c:v>Monitors</c:v>
                </c:pt>
                <c:pt idx="248">
                  <c:v>Networking</c:v>
                </c:pt>
                <c:pt idx="249">
                  <c:v>Monitors</c:v>
                </c:pt>
                <c:pt idx="250">
                  <c:v>Components</c:v>
                </c:pt>
                <c:pt idx="251">
                  <c:v>Laptops</c:v>
                </c:pt>
                <c:pt idx="252">
                  <c:v>Monitors</c:v>
                </c:pt>
                <c:pt idx="253">
                  <c:v>Printers</c:v>
                </c:pt>
                <c:pt idx="254">
                  <c:v>Monitors</c:v>
                </c:pt>
                <c:pt idx="255">
                  <c:v>Laptops</c:v>
                </c:pt>
                <c:pt idx="256">
                  <c:v>Components</c:v>
                </c:pt>
                <c:pt idx="257">
                  <c:v>Networking</c:v>
                </c:pt>
                <c:pt idx="258">
                  <c:v>Monitors</c:v>
                </c:pt>
                <c:pt idx="259">
                  <c:v>Accessories</c:v>
                </c:pt>
                <c:pt idx="260">
                  <c:v>Components</c:v>
                </c:pt>
                <c:pt idx="261">
                  <c:v>Accessories</c:v>
                </c:pt>
                <c:pt idx="262">
                  <c:v>Networking</c:v>
                </c:pt>
                <c:pt idx="263">
                  <c:v>Phones</c:v>
                </c:pt>
                <c:pt idx="264">
                  <c:v>Laptops</c:v>
                </c:pt>
                <c:pt idx="265">
                  <c:v>Printers</c:v>
                </c:pt>
                <c:pt idx="266">
                  <c:v>Monitors</c:v>
                </c:pt>
                <c:pt idx="267">
                  <c:v>Components</c:v>
                </c:pt>
                <c:pt idx="268">
                  <c:v>Phones</c:v>
                </c:pt>
                <c:pt idx="269">
                  <c:v>Printers</c:v>
                </c:pt>
                <c:pt idx="270">
                  <c:v>Accessories</c:v>
                </c:pt>
                <c:pt idx="271">
                  <c:v>Monitors</c:v>
                </c:pt>
                <c:pt idx="272">
                  <c:v>Monitors</c:v>
                </c:pt>
                <c:pt idx="273">
                  <c:v>Monitors</c:v>
                </c:pt>
                <c:pt idx="274">
                  <c:v>Printers</c:v>
                </c:pt>
                <c:pt idx="275">
                  <c:v>Laptops</c:v>
                </c:pt>
                <c:pt idx="276">
                  <c:v>Networking</c:v>
                </c:pt>
                <c:pt idx="277">
                  <c:v>Accessories</c:v>
                </c:pt>
                <c:pt idx="278">
                  <c:v>Phones</c:v>
                </c:pt>
                <c:pt idx="279">
                  <c:v>Laptops</c:v>
                </c:pt>
                <c:pt idx="280">
                  <c:v>Monitors</c:v>
                </c:pt>
                <c:pt idx="281">
                  <c:v>Networking</c:v>
                </c:pt>
                <c:pt idx="282">
                  <c:v>Phones</c:v>
                </c:pt>
                <c:pt idx="283">
                  <c:v>Laptops</c:v>
                </c:pt>
                <c:pt idx="284">
                  <c:v>Laptops</c:v>
                </c:pt>
                <c:pt idx="285">
                  <c:v>Phones</c:v>
                </c:pt>
                <c:pt idx="286">
                  <c:v>Phones</c:v>
                </c:pt>
                <c:pt idx="287">
                  <c:v>Networking</c:v>
                </c:pt>
                <c:pt idx="288">
                  <c:v>Accessories</c:v>
                </c:pt>
                <c:pt idx="289">
                  <c:v>Components</c:v>
                </c:pt>
                <c:pt idx="290">
                  <c:v>Accessories</c:v>
                </c:pt>
                <c:pt idx="291">
                  <c:v>Printers</c:v>
                </c:pt>
                <c:pt idx="292">
                  <c:v>Accessories</c:v>
                </c:pt>
                <c:pt idx="293">
                  <c:v>Accessories</c:v>
                </c:pt>
                <c:pt idx="294">
                  <c:v>Components</c:v>
                </c:pt>
                <c:pt idx="295">
                  <c:v>Laptops</c:v>
                </c:pt>
                <c:pt idx="296">
                  <c:v>Printers</c:v>
                </c:pt>
                <c:pt idx="297">
                  <c:v>Monitors</c:v>
                </c:pt>
                <c:pt idx="298">
                  <c:v>Monitors</c:v>
                </c:pt>
                <c:pt idx="299">
                  <c:v>Accessories</c:v>
                </c:pt>
                <c:pt idx="300">
                  <c:v>Components</c:v>
                </c:pt>
                <c:pt idx="301">
                  <c:v>Printers</c:v>
                </c:pt>
                <c:pt idx="302">
                  <c:v>Networking</c:v>
                </c:pt>
                <c:pt idx="303">
                  <c:v>Phones</c:v>
                </c:pt>
                <c:pt idx="304">
                  <c:v>Laptops</c:v>
                </c:pt>
                <c:pt idx="305">
                  <c:v>Monitors</c:v>
                </c:pt>
                <c:pt idx="306">
                  <c:v>Accessories</c:v>
                </c:pt>
                <c:pt idx="307">
                  <c:v>Networking</c:v>
                </c:pt>
                <c:pt idx="308">
                  <c:v>Printers</c:v>
                </c:pt>
                <c:pt idx="309">
                  <c:v>Laptops</c:v>
                </c:pt>
                <c:pt idx="310">
                  <c:v>Monitors</c:v>
                </c:pt>
                <c:pt idx="311">
                  <c:v>Networking</c:v>
                </c:pt>
                <c:pt idx="312">
                  <c:v>Accessories</c:v>
                </c:pt>
                <c:pt idx="313">
                  <c:v>Printers</c:v>
                </c:pt>
                <c:pt idx="314">
                  <c:v>Monitors</c:v>
                </c:pt>
                <c:pt idx="315">
                  <c:v>Components</c:v>
                </c:pt>
                <c:pt idx="316">
                  <c:v>Phones</c:v>
                </c:pt>
                <c:pt idx="317">
                  <c:v>Networking</c:v>
                </c:pt>
                <c:pt idx="318">
                  <c:v>Monitors</c:v>
                </c:pt>
                <c:pt idx="319">
                  <c:v>Accessories</c:v>
                </c:pt>
                <c:pt idx="320">
                  <c:v>Phones</c:v>
                </c:pt>
                <c:pt idx="321">
                  <c:v>Networking</c:v>
                </c:pt>
                <c:pt idx="322">
                  <c:v>Networking</c:v>
                </c:pt>
                <c:pt idx="323">
                  <c:v>Components</c:v>
                </c:pt>
                <c:pt idx="324">
                  <c:v>Components</c:v>
                </c:pt>
                <c:pt idx="325">
                  <c:v>Accessories</c:v>
                </c:pt>
                <c:pt idx="326">
                  <c:v>Components</c:v>
                </c:pt>
                <c:pt idx="327">
                  <c:v>Phones</c:v>
                </c:pt>
                <c:pt idx="328">
                  <c:v>Monitors</c:v>
                </c:pt>
                <c:pt idx="329">
                  <c:v>Laptops</c:v>
                </c:pt>
                <c:pt idx="330">
                  <c:v>Phones</c:v>
                </c:pt>
                <c:pt idx="331">
                  <c:v>Networking</c:v>
                </c:pt>
                <c:pt idx="332">
                  <c:v>Accessories</c:v>
                </c:pt>
                <c:pt idx="333">
                  <c:v>Accessories</c:v>
                </c:pt>
                <c:pt idx="334">
                  <c:v>Phones</c:v>
                </c:pt>
                <c:pt idx="335">
                  <c:v>Printers</c:v>
                </c:pt>
                <c:pt idx="336">
                  <c:v>Phones</c:v>
                </c:pt>
                <c:pt idx="337">
                  <c:v>Printers</c:v>
                </c:pt>
                <c:pt idx="338">
                  <c:v>Accessories</c:v>
                </c:pt>
                <c:pt idx="339">
                  <c:v>Monitors</c:v>
                </c:pt>
                <c:pt idx="340">
                  <c:v>Accessories</c:v>
                </c:pt>
                <c:pt idx="341">
                  <c:v>Networking</c:v>
                </c:pt>
                <c:pt idx="342">
                  <c:v>Printers</c:v>
                </c:pt>
                <c:pt idx="343">
                  <c:v>Phones</c:v>
                </c:pt>
                <c:pt idx="344">
                  <c:v>Networking</c:v>
                </c:pt>
                <c:pt idx="345">
                  <c:v>Laptops</c:v>
                </c:pt>
                <c:pt idx="346">
                  <c:v>Accessories</c:v>
                </c:pt>
                <c:pt idx="347">
                  <c:v>Phones</c:v>
                </c:pt>
                <c:pt idx="348">
                  <c:v>Components</c:v>
                </c:pt>
                <c:pt idx="349">
                  <c:v>Laptops</c:v>
                </c:pt>
                <c:pt idx="350">
                  <c:v>Printers</c:v>
                </c:pt>
                <c:pt idx="351">
                  <c:v>Monitors</c:v>
                </c:pt>
                <c:pt idx="352">
                  <c:v>Accessories</c:v>
                </c:pt>
                <c:pt idx="353">
                  <c:v>Networking</c:v>
                </c:pt>
                <c:pt idx="354">
                  <c:v>Printers</c:v>
                </c:pt>
                <c:pt idx="355">
                  <c:v>Accessories</c:v>
                </c:pt>
                <c:pt idx="356">
                  <c:v>Printers</c:v>
                </c:pt>
                <c:pt idx="357">
                  <c:v>Networking</c:v>
                </c:pt>
                <c:pt idx="358">
                  <c:v>Accessories</c:v>
                </c:pt>
                <c:pt idx="359">
                  <c:v>Printers</c:v>
                </c:pt>
                <c:pt idx="360">
                  <c:v>Accessories</c:v>
                </c:pt>
                <c:pt idx="361">
                  <c:v>Phones</c:v>
                </c:pt>
                <c:pt idx="362">
                  <c:v>Laptops</c:v>
                </c:pt>
                <c:pt idx="363">
                  <c:v>Monitors</c:v>
                </c:pt>
                <c:pt idx="364">
                  <c:v>Printers</c:v>
                </c:pt>
                <c:pt idx="365">
                  <c:v>Components</c:v>
                </c:pt>
                <c:pt idx="366">
                  <c:v>Phones</c:v>
                </c:pt>
                <c:pt idx="367">
                  <c:v>Components</c:v>
                </c:pt>
                <c:pt idx="368">
                  <c:v>Laptops</c:v>
                </c:pt>
                <c:pt idx="369">
                  <c:v>Printers</c:v>
                </c:pt>
                <c:pt idx="370">
                  <c:v>Laptops</c:v>
                </c:pt>
                <c:pt idx="371">
                  <c:v>Phones</c:v>
                </c:pt>
                <c:pt idx="372">
                  <c:v>Monitors</c:v>
                </c:pt>
                <c:pt idx="373">
                  <c:v>Printers</c:v>
                </c:pt>
                <c:pt idx="374">
                  <c:v>Phones</c:v>
                </c:pt>
                <c:pt idx="375">
                  <c:v>Phones</c:v>
                </c:pt>
                <c:pt idx="376">
                  <c:v>Networking</c:v>
                </c:pt>
                <c:pt idx="377">
                  <c:v>Components</c:v>
                </c:pt>
                <c:pt idx="378">
                  <c:v>Networking</c:v>
                </c:pt>
                <c:pt idx="379">
                  <c:v>Networking</c:v>
                </c:pt>
                <c:pt idx="380">
                  <c:v>Components</c:v>
                </c:pt>
                <c:pt idx="381">
                  <c:v>Networking</c:v>
                </c:pt>
                <c:pt idx="382">
                  <c:v>Printers</c:v>
                </c:pt>
                <c:pt idx="383">
                  <c:v>Networking</c:v>
                </c:pt>
                <c:pt idx="384">
                  <c:v>Monitors</c:v>
                </c:pt>
                <c:pt idx="385">
                  <c:v>Laptops</c:v>
                </c:pt>
                <c:pt idx="386">
                  <c:v>Printers</c:v>
                </c:pt>
                <c:pt idx="387">
                  <c:v>Laptops</c:v>
                </c:pt>
                <c:pt idx="388">
                  <c:v>Laptops</c:v>
                </c:pt>
                <c:pt idx="389">
                  <c:v>Laptops</c:v>
                </c:pt>
                <c:pt idx="390">
                  <c:v>Monitors</c:v>
                </c:pt>
                <c:pt idx="391">
                  <c:v>Printers</c:v>
                </c:pt>
                <c:pt idx="392">
                  <c:v>Components</c:v>
                </c:pt>
                <c:pt idx="393">
                  <c:v>Phones</c:v>
                </c:pt>
                <c:pt idx="394">
                  <c:v>Components</c:v>
                </c:pt>
                <c:pt idx="395">
                  <c:v>Accessories</c:v>
                </c:pt>
                <c:pt idx="396">
                  <c:v>Monitors</c:v>
                </c:pt>
                <c:pt idx="397">
                  <c:v>Laptops</c:v>
                </c:pt>
                <c:pt idx="398">
                  <c:v>Components</c:v>
                </c:pt>
                <c:pt idx="399">
                  <c:v>Monitors</c:v>
                </c:pt>
                <c:pt idx="400">
                  <c:v>Networking</c:v>
                </c:pt>
                <c:pt idx="401">
                  <c:v>Printers</c:v>
                </c:pt>
                <c:pt idx="402">
                  <c:v>Components</c:v>
                </c:pt>
                <c:pt idx="403">
                  <c:v>Laptops</c:v>
                </c:pt>
                <c:pt idx="404">
                  <c:v>Components</c:v>
                </c:pt>
                <c:pt idx="405">
                  <c:v>Monitors</c:v>
                </c:pt>
                <c:pt idx="406">
                  <c:v>Printers</c:v>
                </c:pt>
                <c:pt idx="407">
                  <c:v>Phones</c:v>
                </c:pt>
                <c:pt idx="408">
                  <c:v>Laptops</c:v>
                </c:pt>
                <c:pt idx="409">
                  <c:v>Accessories</c:v>
                </c:pt>
                <c:pt idx="410">
                  <c:v>Laptops</c:v>
                </c:pt>
                <c:pt idx="411">
                  <c:v>Printers</c:v>
                </c:pt>
                <c:pt idx="412">
                  <c:v>Phones</c:v>
                </c:pt>
                <c:pt idx="413">
                  <c:v>Phones</c:v>
                </c:pt>
                <c:pt idx="414">
                  <c:v>Networking</c:v>
                </c:pt>
                <c:pt idx="415">
                  <c:v>Printers</c:v>
                </c:pt>
                <c:pt idx="416">
                  <c:v>Accessories</c:v>
                </c:pt>
                <c:pt idx="417">
                  <c:v>Accessories</c:v>
                </c:pt>
                <c:pt idx="418">
                  <c:v>Printers</c:v>
                </c:pt>
                <c:pt idx="419">
                  <c:v>Monitors</c:v>
                </c:pt>
                <c:pt idx="420">
                  <c:v>Phones</c:v>
                </c:pt>
                <c:pt idx="421">
                  <c:v>Phones</c:v>
                </c:pt>
                <c:pt idx="422">
                  <c:v>Laptops</c:v>
                </c:pt>
                <c:pt idx="423">
                  <c:v>Phones</c:v>
                </c:pt>
                <c:pt idx="424">
                  <c:v>Printers</c:v>
                </c:pt>
                <c:pt idx="425">
                  <c:v>Laptops</c:v>
                </c:pt>
                <c:pt idx="426">
                  <c:v>Laptops</c:v>
                </c:pt>
                <c:pt idx="427">
                  <c:v>Phones</c:v>
                </c:pt>
                <c:pt idx="428">
                  <c:v>Monitors</c:v>
                </c:pt>
                <c:pt idx="429">
                  <c:v>Phones</c:v>
                </c:pt>
                <c:pt idx="430">
                  <c:v>Printers</c:v>
                </c:pt>
                <c:pt idx="431">
                  <c:v>Laptops</c:v>
                </c:pt>
                <c:pt idx="432">
                  <c:v>Monitors</c:v>
                </c:pt>
                <c:pt idx="433">
                  <c:v>Monitors</c:v>
                </c:pt>
                <c:pt idx="434">
                  <c:v>Networking</c:v>
                </c:pt>
                <c:pt idx="435">
                  <c:v>Phones</c:v>
                </c:pt>
                <c:pt idx="436">
                  <c:v>Networking</c:v>
                </c:pt>
                <c:pt idx="437">
                  <c:v>Components</c:v>
                </c:pt>
                <c:pt idx="438">
                  <c:v>Accessories</c:v>
                </c:pt>
                <c:pt idx="439">
                  <c:v>Networking</c:v>
                </c:pt>
                <c:pt idx="440">
                  <c:v>Printers</c:v>
                </c:pt>
                <c:pt idx="441">
                  <c:v>Phones</c:v>
                </c:pt>
                <c:pt idx="442">
                  <c:v>Accessories</c:v>
                </c:pt>
                <c:pt idx="443">
                  <c:v>Printers</c:v>
                </c:pt>
                <c:pt idx="444">
                  <c:v>Printers</c:v>
                </c:pt>
                <c:pt idx="445">
                  <c:v>Printers</c:v>
                </c:pt>
                <c:pt idx="446">
                  <c:v>Laptops</c:v>
                </c:pt>
                <c:pt idx="447">
                  <c:v>Monitors</c:v>
                </c:pt>
                <c:pt idx="448">
                  <c:v>Monitors</c:v>
                </c:pt>
                <c:pt idx="449">
                  <c:v>Phones</c:v>
                </c:pt>
                <c:pt idx="450">
                  <c:v>Printers</c:v>
                </c:pt>
                <c:pt idx="451">
                  <c:v>Accessories</c:v>
                </c:pt>
                <c:pt idx="452">
                  <c:v>Components</c:v>
                </c:pt>
                <c:pt idx="453">
                  <c:v>Phones</c:v>
                </c:pt>
                <c:pt idx="454">
                  <c:v>Monitors</c:v>
                </c:pt>
                <c:pt idx="455">
                  <c:v>Accessories</c:v>
                </c:pt>
                <c:pt idx="456">
                  <c:v>Phones</c:v>
                </c:pt>
                <c:pt idx="457">
                  <c:v>Monitors</c:v>
                </c:pt>
                <c:pt idx="458">
                  <c:v>Laptops</c:v>
                </c:pt>
                <c:pt idx="459">
                  <c:v>Components</c:v>
                </c:pt>
                <c:pt idx="460">
                  <c:v>Components</c:v>
                </c:pt>
                <c:pt idx="461">
                  <c:v>Accessories</c:v>
                </c:pt>
                <c:pt idx="462">
                  <c:v>Printers</c:v>
                </c:pt>
                <c:pt idx="463">
                  <c:v>Networking</c:v>
                </c:pt>
                <c:pt idx="464">
                  <c:v>Components</c:v>
                </c:pt>
                <c:pt idx="465">
                  <c:v>Components</c:v>
                </c:pt>
                <c:pt idx="466">
                  <c:v>Accessories</c:v>
                </c:pt>
                <c:pt idx="467">
                  <c:v>Networking</c:v>
                </c:pt>
                <c:pt idx="468">
                  <c:v>Components</c:v>
                </c:pt>
                <c:pt idx="469">
                  <c:v>Printers</c:v>
                </c:pt>
                <c:pt idx="470">
                  <c:v>Printers</c:v>
                </c:pt>
                <c:pt idx="471">
                  <c:v>Printers</c:v>
                </c:pt>
                <c:pt idx="472">
                  <c:v>Components</c:v>
                </c:pt>
                <c:pt idx="473">
                  <c:v>Monitors</c:v>
                </c:pt>
                <c:pt idx="474">
                  <c:v>Phones</c:v>
                </c:pt>
                <c:pt idx="475">
                  <c:v>Printers</c:v>
                </c:pt>
                <c:pt idx="476">
                  <c:v>Laptops</c:v>
                </c:pt>
                <c:pt idx="477">
                  <c:v>Components</c:v>
                </c:pt>
                <c:pt idx="478">
                  <c:v>Laptops</c:v>
                </c:pt>
                <c:pt idx="479">
                  <c:v>Accessories</c:v>
                </c:pt>
                <c:pt idx="480">
                  <c:v>Networking</c:v>
                </c:pt>
                <c:pt idx="481">
                  <c:v>Printers</c:v>
                </c:pt>
                <c:pt idx="482">
                  <c:v>Laptops</c:v>
                </c:pt>
                <c:pt idx="483">
                  <c:v>Phones</c:v>
                </c:pt>
                <c:pt idx="484">
                  <c:v>Networking</c:v>
                </c:pt>
                <c:pt idx="485">
                  <c:v>Components</c:v>
                </c:pt>
                <c:pt idx="486">
                  <c:v>Phones</c:v>
                </c:pt>
                <c:pt idx="487">
                  <c:v>Printers</c:v>
                </c:pt>
                <c:pt idx="488">
                  <c:v>Printers</c:v>
                </c:pt>
                <c:pt idx="489">
                  <c:v>Phones</c:v>
                </c:pt>
                <c:pt idx="490">
                  <c:v>Accessories</c:v>
                </c:pt>
                <c:pt idx="491">
                  <c:v>Components</c:v>
                </c:pt>
                <c:pt idx="492">
                  <c:v>Accessories</c:v>
                </c:pt>
                <c:pt idx="493">
                  <c:v>Phones</c:v>
                </c:pt>
                <c:pt idx="494">
                  <c:v>Accessories</c:v>
                </c:pt>
                <c:pt idx="495">
                  <c:v>Monitors</c:v>
                </c:pt>
                <c:pt idx="496">
                  <c:v>Networking</c:v>
                </c:pt>
                <c:pt idx="497">
                  <c:v>Networking</c:v>
                </c:pt>
                <c:pt idx="498">
                  <c:v>Accessories</c:v>
                </c:pt>
                <c:pt idx="499">
                  <c:v>Monitors</c:v>
                </c:pt>
                <c:pt idx="500">
                  <c:v>Monitors</c:v>
                </c:pt>
                <c:pt idx="501">
                  <c:v>Phones</c:v>
                </c:pt>
                <c:pt idx="502">
                  <c:v>Printers</c:v>
                </c:pt>
                <c:pt idx="503">
                  <c:v>Networking</c:v>
                </c:pt>
                <c:pt idx="504">
                  <c:v>Networking</c:v>
                </c:pt>
                <c:pt idx="505">
                  <c:v>Components</c:v>
                </c:pt>
                <c:pt idx="506">
                  <c:v>Phones</c:v>
                </c:pt>
                <c:pt idx="507">
                  <c:v>Networking</c:v>
                </c:pt>
                <c:pt idx="508">
                  <c:v>Laptops</c:v>
                </c:pt>
                <c:pt idx="509">
                  <c:v>Laptops</c:v>
                </c:pt>
                <c:pt idx="510">
                  <c:v>Monitors</c:v>
                </c:pt>
                <c:pt idx="511">
                  <c:v>Components</c:v>
                </c:pt>
                <c:pt idx="512">
                  <c:v>Components</c:v>
                </c:pt>
                <c:pt idx="513">
                  <c:v>Phones</c:v>
                </c:pt>
                <c:pt idx="514">
                  <c:v>Components</c:v>
                </c:pt>
                <c:pt idx="515">
                  <c:v>Laptops</c:v>
                </c:pt>
                <c:pt idx="516">
                  <c:v>Printers</c:v>
                </c:pt>
                <c:pt idx="517">
                  <c:v>Accessories</c:v>
                </c:pt>
                <c:pt idx="518">
                  <c:v>Networking</c:v>
                </c:pt>
                <c:pt idx="519">
                  <c:v>Components</c:v>
                </c:pt>
                <c:pt idx="520">
                  <c:v>Components</c:v>
                </c:pt>
                <c:pt idx="521">
                  <c:v>Laptops</c:v>
                </c:pt>
                <c:pt idx="522">
                  <c:v>Accessories</c:v>
                </c:pt>
                <c:pt idx="523">
                  <c:v>Monitors</c:v>
                </c:pt>
                <c:pt idx="524">
                  <c:v>Components</c:v>
                </c:pt>
                <c:pt idx="525">
                  <c:v>Printers</c:v>
                </c:pt>
                <c:pt idx="526">
                  <c:v>Printers</c:v>
                </c:pt>
                <c:pt idx="527">
                  <c:v>Printers</c:v>
                </c:pt>
                <c:pt idx="528">
                  <c:v>Laptops</c:v>
                </c:pt>
                <c:pt idx="529">
                  <c:v>Printers</c:v>
                </c:pt>
                <c:pt idx="530">
                  <c:v>Networking</c:v>
                </c:pt>
                <c:pt idx="531">
                  <c:v>Phones</c:v>
                </c:pt>
                <c:pt idx="532">
                  <c:v>Monitors</c:v>
                </c:pt>
                <c:pt idx="533">
                  <c:v>Phones</c:v>
                </c:pt>
                <c:pt idx="534">
                  <c:v>Laptops</c:v>
                </c:pt>
                <c:pt idx="535">
                  <c:v>Laptops</c:v>
                </c:pt>
                <c:pt idx="536">
                  <c:v>Networking</c:v>
                </c:pt>
                <c:pt idx="537">
                  <c:v>Laptops</c:v>
                </c:pt>
                <c:pt idx="538">
                  <c:v>Accessories</c:v>
                </c:pt>
                <c:pt idx="539">
                  <c:v>Printers</c:v>
                </c:pt>
                <c:pt idx="540">
                  <c:v>Networking</c:v>
                </c:pt>
                <c:pt idx="541">
                  <c:v>Laptops</c:v>
                </c:pt>
                <c:pt idx="542">
                  <c:v>Monitors</c:v>
                </c:pt>
                <c:pt idx="543">
                  <c:v>Accessories</c:v>
                </c:pt>
                <c:pt idx="544">
                  <c:v>Laptops</c:v>
                </c:pt>
                <c:pt idx="545">
                  <c:v>Networking</c:v>
                </c:pt>
                <c:pt idx="546">
                  <c:v>Monitors</c:v>
                </c:pt>
                <c:pt idx="547">
                  <c:v>Accessories</c:v>
                </c:pt>
                <c:pt idx="548">
                  <c:v>Printers</c:v>
                </c:pt>
                <c:pt idx="549">
                  <c:v>Monitors</c:v>
                </c:pt>
                <c:pt idx="550">
                  <c:v>Networking</c:v>
                </c:pt>
                <c:pt idx="551">
                  <c:v>Monitors</c:v>
                </c:pt>
                <c:pt idx="552">
                  <c:v>Networking</c:v>
                </c:pt>
                <c:pt idx="553">
                  <c:v>Accessories</c:v>
                </c:pt>
                <c:pt idx="554">
                  <c:v>Accessories</c:v>
                </c:pt>
                <c:pt idx="555">
                  <c:v>Phones</c:v>
                </c:pt>
                <c:pt idx="556">
                  <c:v>Accessories</c:v>
                </c:pt>
                <c:pt idx="557">
                  <c:v>Printers</c:v>
                </c:pt>
                <c:pt idx="558">
                  <c:v>Monitors</c:v>
                </c:pt>
                <c:pt idx="559">
                  <c:v>Accessories</c:v>
                </c:pt>
                <c:pt idx="560">
                  <c:v>Printers</c:v>
                </c:pt>
                <c:pt idx="561">
                  <c:v>Components</c:v>
                </c:pt>
                <c:pt idx="562">
                  <c:v>Phones</c:v>
                </c:pt>
                <c:pt idx="563">
                  <c:v>Monitors</c:v>
                </c:pt>
                <c:pt idx="564">
                  <c:v>Networking</c:v>
                </c:pt>
                <c:pt idx="565">
                  <c:v>Laptops</c:v>
                </c:pt>
                <c:pt idx="566">
                  <c:v>Components</c:v>
                </c:pt>
                <c:pt idx="567">
                  <c:v>Laptops</c:v>
                </c:pt>
                <c:pt idx="568">
                  <c:v>Monitors</c:v>
                </c:pt>
                <c:pt idx="569">
                  <c:v>Networking</c:v>
                </c:pt>
                <c:pt idx="570">
                  <c:v>Components</c:v>
                </c:pt>
                <c:pt idx="571">
                  <c:v>Accessories</c:v>
                </c:pt>
                <c:pt idx="572">
                  <c:v>Phones</c:v>
                </c:pt>
                <c:pt idx="573">
                  <c:v>Laptops</c:v>
                </c:pt>
                <c:pt idx="574">
                  <c:v>Monitors</c:v>
                </c:pt>
                <c:pt idx="575">
                  <c:v>Components</c:v>
                </c:pt>
                <c:pt idx="576">
                  <c:v>Networking</c:v>
                </c:pt>
                <c:pt idx="577">
                  <c:v>Networking</c:v>
                </c:pt>
                <c:pt idx="578">
                  <c:v>Accessories</c:v>
                </c:pt>
                <c:pt idx="579">
                  <c:v>Networking</c:v>
                </c:pt>
                <c:pt idx="580">
                  <c:v>Phones</c:v>
                </c:pt>
                <c:pt idx="581">
                  <c:v>Components</c:v>
                </c:pt>
                <c:pt idx="582">
                  <c:v>Monitors</c:v>
                </c:pt>
                <c:pt idx="583">
                  <c:v>Laptops</c:v>
                </c:pt>
                <c:pt idx="584">
                  <c:v>Laptops</c:v>
                </c:pt>
                <c:pt idx="585">
                  <c:v>Phones</c:v>
                </c:pt>
                <c:pt idx="586">
                  <c:v>Phones</c:v>
                </c:pt>
                <c:pt idx="587">
                  <c:v>Components</c:v>
                </c:pt>
                <c:pt idx="588">
                  <c:v>Phones</c:v>
                </c:pt>
                <c:pt idx="589">
                  <c:v>Accessories</c:v>
                </c:pt>
                <c:pt idx="590">
                  <c:v>Accessories</c:v>
                </c:pt>
                <c:pt idx="591">
                  <c:v>Components</c:v>
                </c:pt>
                <c:pt idx="592">
                  <c:v>Networking</c:v>
                </c:pt>
                <c:pt idx="593">
                  <c:v>Monitors</c:v>
                </c:pt>
                <c:pt idx="594">
                  <c:v>Accessories</c:v>
                </c:pt>
                <c:pt idx="595">
                  <c:v>Laptops</c:v>
                </c:pt>
                <c:pt idx="596">
                  <c:v>Components</c:v>
                </c:pt>
                <c:pt idx="597">
                  <c:v>Printers</c:v>
                </c:pt>
                <c:pt idx="598">
                  <c:v>Printers</c:v>
                </c:pt>
                <c:pt idx="599">
                  <c:v>Monitors</c:v>
                </c:pt>
                <c:pt idx="600">
                  <c:v>Laptops</c:v>
                </c:pt>
                <c:pt idx="601">
                  <c:v>Printers</c:v>
                </c:pt>
                <c:pt idx="602">
                  <c:v>Networking</c:v>
                </c:pt>
                <c:pt idx="603">
                  <c:v>Printers</c:v>
                </c:pt>
                <c:pt idx="604">
                  <c:v>Printers</c:v>
                </c:pt>
                <c:pt idx="605">
                  <c:v>Laptops</c:v>
                </c:pt>
                <c:pt idx="606">
                  <c:v>Accessories</c:v>
                </c:pt>
                <c:pt idx="607">
                  <c:v>Phones</c:v>
                </c:pt>
                <c:pt idx="608">
                  <c:v>Printers</c:v>
                </c:pt>
                <c:pt idx="609">
                  <c:v>Components</c:v>
                </c:pt>
                <c:pt idx="610">
                  <c:v>Printers</c:v>
                </c:pt>
                <c:pt idx="611">
                  <c:v>Printers</c:v>
                </c:pt>
                <c:pt idx="612">
                  <c:v>Monitors</c:v>
                </c:pt>
                <c:pt idx="613">
                  <c:v>Networking</c:v>
                </c:pt>
                <c:pt idx="614">
                  <c:v>Networking</c:v>
                </c:pt>
                <c:pt idx="615">
                  <c:v>Printers</c:v>
                </c:pt>
                <c:pt idx="616">
                  <c:v>Networking</c:v>
                </c:pt>
                <c:pt idx="617">
                  <c:v>Monitors</c:v>
                </c:pt>
                <c:pt idx="618">
                  <c:v>Printers</c:v>
                </c:pt>
                <c:pt idx="619">
                  <c:v>Components</c:v>
                </c:pt>
                <c:pt idx="620">
                  <c:v>Accessories</c:v>
                </c:pt>
                <c:pt idx="621">
                  <c:v>Networking</c:v>
                </c:pt>
                <c:pt idx="622">
                  <c:v>Networking</c:v>
                </c:pt>
                <c:pt idx="623">
                  <c:v>Accessories</c:v>
                </c:pt>
                <c:pt idx="624">
                  <c:v>Networking</c:v>
                </c:pt>
                <c:pt idx="625">
                  <c:v>Networking</c:v>
                </c:pt>
                <c:pt idx="626">
                  <c:v>Components</c:v>
                </c:pt>
                <c:pt idx="627">
                  <c:v>Monitors</c:v>
                </c:pt>
                <c:pt idx="628">
                  <c:v>Phones</c:v>
                </c:pt>
                <c:pt idx="629">
                  <c:v>Components</c:v>
                </c:pt>
                <c:pt idx="630">
                  <c:v>Phones</c:v>
                </c:pt>
                <c:pt idx="631">
                  <c:v>Laptops</c:v>
                </c:pt>
              </c:strCache>
            </c:strRef>
          </c:xVal>
          <c:yVal>
            <c:numRef>
              <c:f>Clean!$X$2:$X$633</c:f>
              <c:numCache>
                <c:formatCode>0%</c:formatCode>
                <c:ptCount val="632"/>
                <c:pt idx="0">
                  <c:v>0.112</c:v>
                </c:pt>
                <c:pt idx="1">
                  <c:v>0.23699999999999999</c:v>
                </c:pt>
                <c:pt idx="2">
                  <c:v>0.13100000000000001</c:v>
                </c:pt>
                <c:pt idx="3">
                  <c:v>7.1999999999999995E-2</c:v>
                </c:pt>
                <c:pt idx="4">
                  <c:v>0.10199999999999999</c:v>
                </c:pt>
                <c:pt idx="5">
                  <c:v>0</c:v>
                </c:pt>
                <c:pt idx="6">
                  <c:v>0.14699999999999999</c:v>
                </c:pt>
                <c:pt idx="7">
                  <c:v>0.19400000000000001</c:v>
                </c:pt>
                <c:pt idx="8">
                  <c:v>3.1E-2</c:v>
                </c:pt>
                <c:pt idx="9">
                  <c:v>0.14899999999999999</c:v>
                </c:pt>
                <c:pt idx="10">
                  <c:v>6.0000000000000001E-3</c:v>
                </c:pt>
                <c:pt idx="11">
                  <c:v>0.25</c:v>
                </c:pt>
                <c:pt idx="12">
                  <c:v>9.4E-2</c:v>
                </c:pt>
                <c:pt idx="13">
                  <c:v>0</c:v>
                </c:pt>
                <c:pt idx="14">
                  <c:v>0</c:v>
                </c:pt>
                <c:pt idx="15">
                  <c:v>7.3999999999999996E-2</c:v>
                </c:pt>
                <c:pt idx="16">
                  <c:v>0.109</c:v>
                </c:pt>
                <c:pt idx="17">
                  <c:v>0.183</c:v>
                </c:pt>
                <c:pt idx="18">
                  <c:v>0.109</c:v>
                </c:pt>
                <c:pt idx="19">
                  <c:v>3.7999999999999999E-2</c:v>
                </c:pt>
                <c:pt idx="20">
                  <c:v>7.1999999999999995E-2</c:v>
                </c:pt>
                <c:pt idx="21">
                  <c:v>0.14299999999999999</c:v>
                </c:pt>
                <c:pt idx="22">
                  <c:v>0.12</c:v>
                </c:pt>
                <c:pt idx="23">
                  <c:v>0.01</c:v>
                </c:pt>
                <c:pt idx="24">
                  <c:v>7.0000000000000001E-3</c:v>
                </c:pt>
                <c:pt idx="25">
                  <c:v>0.16800000000000001</c:v>
                </c:pt>
                <c:pt idx="26">
                  <c:v>0</c:v>
                </c:pt>
                <c:pt idx="27">
                  <c:v>0.125</c:v>
                </c:pt>
                <c:pt idx="28">
                  <c:v>0</c:v>
                </c:pt>
                <c:pt idx="29">
                  <c:v>0.13900000000000001</c:v>
                </c:pt>
                <c:pt idx="30">
                  <c:v>8.6999999999999994E-2</c:v>
                </c:pt>
                <c:pt idx="31">
                  <c:v>8.8999999999999996E-2</c:v>
                </c:pt>
                <c:pt idx="32">
                  <c:v>8.4000000000000005E-2</c:v>
                </c:pt>
                <c:pt idx="33">
                  <c:v>0</c:v>
                </c:pt>
                <c:pt idx="34">
                  <c:v>0</c:v>
                </c:pt>
                <c:pt idx="35">
                  <c:v>0.10100000000000001</c:v>
                </c:pt>
                <c:pt idx="36">
                  <c:v>0.24299999999999999</c:v>
                </c:pt>
                <c:pt idx="37">
                  <c:v>0.13600000000000001</c:v>
                </c:pt>
                <c:pt idx="38">
                  <c:v>0.17499999999999999</c:v>
                </c:pt>
                <c:pt idx="39">
                  <c:v>0.129</c:v>
                </c:pt>
                <c:pt idx="40">
                  <c:v>3.6999999999999998E-2</c:v>
                </c:pt>
                <c:pt idx="41">
                  <c:v>0</c:v>
                </c:pt>
                <c:pt idx="42">
                  <c:v>0.318</c:v>
                </c:pt>
                <c:pt idx="43">
                  <c:v>0.14599999999999999</c:v>
                </c:pt>
                <c:pt idx="44">
                  <c:v>0.182</c:v>
                </c:pt>
                <c:pt idx="45">
                  <c:v>0.16900000000000001</c:v>
                </c:pt>
                <c:pt idx="46">
                  <c:v>0</c:v>
                </c:pt>
                <c:pt idx="47">
                  <c:v>0</c:v>
                </c:pt>
                <c:pt idx="48">
                  <c:v>0.187</c:v>
                </c:pt>
                <c:pt idx="49">
                  <c:v>0.126</c:v>
                </c:pt>
                <c:pt idx="50">
                  <c:v>0.29199999999999998</c:v>
                </c:pt>
                <c:pt idx="51">
                  <c:v>0.29499999999999998</c:v>
                </c:pt>
                <c:pt idx="52">
                  <c:v>0</c:v>
                </c:pt>
                <c:pt idx="53">
                  <c:v>0.182</c:v>
                </c:pt>
                <c:pt idx="54">
                  <c:v>0.14399999999999999</c:v>
                </c:pt>
                <c:pt idx="55">
                  <c:v>0.14699999999999999</c:v>
                </c:pt>
                <c:pt idx="56">
                  <c:v>3.5000000000000003E-2</c:v>
                </c:pt>
                <c:pt idx="57">
                  <c:v>0.14699999999999999</c:v>
                </c:pt>
                <c:pt idx="58">
                  <c:v>7.4999999999999997E-2</c:v>
                </c:pt>
                <c:pt idx="59">
                  <c:v>0.20499999999999999</c:v>
                </c:pt>
                <c:pt idx="60">
                  <c:v>0.11899999999999999</c:v>
                </c:pt>
                <c:pt idx="61">
                  <c:v>0.11</c:v>
                </c:pt>
                <c:pt idx="62">
                  <c:v>0.2</c:v>
                </c:pt>
                <c:pt idx="63">
                  <c:v>0.255</c:v>
                </c:pt>
                <c:pt idx="64">
                  <c:v>0.13</c:v>
                </c:pt>
                <c:pt idx="65">
                  <c:v>0.184</c:v>
                </c:pt>
                <c:pt idx="66">
                  <c:v>0.189</c:v>
                </c:pt>
                <c:pt idx="67">
                  <c:v>0.105</c:v>
                </c:pt>
                <c:pt idx="68">
                  <c:v>0.20399999999999999</c:v>
                </c:pt>
                <c:pt idx="69">
                  <c:v>0.05</c:v>
                </c:pt>
                <c:pt idx="70">
                  <c:v>6.8000000000000005E-2</c:v>
                </c:pt>
                <c:pt idx="71">
                  <c:v>0.14199999999999999</c:v>
                </c:pt>
                <c:pt idx="72">
                  <c:v>0.185</c:v>
                </c:pt>
                <c:pt idx="73">
                  <c:v>4.7E-2</c:v>
                </c:pt>
                <c:pt idx="74">
                  <c:v>0.34300000000000003</c:v>
                </c:pt>
                <c:pt idx="75">
                  <c:v>0.114</c:v>
                </c:pt>
                <c:pt idx="76">
                  <c:v>0.13400000000000001</c:v>
                </c:pt>
                <c:pt idx="77">
                  <c:v>7.1999999999999995E-2</c:v>
                </c:pt>
                <c:pt idx="78">
                  <c:v>0.25700000000000001</c:v>
                </c:pt>
                <c:pt idx="79">
                  <c:v>0.186</c:v>
                </c:pt>
                <c:pt idx="80">
                  <c:v>0.161</c:v>
                </c:pt>
                <c:pt idx="81">
                  <c:v>0.24099999999999999</c:v>
                </c:pt>
                <c:pt idx="82">
                  <c:v>8.4000000000000005E-2</c:v>
                </c:pt>
                <c:pt idx="83">
                  <c:v>0.215</c:v>
                </c:pt>
                <c:pt idx="84">
                  <c:v>0.104</c:v>
                </c:pt>
                <c:pt idx="85">
                  <c:v>7.0000000000000007E-2</c:v>
                </c:pt>
                <c:pt idx="86">
                  <c:v>0.154</c:v>
                </c:pt>
                <c:pt idx="87">
                  <c:v>0.188</c:v>
                </c:pt>
                <c:pt idx="88">
                  <c:v>0.03</c:v>
                </c:pt>
                <c:pt idx="89">
                  <c:v>6.6000000000000003E-2</c:v>
                </c:pt>
                <c:pt idx="90">
                  <c:v>7.3999999999999996E-2</c:v>
                </c:pt>
                <c:pt idx="91">
                  <c:v>0.14399999999999999</c:v>
                </c:pt>
                <c:pt idx="92">
                  <c:v>9.6000000000000002E-2</c:v>
                </c:pt>
                <c:pt idx="93">
                  <c:v>9.9000000000000005E-2</c:v>
                </c:pt>
                <c:pt idx="94">
                  <c:v>0.16</c:v>
                </c:pt>
                <c:pt idx="95">
                  <c:v>3.4000000000000002E-2</c:v>
                </c:pt>
                <c:pt idx="96">
                  <c:v>0.14599999999999999</c:v>
                </c:pt>
                <c:pt idx="97">
                  <c:v>0</c:v>
                </c:pt>
                <c:pt idx="98">
                  <c:v>9.1999999999999998E-2</c:v>
                </c:pt>
                <c:pt idx="99">
                  <c:v>0.29199999999999998</c:v>
                </c:pt>
                <c:pt idx="100">
                  <c:v>0</c:v>
                </c:pt>
                <c:pt idx="101">
                  <c:v>0.14000000000000001</c:v>
                </c:pt>
                <c:pt idx="102">
                  <c:v>0</c:v>
                </c:pt>
                <c:pt idx="103">
                  <c:v>0.18</c:v>
                </c:pt>
                <c:pt idx="104">
                  <c:v>0.16900000000000001</c:v>
                </c:pt>
                <c:pt idx="105">
                  <c:v>0.27800000000000002</c:v>
                </c:pt>
                <c:pt idx="106">
                  <c:v>0.13700000000000001</c:v>
                </c:pt>
                <c:pt idx="107">
                  <c:v>0.123</c:v>
                </c:pt>
                <c:pt idx="108">
                  <c:v>0</c:v>
                </c:pt>
                <c:pt idx="109">
                  <c:v>0.22900000000000001</c:v>
                </c:pt>
                <c:pt idx="110">
                  <c:v>0</c:v>
                </c:pt>
                <c:pt idx="111">
                  <c:v>1.2E-2</c:v>
                </c:pt>
                <c:pt idx="112">
                  <c:v>0.11799999999999999</c:v>
                </c:pt>
                <c:pt idx="113">
                  <c:v>0.11899999999999999</c:v>
                </c:pt>
                <c:pt idx="114">
                  <c:v>0</c:v>
                </c:pt>
                <c:pt idx="115">
                  <c:v>0.108</c:v>
                </c:pt>
                <c:pt idx="116">
                  <c:v>0.157</c:v>
                </c:pt>
                <c:pt idx="117">
                  <c:v>0.184</c:v>
                </c:pt>
                <c:pt idx="118">
                  <c:v>7.0999999999999994E-2</c:v>
                </c:pt>
                <c:pt idx="119">
                  <c:v>4.2999999999999997E-2</c:v>
                </c:pt>
                <c:pt idx="120">
                  <c:v>0.123</c:v>
                </c:pt>
                <c:pt idx="121">
                  <c:v>6.9000000000000006E-2</c:v>
                </c:pt>
                <c:pt idx="122">
                  <c:v>0.20300000000000001</c:v>
                </c:pt>
                <c:pt idx="123">
                  <c:v>5.7000000000000002E-2</c:v>
                </c:pt>
                <c:pt idx="124">
                  <c:v>8.8999999999999996E-2</c:v>
                </c:pt>
                <c:pt idx="125">
                  <c:v>8.4000000000000005E-2</c:v>
                </c:pt>
                <c:pt idx="126">
                  <c:v>7.2999999999999995E-2</c:v>
                </c:pt>
                <c:pt idx="127">
                  <c:v>0.17899999999999999</c:v>
                </c:pt>
                <c:pt idx="128">
                  <c:v>0.187</c:v>
                </c:pt>
                <c:pt idx="129">
                  <c:v>0.111</c:v>
                </c:pt>
                <c:pt idx="130">
                  <c:v>6.3E-2</c:v>
                </c:pt>
                <c:pt idx="131">
                  <c:v>0.14199999999999999</c:v>
                </c:pt>
                <c:pt idx="132">
                  <c:v>0.22</c:v>
                </c:pt>
                <c:pt idx="133">
                  <c:v>0.187</c:v>
                </c:pt>
                <c:pt idx="134">
                  <c:v>0.192</c:v>
                </c:pt>
                <c:pt idx="135">
                  <c:v>9.4E-2</c:v>
                </c:pt>
                <c:pt idx="136">
                  <c:v>8.9999999999999993E-3</c:v>
                </c:pt>
                <c:pt idx="137">
                  <c:v>0.26500000000000001</c:v>
                </c:pt>
                <c:pt idx="138">
                  <c:v>0.129</c:v>
                </c:pt>
                <c:pt idx="139">
                  <c:v>0.25900000000000001</c:v>
                </c:pt>
                <c:pt idx="140">
                  <c:v>0.11799999999999999</c:v>
                </c:pt>
                <c:pt idx="141">
                  <c:v>0.01</c:v>
                </c:pt>
                <c:pt idx="142">
                  <c:v>0.151</c:v>
                </c:pt>
                <c:pt idx="143">
                  <c:v>0.245</c:v>
                </c:pt>
                <c:pt idx="144">
                  <c:v>8.2000000000000003E-2</c:v>
                </c:pt>
                <c:pt idx="145">
                  <c:v>0.107</c:v>
                </c:pt>
                <c:pt idx="146">
                  <c:v>0.185</c:v>
                </c:pt>
                <c:pt idx="147">
                  <c:v>0</c:v>
                </c:pt>
                <c:pt idx="148">
                  <c:v>0.188</c:v>
                </c:pt>
                <c:pt idx="149">
                  <c:v>2.1000000000000001E-2</c:v>
                </c:pt>
                <c:pt idx="150">
                  <c:v>0.13100000000000001</c:v>
                </c:pt>
                <c:pt idx="151">
                  <c:v>4.4999999999999998E-2</c:v>
                </c:pt>
                <c:pt idx="152">
                  <c:v>0.184</c:v>
                </c:pt>
                <c:pt idx="153">
                  <c:v>0.13600000000000001</c:v>
                </c:pt>
                <c:pt idx="154">
                  <c:v>0.184</c:v>
                </c:pt>
                <c:pt idx="155">
                  <c:v>0.111</c:v>
                </c:pt>
                <c:pt idx="156">
                  <c:v>1.7999999999999999E-2</c:v>
                </c:pt>
                <c:pt idx="157">
                  <c:v>2.5000000000000001E-2</c:v>
                </c:pt>
                <c:pt idx="158">
                  <c:v>0.127</c:v>
                </c:pt>
                <c:pt idx="159">
                  <c:v>0.18099999999999999</c:v>
                </c:pt>
                <c:pt idx="160">
                  <c:v>0.157</c:v>
                </c:pt>
                <c:pt idx="161">
                  <c:v>7.1999999999999995E-2</c:v>
                </c:pt>
                <c:pt idx="162">
                  <c:v>0.13300000000000001</c:v>
                </c:pt>
                <c:pt idx="163">
                  <c:v>0.14000000000000001</c:v>
                </c:pt>
                <c:pt idx="164">
                  <c:v>0.02</c:v>
                </c:pt>
                <c:pt idx="165">
                  <c:v>5.2999999999999999E-2</c:v>
                </c:pt>
                <c:pt idx="166">
                  <c:v>0.19700000000000001</c:v>
                </c:pt>
                <c:pt idx="167">
                  <c:v>0.254</c:v>
                </c:pt>
                <c:pt idx="168">
                  <c:v>0.185</c:v>
                </c:pt>
                <c:pt idx="169">
                  <c:v>0.13900000000000001</c:v>
                </c:pt>
                <c:pt idx="170">
                  <c:v>0.254</c:v>
                </c:pt>
                <c:pt idx="171">
                  <c:v>0.13400000000000001</c:v>
                </c:pt>
                <c:pt idx="172">
                  <c:v>4.7E-2</c:v>
                </c:pt>
                <c:pt idx="173">
                  <c:v>7.8E-2</c:v>
                </c:pt>
                <c:pt idx="174">
                  <c:v>2.1999999999999999E-2</c:v>
                </c:pt>
                <c:pt idx="175">
                  <c:v>0.255</c:v>
                </c:pt>
                <c:pt idx="176">
                  <c:v>9.0999999999999998E-2</c:v>
                </c:pt>
                <c:pt idx="177">
                  <c:v>0.17699999999999999</c:v>
                </c:pt>
                <c:pt idx="178">
                  <c:v>5.6000000000000001E-2</c:v>
                </c:pt>
                <c:pt idx="179">
                  <c:v>0.17299999999999999</c:v>
                </c:pt>
                <c:pt idx="180">
                  <c:v>0.21199999999999999</c:v>
                </c:pt>
                <c:pt idx="181">
                  <c:v>6.3E-2</c:v>
                </c:pt>
                <c:pt idx="182">
                  <c:v>0.19600000000000001</c:v>
                </c:pt>
                <c:pt idx="183">
                  <c:v>0.10100000000000001</c:v>
                </c:pt>
                <c:pt idx="184">
                  <c:v>0.153</c:v>
                </c:pt>
                <c:pt idx="185">
                  <c:v>2.5000000000000001E-2</c:v>
                </c:pt>
                <c:pt idx="186">
                  <c:v>0.21099999999999999</c:v>
                </c:pt>
                <c:pt idx="187">
                  <c:v>0.23300000000000001</c:v>
                </c:pt>
                <c:pt idx="188">
                  <c:v>0.11799999999999999</c:v>
                </c:pt>
                <c:pt idx="189">
                  <c:v>1.2E-2</c:v>
                </c:pt>
                <c:pt idx="190">
                  <c:v>0.215</c:v>
                </c:pt>
                <c:pt idx="191">
                  <c:v>9.4E-2</c:v>
                </c:pt>
                <c:pt idx="192">
                  <c:v>0.23599999999999999</c:v>
                </c:pt>
                <c:pt idx="193">
                  <c:v>7.1999999999999995E-2</c:v>
                </c:pt>
                <c:pt idx="194">
                  <c:v>9.4E-2</c:v>
                </c:pt>
                <c:pt idx="195">
                  <c:v>0.159</c:v>
                </c:pt>
                <c:pt idx="196">
                  <c:v>0.185</c:v>
                </c:pt>
                <c:pt idx="197">
                  <c:v>5.0999999999999997E-2</c:v>
                </c:pt>
                <c:pt idx="198">
                  <c:v>0.186</c:v>
                </c:pt>
                <c:pt idx="199">
                  <c:v>0.155</c:v>
                </c:pt>
                <c:pt idx="200">
                  <c:v>5.7000000000000002E-2</c:v>
                </c:pt>
                <c:pt idx="201">
                  <c:v>0.25800000000000001</c:v>
                </c:pt>
                <c:pt idx="202">
                  <c:v>0</c:v>
                </c:pt>
                <c:pt idx="203">
                  <c:v>0.24299999999999999</c:v>
                </c:pt>
                <c:pt idx="204">
                  <c:v>5.5E-2</c:v>
                </c:pt>
                <c:pt idx="205">
                  <c:v>2.9000000000000001E-2</c:v>
                </c:pt>
                <c:pt idx="206">
                  <c:v>3.7999999999999999E-2</c:v>
                </c:pt>
                <c:pt idx="207">
                  <c:v>0.14799999999999999</c:v>
                </c:pt>
                <c:pt idx="208">
                  <c:v>0.20300000000000001</c:v>
                </c:pt>
                <c:pt idx="209">
                  <c:v>0.13600000000000001</c:v>
                </c:pt>
                <c:pt idx="210">
                  <c:v>0.152</c:v>
                </c:pt>
                <c:pt idx="211">
                  <c:v>0.10199999999999999</c:v>
                </c:pt>
                <c:pt idx="212">
                  <c:v>0.128</c:v>
                </c:pt>
                <c:pt idx="213">
                  <c:v>0</c:v>
                </c:pt>
                <c:pt idx="214">
                  <c:v>0.157</c:v>
                </c:pt>
                <c:pt idx="215">
                  <c:v>0.20100000000000001</c:v>
                </c:pt>
                <c:pt idx="216">
                  <c:v>0.113</c:v>
                </c:pt>
                <c:pt idx="217">
                  <c:v>0.19600000000000001</c:v>
                </c:pt>
                <c:pt idx="218">
                  <c:v>4.0000000000000001E-3</c:v>
                </c:pt>
                <c:pt idx="219">
                  <c:v>0.26600000000000001</c:v>
                </c:pt>
                <c:pt idx="220">
                  <c:v>5.5E-2</c:v>
                </c:pt>
                <c:pt idx="221">
                  <c:v>0.20399999999999999</c:v>
                </c:pt>
                <c:pt idx="222">
                  <c:v>9.2999999999999999E-2</c:v>
                </c:pt>
                <c:pt idx="223">
                  <c:v>5.0999999999999997E-2</c:v>
                </c:pt>
                <c:pt idx="224">
                  <c:v>5.0999999999999997E-2</c:v>
                </c:pt>
                <c:pt idx="225">
                  <c:v>0.14699999999999999</c:v>
                </c:pt>
                <c:pt idx="226">
                  <c:v>0.13100000000000001</c:v>
                </c:pt>
                <c:pt idx="227">
                  <c:v>6.7000000000000004E-2</c:v>
                </c:pt>
                <c:pt idx="228">
                  <c:v>0.123</c:v>
                </c:pt>
                <c:pt idx="229">
                  <c:v>0.189</c:v>
                </c:pt>
                <c:pt idx="230">
                  <c:v>0.14799999999999999</c:v>
                </c:pt>
                <c:pt idx="231">
                  <c:v>0.109</c:v>
                </c:pt>
                <c:pt idx="232">
                  <c:v>0.11600000000000001</c:v>
                </c:pt>
                <c:pt idx="233">
                  <c:v>0.187</c:v>
                </c:pt>
                <c:pt idx="234">
                  <c:v>0.10199999999999999</c:v>
                </c:pt>
                <c:pt idx="235">
                  <c:v>6.8000000000000005E-2</c:v>
                </c:pt>
                <c:pt idx="236">
                  <c:v>0.126</c:v>
                </c:pt>
                <c:pt idx="237">
                  <c:v>0.17199999999999999</c:v>
                </c:pt>
                <c:pt idx="238">
                  <c:v>0.23499999999999999</c:v>
                </c:pt>
                <c:pt idx="239">
                  <c:v>0.13</c:v>
                </c:pt>
                <c:pt idx="240">
                  <c:v>8.5999999999999993E-2</c:v>
                </c:pt>
                <c:pt idx="241">
                  <c:v>9.5000000000000001E-2</c:v>
                </c:pt>
                <c:pt idx="242">
                  <c:v>0.13600000000000001</c:v>
                </c:pt>
                <c:pt idx="243">
                  <c:v>0.23799999999999999</c:v>
                </c:pt>
                <c:pt idx="244">
                  <c:v>0.17499999999999999</c:v>
                </c:pt>
                <c:pt idx="245">
                  <c:v>0.16700000000000001</c:v>
                </c:pt>
                <c:pt idx="246">
                  <c:v>0.26300000000000001</c:v>
                </c:pt>
                <c:pt idx="247">
                  <c:v>0.151</c:v>
                </c:pt>
                <c:pt idx="248">
                  <c:v>0.11</c:v>
                </c:pt>
                <c:pt idx="249">
                  <c:v>0.107</c:v>
                </c:pt>
                <c:pt idx="250">
                  <c:v>0.14299999999999999</c:v>
                </c:pt>
                <c:pt idx="251">
                  <c:v>0.20300000000000001</c:v>
                </c:pt>
                <c:pt idx="252">
                  <c:v>0.22500000000000001</c:v>
                </c:pt>
                <c:pt idx="253">
                  <c:v>0.122</c:v>
                </c:pt>
                <c:pt idx="254">
                  <c:v>5.2999999999999999E-2</c:v>
                </c:pt>
                <c:pt idx="255">
                  <c:v>3.4000000000000002E-2</c:v>
                </c:pt>
                <c:pt idx="256">
                  <c:v>0.17299999999999999</c:v>
                </c:pt>
                <c:pt idx="257">
                  <c:v>0.19700000000000001</c:v>
                </c:pt>
                <c:pt idx="258">
                  <c:v>0.20499999999999999</c:v>
                </c:pt>
                <c:pt idx="259">
                  <c:v>0.14000000000000001</c:v>
                </c:pt>
                <c:pt idx="260">
                  <c:v>7.8E-2</c:v>
                </c:pt>
                <c:pt idx="261">
                  <c:v>4.0000000000000001E-3</c:v>
                </c:pt>
                <c:pt idx="262">
                  <c:v>0.216</c:v>
                </c:pt>
                <c:pt idx="263">
                  <c:v>5.7000000000000002E-2</c:v>
                </c:pt>
                <c:pt idx="264">
                  <c:v>0.126</c:v>
                </c:pt>
                <c:pt idx="265">
                  <c:v>0.19600000000000001</c:v>
                </c:pt>
                <c:pt idx="266">
                  <c:v>0.184</c:v>
                </c:pt>
                <c:pt idx="267">
                  <c:v>0.107</c:v>
                </c:pt>
                <c:pt idx="268">
                  <c:v>0</c:v>
                </c:pt>
                <c:pt idx="269">
                  <c:v>0.154</c:v>
                </c:pt>
                <c:pt idx="270">
                  <c:v>0.13400000000000001</c:v>
                </c:pt>
                <c:pt idx="271">
                  <c:v>0.17399999999999999</c:v>
                </c:pt>
                <c:pt idx="272">
                  <c:v>0.13900000000000001</c:v>
                </c:pt>
                <c:pt idx="273">
                  <c:v>0.16400000000000001</c:v>
                </c:pt>
                <c:pt idx="274">
                  <c:v>0.13500000000000001</c:v>
                </c:pt>
                <c:pt idx="275">
                  <c:v>0.13500000000000001</c:v>
                </c:pt>
                <c:pt idx="276">
                  <c:v>0.115</c:v>
                </c:pt>
                <c:pt idx="277">
                  <c:v>0.151</c:v>
                </c:pt>
                <c:pt idx="278">
                  <c:v>0.12</c:v>
                </c:pt>
                <c:pt idx="279">
                  <c:v>0.13800000000000001</c:v>
                </c:pt>
                <c:pt idx="280">
                  <c:v>0.112</c:v>
                </c:pt>
                <c:pt idx="281">
                  <c:v>0.317</c:v>
                </c:pt>
                <c:pt idx="282">
                  <c:v>0</c:v>
                </c:pt>
                <c:pt idx="283">
                  <c:v>0.114</c:v>
                </c:pt>
                <c:pt idx="284">
                  <c:v>0.155</c:v>
                </c:pt>
                <c:pt idx="285">
                  <c:v>0.22</c:v>
                </c:pt>
                <c:pt idx="286">
                  <c:v>0.13400000000000001</c:v>
                </c:pt>
                <c:pt idx="287">
                  <c:v>0.13400000000000001</c:v>
                </c:pt>
                <c:pt idx="288">
                  <c:v>6.6000000000000003E-2</c:v>
                </c:pt>
                <c:pt idx="289">
                  <c:v>0.192</c:v>
                </c:pt>
                <c:pt idx="290">
                  <c:v>0.14599999999999999</c:v>
                </c:pt>
                <c:pt idx="291">
                  <c:v>0.156</c:v>
                </c:pt>
                <c:pt idx="292">
                  <c:v>0.20699999999999999</c:v>
                </c:pt>
                <c:pt idx="293">
                  <c:v>5.8999999999999997E-2</c:v>
                </c:pt>
                <c:pt idx="294">
                  <c:v>0.08</c:v>
                </c:pt>
                <c:pt idx="295">
                  <c:v>0.113</c:v>
                </c:pt>
                <c:pt idx="296">
                  <c:v>0.16900000000000001</c:v>
                </c:pt>
                <c:pt idx="297">
                  <c:v>0.108</c:v>
                </c:pt>
                <c:pt idx="298">
                  <c:v>0.11899999999999999</c:v>
                </c:pt>
                <c:pt idx="299">
                  <c:v>0</c:v>
                </c:pt>
                <c:pt idx="300">
                  <c:v>5.6000000000000001E-2</c:v>
                </c:pt>
                <c:pt idx="301">
                  <c:v>0.19400000000000001</c:v>
                </c:pt>
                <c:pt idx="302">
                  <c:v>0.129</c:v>
                </c:pt>
                <c:pt idx="303">
                  <c:v>0.17399999999999999</c:v>
                </c:pt>
                <c:pt idx="304">
                  <c:v>0.08</c:v>
                </c:pt>
                <c:pt idx="305">
                  <c:v>3.7999999999999999E-2</c:v>
                </c:pt>
                <c:pt idx="306">
                  <c:v>0.1</c:v>
                </c:pt>
                <c:pt idx="307">
                  <c:v>0.17599999999999999</c:v>
                </c:pt>
                <c:pt idx="308">
                  <c:v>0.153</c:v>
                </c:pt>
                <c:pt idx="309">
                  <c:v>8.8999999999999996E-2</c:v>
                </c:pt>
                <c:pt idx="310">
                  <c:v>0.185</c:v>
                </c:pt>
                <c:pt idx="311">
                  <c:v>4.4999999999999998E-2</c:v>
                </c:pt>
                <c:pt idx="312">
                  <c:v>8.7999999999999995E-2</c:v>
                </c:pt>
                <c:pt idx="313">
                  <c:v>0</c:v>
                </c:pt>
                <c:pt idx="314">
                  <c:v>3.1E-2</c:v>
                </c:pt>
                <c:pt idx="315">
                  <c:v>0.09</c:v>
                </c:pt>
                <c:pt idx="316">
                  <c:v>0.14099999999999999</c:v>
                </c:pt>
                <c:pt idx="317">
                  <c:v>7.4999999999999997E-2</c:v>
                </c:pt>
                <c:pt idx="318">
                  <c:v>1.4E-2</c:v>
                </c:pt>
                <c:pt idx="319">
                  <c:v>0.151</c:v>
                </c:pt>
                <c:pt idx="320">
                  <c:v>7.5999999999999998E-2</c:v>
                </c:pt>
                <c:pt idx="321">
                  <c:v>0.215</c:v>
                </c:pt>
                <c:pt idx="322">
                  <c:v>0.10299999999999999</c:v>
                </c:pt>
                <c:pt idx="323">
                  <c:v>0.17599999999999999</c:v>
                </c:pt>
                <c:pt idx="324">
                  <c:v>5.0999999999999997E-2</c:v>
                </c:pt>
                <c:pt idx="325">
                  <c:v>0.121</c:v>
                </c:pt>
                <c:pt idx="326">
                  <c:v>4.2000000000000003E-2</c:v>
                </c:pt>
                <c:pt idx="327">
                  <c:v>0.109</c:v>
                </c:pt>
                <c:pt idx="328">
                  <c:v>0.34599999999999997</c:v>
                </c:pt>
                <c:pt idx="329">
                  <c:v>0.2</c:v>
                </c:pt>
                <c:pt idx="330">
                  <c:v>6.5000000000000002E-2</c:v>
                </c:pt>
                <c:pt idx="331">
                  <c:v>0.23899999999999999</c:v>
                </c:pt>
                <c:pt idx="332">
                  <c:v>0.27</c:v>
                </c:pt>
                <c:pt idx="333">
                  <c:v>2.8000000000000001E-2</c:v>
                </c:pt>
                <c:pt idx="334">
                  <c:v>0.14499999999999999</c:v>
                </c:pt>
                <c:pt idx="335">
                  <c:v>0.158</c:v>
                </c:pt>
                <c:pt idx="336">
                  <c:v>6.6000000000000003E-2</c:v>
                </c:pt>
                <c:pt idx="337">
                  <c:v>0.21</c:v>
                </c:pt>
                <c:pt idx="338">
                  <c:v>0.24</c:v>
                </c:pt>
                <c:pt idx="339">
                  <c:v>0.29899999999999999</c:v>
                </c:pt>
                <c:pt idx="340">
                  <c:v>0.56499999999999995</c:v>
                </c:pt>
                <c:pt idx="341">
                  <c:v>0.28199999999999997</c:v>
                </c:pt>
                <c:pt idx="342">
                  <c:v>0</c:v>
                </c:pt>
                <c:pt idx="343">
                  <c:v>0.26100000000000001</c:v>
                </c:pt>
                <c:pt idx="344">
                  <c:v>7.0999999999999994E-2</c:v>
                </c:pt>
                <c:pt idx="345">
                  <c:v>0.02</c:v>
                </c:pt>
                <c:pt idx="346">
                  <c:v>0.10299999999999999</c:v>
                </c:pt>
                <c:pt idx="347">
                  <c:v>0</c:v>
                </c:pt>
                <c:pt idx="348">
                  <c:v>0.14399999999999999</c:v>
                </c:pt>
                <c:pt idx="349">
                  <c:v>0.113</c:v>
                </c:pt>
                <c:pt idx="350">
                  <c:v>0.188</c:v>
                </c:pt>
                <c:pt idx="351">
                  <c:v>0.113</c:v>
                </c:pt>
                <c:pt idx="352">
                  <c:v>3.9E-2</c:v>
                </c:pt>
                <c:pt idx="353">
                  <c:v>0.17899999999999999</c:v>
                </c:pt>
                <c:pt idx="354">
                  <c:v>0.128</c:v>
                </c:pt>
                <c:pt idx="355">
                  <c:v>0.16700000000000001</c:v>
                </c:pt>
                <c:pt idx="356">
                  <c:v>0</c:v>
                </c:pt>
                <c:pt idx="357">
                  <c:v>0.17</c:v>
                </c:pt>
                <c:pt idx="358">
                  <c:v>0</c:v>
                </c:pt>
                <c:pt idx="359">
                  <c:v>0.17599999999999999</c:v>
                </c:pt>
                <c:pt idx="360">
                  <c:v>0.11</c:v>
                </c:pt>
                <c:pt idx="361">
                  <c:v>7.8E-2</c:v>
                </c:pt>
                <c:pt idx="362">
                  <c:v>1.4E-2</c:v>
                </c:pt>
                <c:pt idx="363">
                  <c:v>0.27200000000000002</c:v>
                </c:pt>
                <c:pt idx="364">
                  <c:v>0.13200000000000001</c:v>
                </c:pt>
                <c:pt idx="365">
                  <c:v>8.9999999999999993E-3</c:v>
                </c:pt>
                <c:pt idx="366">
                  <c:v>0.192</c:v>
                </c:pt>
                <c:pt idx="367">
                  <c:v>0.105</c:v>
                </c:pt>
                <c:pt idx="368">
                  <c:v>0.106</c:v>
                </c:pt>
                <c:pt idx="369">
                  <c:v>0.115</c:v>
                </c:pt>
                <c:pt idx="370">
                  <c:v>5.8000000000000003E-2</c:v>
                </c:pt>
                <c:pt idx="371">
                  <c:v>0</c:v>
                </c:pt>
                <c:pt idx="372">
                  <c:v>0.107</c:v>
                </c:pt>
                <c:pt idx="373">
                  <c:v>3.4000000000000002E-2</c:v>
                </c:pt>
                <c:pt idx="374">
                  <c:v>0.25600000000000001</c:v>
                </c:pt>
                <c:pt idx="375">
                  <c:v>6.3E-2</c:v>
                </c:pt>
                <c:pt idx="376">
                  <c:v>9.9000000000000005E-2</c:v>
                </c:pt>
                <c:pt idx="377">
                  <c:v>0.13900000000000001</c:v>
                </c:pt>
                <c:pt idx="378">
                  <c:v>9.1999999999999998E-2</c:v>
                </c:pt>
                <c:pt idx="379">
                  <c:v>3.2000000000000001E-2</c:v>
                </c:pt>
                <c:pt idx="380">
                  <c:v>0.16300000000000001</c:v>
                </c:pt>
                <c:pt idx="381">
                  <c:v>0.17599999999999999</c:v>
                </c:pt>
                <c:pt idx="382">
                  <c:v>7.8E-2</c:v>
                </c:pt>
                <c:pt idx="383">
                  <c:v>0.09</c:v>
                </c:pt>
                <c:pt idx="384">
                  <c:v>5.8000000000000003E-2</c:v>
                </c:pt>
                <c:pt idx="385">
                  <c:v>0.19</c:v>
                </c:pt>
                <c:pt idx="386">
                  <c:v>0.104</c:v>
                </c:pt>
                <c:pt idx="387">
                  <c:v>0.127</c:v>
                </c:pt>
                <c:pt idx="388">
                  <c:v>0.14699999999999999</c:v>
                </c:pt>
                <c:pt idx="389">
                  <c:v>7.1999999999999995E-2</c:v>
                </c:pt>
                <c:pt idx="390">
                  <c:v>8.9999999999999993E-3</c:v>
                </c:pt>
                <c:pt idx="391">
                  <c:v>0.105</c:v>
                </c:pt>
                <c:pt idx="392">
                  <c:v>0.35699999999999998</c:v>
                </c:pt>
                <c:pt idx="393">
                  <c:v>0.254</c:v>
                </c:pt>
                <c:pt idx="394">
                  <c:v>0.14799999999999999</c:v>
                </c:pt>
                <c:pt idx="395">
                  <c:v>9.8000000000000004E-2</c:v>
                </c:pt>
                <c:pt idx="396">
                  <c:v>0.10299999999999999</c:v>
                </c:pt>
                <c:pt idx="397">
                  <c:v>0.24099999999999999</c:v>
                </c:pt>
                <c:pt idx="398">
                  <c:v>8.3000000000000004E-2</c:v>
                </c:pt>
                <c:pt idx="399">
                  <c:v>0.122</c:v>
                </c:pt>
                <c:pt idx="400">
                  <c:v>2.5000000000000001E-2</c:v>
                </c:pt>
                <c:pt idx="401">
                  <c:v>0.18</c:v>
                </c:pt>
                <c:pt idx="402">
                  <c:v>0.106</c:v>
                </c:pt>
                <c:pt idx="403">
                  <c:v>0.126</c:v>
                </c:pt>
                <c:pt idx="404">
                  <c:v>0.111</c:v>
                </c:pt>
                <c:pt idx="405">
                  <c:v>6.4000000000000001E-2</c:v>
                </c:pt>
                <c:pt idx="406">
                  <c:v>7.6999999999999999E-2</c:v>
                </c:pt>
                <c:pt idx="407">
                  <c:v>0.13800000000000001</c:v>
                </c:pt>
                <c:pt idx="408">
                  <c:v>0.19600000000000001</c:v>
                </c:pt>
                <c:pt idx="409">
                  <c:v>0</c:v>
                </c:pt>
                <c:pt idx="410">
                  <c:v>0.24099999999999999</c:v>
                </c:pt>
                <c:pt idx="411">
                  <c:v>0.23899999999999999</c:v>
                </c:pt>
                <c:pt idx="412">
                  <c:v>0.112</c:v>
                </c:pt>
                <c:pt idx="413">
                  <c:v>8.3000000000000004E-2</c:v>
                </c:pt>
                <c:pt idx="414">
                  <c:v>7.1999999999999995E-2</c:v>
                </c:pt>
                <c:pt idx="415">
                  <c:v>3.2000000000000001E-2</c:v>
                </c:pt>
                <c:pt idx="416">
                  <c:v>0.245</c:v>
                </c:pt>
                <c:pt idx="417">
                  <c:v>0.09</c:v>
                </c:pt>
                <c:pt idx="418">
                  <c:v>0.217</c:v>
                </c:pt>
                <c:pt idx="419">
                  <c:v>0.22600000000000001</c:v>
                </c:pt>
                <c:pt idx="420">
                  <c:v>0.151</c:v>
                </c:pt>
                <c:pt idx="421">
                  <c:v>1.9E-2</c:v>
                </c:pt>
                <c:pt idx="422">
                  <c:v>0.157</c:v>
                </c:pt>
                <c:pt idx="423">
                  <c:v>0.16800000000000001</c:v>
                </c:pt>
                <c:pt idx="424">
                  <c:v>0.24299999999999999</c:v>
                </c:pt>
                <c:pt idx="425">
                  <c:v>0.17299999999999999</c:v>
                </c:pt>
                <c:pt idx="426">
                  <c:v>0.25</c:v>
                </c:pt>
                <c:pt idx="427">
                  <c:v>0.314</c:v>
                </c:pt>
                <c:pt idx="428">
                  <c:v>0</c:v>
                </c:pt>
                <c:pt idx="429">
                  <c:v>0.17499999999999999</c:v>
                </c:pt>
                <c:pt idx="430">
                  <c:v>0.115</c:v>
                </c:pt>
                <c:pt idx="431">
                  <c:v>0</c:v>
                </c:pt>
                <c:pt idx="432">
                  <c:v>5.6000000000000001E-2</c:v>
                </c:pt>
                <c:pt idx="433">
                  <c:v>5.8999999999999997E-2</c:v>
                </c:pt>
                <c:pt idx="434">
                  <c:v>0.214</c:v>
                </c:pt>
                <c:pt idx="435">
                  <c:v>0</c:v>
                </c:pt>
                <c:pt idx="436">
                  <c:v>0.113</c:v>
                </c:pt>
                <c:pt idx="437">
                  <c:v>0.14699999999999999</c:v>
                </c:pt>
                <c:pt idx="438">
                  <c:v>0.17399999999999999</c:v>
                </c:pt>
                <c:pt idx="439">
                  <c:v>4.1000000000000002E-2</c:v>
                </c:pt>
                <c:pt idx="440">
                  <c:v>0.15</c:v>
                </c:pt>
                <c:pt idx="441">
                  <c:v>0.14799999999999999</c:v>
                </c:pt>
                <c:pt idx="442">
                  <c:v>0.157</c:v>
                </c:pt>
                <c:pt idx="443">
                  <c:v>4.2999999999999997E-2</c:v>
                </c:pt>
                <c:pt idx="444">
                  <c:v>0</c:v>
                </c:pt>
                <c:pt idx="445">
                  <c:v>2.8000000000000001E-2</c:v>
                </c:pt>
                <c:pt idx="446">
                  <c:v>7.3999999999999996E-2</c:v>
                </c:pt>
                <c:pt idx="447">
                  <c:v>0.29299999999999998</c:v>
                </c:pt>
                <c:pt idx="448">
                  <c:v>0.104</c:v>
                </c:pt>
                <c:pt idx="449">
                  <c:v>0.216</c:v>
                </c:pt>
                <c:pt idx="450">
                  <c:v>0.16500000000000001</c:v>
                </c:pt>
                <c:pt idx="451">
                  <c:v>6.6000000000000003E-2</c:v>
                </c:pt>
                <c:pt idx="452">
                  <c:v>7.0999999999999994E-2</c:v>
                </c:pt>
                <c:pt idx="453">
                  <c:v>0.115</c:v>
                </c:pt>
                <c:pt idx="454">
                  <c:v>1.7000000000000001E-2</c:v>
                </c:pt>
                <c:pt idx="455">
                  <c:v>0.111</c:v>
                </c:pt>
                <c:pt idx="456">
                  <c:v>0</c:v>
                </c:pt>
                <c:pt idx="457">
                  <c:v>0.13600000000000001</c:v>
                </c:pt>
                <c:pt idx="458">
                  <c:v>0.125</c:v>
                </c:pt>
                <c:pt idx="459">
                  <c:v>0</c:v>
                </c:pt>
                <c:pt idx="460">
                  <c:v>0.107</c:v>
                </c:pt>
                <c:pt idx="461">
                  <c:v>0.129</c:v>
                </c:pt>
                <c:pt idx="462">
                  <c:v>0.152</c:v>
                </c:pt>
                <c:pt idx="463">
                  <c:v>0.124</c:v>
                </c:pt>
                <c:pt idx="464">
                  <c:v>0.25700000000000001</c:v>
                </c:pt>
                <c:pt idx="465">
                  <c:v>0.21099999999999999</c:v>
                </c:pt>
                <c:pt idx="466">
                  <c:v>0.22900000000000001</c:v>
                </c:pt>
                <c:pt idx="467">
                  <c:v>7.0999999999999994E-2</c:v>
                </c:pt>
                <c:pt idx="468">
                  <c:v>0.23</c:v>
                </c:pt>
                <c:pt idx="469">
                  <c:v>4.5999999999999999E-2</c:v>
                </c:pt>
                <c:pt idx="470">
                  <c:v>4.9000000000000002E-2</c:v>
                </c:pt>
                <c:pt idx="471">
                  <c:v>0.13800000000000001</c:v>
                </c:pt>
                <c:pt idx="472">
                  <c:v>7.3999999999999996E-2</c:v>
                </c:pt>
                <c:pt idx="473">
                  <c:v>0.126</c:v>
                </c:pt>
                <c:pt idx="474">
                  <c:v>0.20499999999999999</c:v>
                </c:pt>
                <c:pt idx="475">
                  <c:v>4.2000000000000003E-2</c:v>
                </c:pt>
                <c:pt idx="476">
                  <c:v>8.8999999999999996E-2</c:v>
                </c:pt>
                <c:pt idx="477">
                  <c:v>0.16500000000000001</c:v>
                </c:pt>
                <c:pt idx="478">
                  <c:v>0.216</c:v>
                </c:pt>
                <c:pt idx="479">
                  <c:v>0.02</c:v>
                </c:pt>
                <c:pt idx="480">
                  <c:v>7.5999999999999998E-2</c:v>
                </c:pt>
                <c:pt idx="481">
                  <c:v>9.0999999999999998E-2</c:v>
                </c:pt>
                <c:pt idx="482">
                  <c:v>0.13200000000000001</c:v>
                </c:pt>
                <c:pt idx="483">
                  <c:v>5.2999999999999999E-2</c:v>
                </c:pt>
                <c:pt idx="484">
                  <c:v>0.123</c:v>
                </c:pt>
                <c:pt idx="485">
                  <c:v>9.1999999999999998E-2</c:v>
                </c:pt>
                <c:pt idx="486">
                  <c:v>0.222</c:v>
                </c:pt>
                <c:pt idx="487">
                  <c:v>7.3999999999999996E-2</c:v>
                </c:pt>
                <c:pt idx="488">
                  <c:v>0.19700000000000001</c:v>
                </c:pt>
                <c:pt idx="489">
                  <c:v>0.13500000000000001</c:v>
                </c:pt>
                <c:pt idx="490">
                  <c:v>0</c:v>
                </c:pt>
                <c:pt idx="491">
                  <c:v>0</c:v>
                </c:pt>
                <c:pt idx="492">
                  <c:v>8.3000000000000004E-2</c:v>
                </c:pt>
                <c:pt idx="493">
                  <c:v>0.13200000000000001</c:v>
                </c:pt>
                <c:pt idx="494">
                  <c:v>4.2000000000000003E-2</c:v>
                </c:pt>
                <c:pt idx="495">
                  <c:v>0.113</c:v>
                </c:pt>
                <c:pt idx="496">
                  <c:v>0.14199999999999999</c:v>
                </c:pt>
                <c:pt idx="497">
                  <c:v>4.2000000000000003E-2</c:v>
                </c:pt>
                <c:pt idx="498">
                  <c:v>5.7000000000000002E-2</c:v>
                </c:pt>
                <c:pt idx="499">
                  <c:v>0.218</c:v>
                </c:pt>
                <c:pt idx="500">
                  <c:v>4.1000000000000002E-2</c:v>
                </c:pt>
                <c:pt idx="501">
                  <c:v>0.16700000000000001</c:v>
                </c:pt>
                <c:pt idx="502">
                  <c:v>6.9000000000000006E-2</c:v>
                </c:pt>
                <c:pt idx="503">
                  <c:v>0.10100000000000001</c:v>
                </c:pt>
                <c:pt idx="504">
                  <c:v>7.0000000000000007E-2</c:v>
                </c:pt>
                <c:pt idx="505">
                  <c:v>0.123</c:v>
                </c:pt>
                <c:pt idx="506">
                  <c:v>0.23499999999999999</c:v>
                </c:pt>
                <c:pt idx="507">
                  <c:v>0.02</c:v>
                </c:pt>
                <c:pt idx="508">
                  <c:v>9.8000000000000004E-2</c:v>
                </c:pt>
                <c:pt idx="509">
                  <c:v>0.108</c:v>
                </c:pt>
                <c:pt idx="510">
                  <c:v>0.20899999999999999</c:v>
                </c:pt>
                <c:pt idx="511">
                  <c:v>0.11899999999999999</c:v>
                </c:pt>
                <c:pt idx="512">
                  <c:v>0.14599999999999999</c:v>
                </c:pt>
                <c:pt idx="513">
                  <c:v>3.2000000000000001E-2</c:v>
                </c:pt>
                <c:pt idx="514">
                  <c:v>0</c:v>
                </c:pt>
                <c:pt idx="515">
                  <c:v>0</c:v>
                </c:pt>
                <c:pt idx="516">
                  <c:v>0.157</c:v>
                </c:pt>
                <c:pt idx="517">
                  <c:v>0.107</c:v>
                </c:pt>
                <c:pt idx="518">
                  <c:v>0.13800000000000001</c:v>
                </c:pt>
                <c:pt idx="519">
                  <c:v>4.9000000000000002E-2</c:v>
                </c:pt>
                <c:pt idx="520">
                  <c:v>0.18</c:v>
                </c:pt>
                <c:pt idx="521">
                  <c:v>0.1</c:v>
                </c:pt>
                <c:pt idx="522">
                  <c:v>0</c:v>
                </c:pt>
                <c:pt idx="523">
                  <c:v>9.4E-2</c:v>
                </c:pt>
                <c:pt idx="524">
                  <c:v>0.17</c:v>
                </c:pt>
                <c:pt idx="525">
                  <c:v>0.22500000000000001</c:v>
                </c:pt>
                <c:pt idx="526">
                  <c:v>0.13500000000000001</c:v>
                </c:pt>
                <c:pt idx="527">
                  <c:v>0</c:v>
                </c:pt>
                <c:pt idx="528">
                  <c:v>5.8999999999999997E-2</c:v>
                </c:pt>
                <c:pt idx="529">
                  <c:v>0</c:v>
                </c:pt>
                <c:pt idx="530">
                  <c:v>3.7999999999999999E-2</c:v>
                </c:pt>
                <c:pt idx="531">
                  <c:v>0.122</c:v>
                </c:pt>
                <c:pt idx="532">
                  <c:v>0.114</c:v>
                </c:pt>
                <c:pt idx="533">
                  <c:v>6.6000000000000003E-2</c:v>
                </c:pt>
                <c:pt idx="534">
                  <c:v>0.248</c:v>
                </c:pt>
                <c:pt idx="535">
                  <c:v>0.19</c:v>
                </c:pt>
                <c:pt idx="536">
                  <c:v>0.14899999999999999</c:v>
                </c:pt>
                <c:pt idx="537">
                  <c:v>8.6999999999999994E-2</c:v>
                </c:pt>
                <c:pt idx="538">
                  <c:v>4.3999999999999997E-2</c:v>
                </c:pt>
                <c:pt idx="539">
                  <c:v>0.107</c:v>
                </c:pt>
                <c:pt idx="540">
                  <c:v>8.8999999999999996E-2</c:v>
                </c:pt>
                <c:pt idx="541">
                  <c:v>0</c:v>
                </c:pt>
                <c:pt idx="542">
                  <c:v>0.13300000000000001</c:v>
                </c:pt>
                <c:pt idx="543">
                  <c:v>5.8999999999999997E-2</c:v>
                </c:pt>
                <c:pt idx="544">
                  <c:v>0.115</c:v>
                </c:pt>
                <c:pt idx="545">
                  <c:v>0.21199999999999999</c:v>
                </c:pt>
                <c:pt idx="546">
                  <c:v>0.23699999999999999</c:v>
                </c:pt>
                <c:pt idx="547">
                  <c:v>0.20799999999999999</c:v>
                </c:pt>
                <c:pt idx="548">
                  <c:v>0.123</c:v>
                </c:pt>
                <c:pt idx="549">
                  <c:v>0.17499999999999999</c:v>
                </c:pt>
                <c:pt idx="550">
                  <c:v>0.17</c:v>
                </c:pt>
                <c:pt idx="551">
                  <c:v>0.21199999999999999</c:v>
                </c:pt>
                <c:pt idx="552">
                  <c:v>0.157</c:v>
                </c:pt>
                <c:pt idx="553">
                  <c:v>4.2000000000000003E-2</c:v>
                </c:pt>
                <c:pt idx="554">
                  <c:v>8.6999999999999994E-2</c:v>
                </c:pt>
                <c:pt idx="555">
                  <c:v>0.125</c:v>
                </c:pt>
                <c:pt idx="556">
                  <c:v>0</c:v>
                </c:pt>
                <c:pt idx="557">
                  <c:v>5.3999999999999999E-2</c:v>
                </c:pt>
                <c:pt idx="558">
                  <c:v>0.21099999999999999</c:v>
                </c:pt>
                <c:pt idx="559">
                  <c:v>0.122</c:v>
                </c:pt>
                <c:pt idx="560">
                  <c:v>0.12</c:v>
                </c:pt>
                <c:pt idx="561">
                  <c:v>0.14499999999999999</c:v>
                </c:pt>
                <c:pt idx="562">
                  <c:v>5.5E-2</c:v>
                </c:pt>
                <c:pt idx="563">
                  <c:v>0.13700000000000001</c:v>
                </c:pt>
                <c:pt idx="564">
                  <c:v>6.8000000000000005E-2</c:v>
                </c:pt>
                <c:pt idx="565">
                  <c:v>0.14299999999999999</c:v>
                </c:pt>
                <c:pt idx="566">
                  <c:v>0.126</c:v>
                </c:pt>
                <c:pt idx="567">
                  <c:v>9.1999999999999998E-2</c:v>
                </c:pt>
                <c:pt idx="568">
                  <c:v>0.19700000000000001</c:v>
                </c:pt>
                <c:pt idx="569">
                  <c:v>0</c:v>
                </c:pt>
                <c:pt idx="570">
                  <c:v>2.9000000000000001E-2</c:v>
                </c:pt>
                <c:pt idx="571">
                  <c:v>8.2000000000000003E-2</c:v>
                </c:pt>
                <c:pt idx="572">
                  <c:v>6.4000000000000001E-2</c:v>
                </c:pt>
                <c:pt idx="573">
                  <c:v>0.20699999999999999</c:v>
                </c:pt>
                <c:pt idx="574">
                  <c:v>5.6000000000000001E-2</c:v>
                </c:pt>
                <c:pt idx="575">
                  <c:v>0.121</c:v>
                </c:pt>
                <c:pt idx="576">
                  <c:v>7.1999999999999995E-2</c:v>
                </c:pt>
                <c:pt idx="577">
                  <c:v>7.1999999999999995E-2</c:v>
                </c:pt>
                <c:pt idx="578">
                  <c:v>0.13500000000000001</c:v>
                </c:pt>
                <c:pt idx="579">
                  <c:v>6.7000000000000004E-2</c:v>
                </c:pt>
                <c:pt idx="580">
                  <c:v>0.13200000000000001</c:v>
                </c:pt>
                <c:pt idx="581">
                  <c:v>0.01</c:v>
                </c:pt>
                <c:pt idx="582">
                  <c:v>0.22600000000000001</c:v>
                </c:pt>
                <c:pt idx="583">
                  <c:v>0.16300000000000001</c:v>
                </c:pt>
                <c:pt idx="584">
                  <c:v>0.14099999999999999</c:v>
                </c:pt>
                <c:pt idx="585">
                  <c:v>4.1000000000000002E-2</c:v>
                </c:pt>
                <c:pt idx="586">
                  <c:v>0</c:v>
                </c:pt>
                <c:pt idx="587">
                  <c:v>9.2999999999999999E-2</c:v>
                </c:pt>
                <c:pt idx="588">
                  <c:v>0.10299999999999999</c:v>
                </c:pt>
                <c:pt idx="589">
                  <c:v>8.7999999999999995E-2</c:v>
                </c:pt>
                <c:pt idx="590">
                  <c:v>0</c:v>
                </c:pt>
                <c:pt idx="591">
                  <c:v>0.17399999999999999</c:v>
                </c:pt>
                <c:pt idx="592">
                  <c:v>0.14599999999999999</c:v>
                </c:pt>
                <c:pt idx="593">
                  <c:v>0.192</c:v>
                </c:pt>
                <c:pt idx="594">
                  <c:v>0.08</c:v>
                </c:pt>
                <c:pt idx="595">
                  <c:v>7.2999999999999995E-2</c:v>
                </c:pt>
                <c:pt idx="596">
                  <c:v>4.2999999999999997E-2</c:v>
                </c:pt>
                <c:pt idx="597">
                  <c:v>0.14000000000000001</c:v>
                </c:pt>
                <c:pt idx="598">
                  <c:v>0.187</c:v>
                </c:pt>
                <c:pt idx="599">
                  <c:v>0.13300000000000001</c:v>
                </c:pt>
                <c:pt idx="600">
                  <c:v>8.9999999999999993E-3</c:v>
                </c:pt>
                <c:pt idx="601">
                  <c:v>0.16</c:v>
                </c:pt>
                <c:pt idx="602">
                  <c:v>7.0999999999999994E-2</c:v>
                </c:pt>
                <c:pt idx="603">
                  <c:v>0.15</c:v>
                </c:pt>
                <c:pt idx="604">
                  <c:v>0.19</c:v>
                </c:pt>
                <c:pt idx="605">
                  <c:v>0.186</c:v>
                </c:pt>
                <c:pt idx="606">
                  <c:v>0.10299999999999999</c:v>
                </c:pt>
                <c:pt idx="607">
                  <c:v>9.7000000000000003E-2</c:v>
                </c:pt>
                <c:pt idx="608">
                  <c:v>0.16300000000000001</c:v>
                </c:pt>
                <c:pt idx="609">
                  <c:v>0.12</c:v>
                </c:pt>
                <c:pt idx="610">
                  <c:v>0.104</c:v>
                </c:pt>
                <c:pt idx="611">
                  <c:v>0.19400000000000001</c:v>
                </c:pt>
                <c:pt idx="612">
                  <c:v>0</c:v>
                </c:pt>
                <c:pt idx="613">
                  <c:v>2.1999999999999999E-2</c:v>
                </c:pt>
                <c:pt idx="614">
                  <c:v>0.17100000000000001</c:v>
                </c:pt>
                <c:pt idx="615">
                  <c:v>8.1000000000000003E-2</c:v>
                </c:pt>
                <c:pt idx="616">
                  <c:v>4.0000000000000001E-3</c:v>
                </c:pt>
                <c:pt idx="617">
                  <c:v>0.10199999999999999</c:v>
                </c:pt>
                <c:pt idx="618">
                  <c:v>0.109</c:v>
                </c:pt>
                <c:pt idx="619">
                  <c:v>4.7E-2</c:v>
                </c:pt>
                <c:pt idx="620">
                  <c:v>0.16500000000000001</c:v>
                </c:pt>
                <c:pt idx="621">
                  <c:v>0.186</c:v>
                </c:pt>
                <c:pt idx="622">
                  <c:v>0.192</c:v>
                </c:pt>
                <c:pt idx="623">
                  <c:v>0.113</c:v>
                </c:pt>
                <c:pt idx="624">
                  <c:v>0.161</c:v>
                </c:pt>
                <c:pt idx="625">
                  <c:v>0.114</c:v>
                </c:pt>
                <c:pt idx="626">
                  <c:v>0.159</c:v>
                </c:pt>
                <c:pt idx="627">
                  <c:v>0.151</c:v>
                </c:pt>
                <c:pt idx="628">
                  <c:v>0</c:v>
                </c:pt>
                <c:pt idx="629">
                  <c:v>6.2E-2</c:v>
                </c:pt>
                <c:pt idx="630">
                  <c:v>0.13900000000000001</c:v>
                </c:pt>
                <c:pt idx="631">
                  <c:v>0.17299999999999999</c:v>
                </c:pt>
              </c:numCache>
            </c:numRef>
          </c:yVal>
          <c:smooth val="0"/>
          <c:extLst>
            <c:ext xmlns:c16="http://schemas.microsoft.com/office/drawing/2014/chart" uri="{C3380CC4-5D6E-409C-BE32-E72D297353CC}">
              <c16:uniqueId val="{00000000-9E4F-40E4-92D8-D8720B0E6C58}"/>
            </c:ext>
          </c:extLst>
        </c:ser>
        <c:dLbls>
          <c:showLegendKey val="0"/>
          <c:showVal val="0"/>
          <c:showCatName val="0"/>
          <c:showSerName val="0"/>
          <c:showPercent val="0"/>
          <c:showBubbleSize val="0"/>
        </c:dLbls>
        <c:axId val="818903760"/>
        <c:axId val="818926320"/>
      </c:scatterChart>
      <c:valAx>
        <c:axId val="818903760"/>
        <c:scaling>
          <c:orientation val="minMax"/>
        </c:scaling>
        <c:delete val="0"/>
        <c:axPos val="b"/>
        <c:majorGridlines>
          <c:spPr>
            <a:ln w="9525" cap="flat" cmpd="sng" algn="ctr">
              <a:solidFill>
                <a:srgbClr val="FAC090"/>
              </a:solidFill>
              <a:round/>
            </a:ln>
            <a:effectLst/>
          </c:spPr>
        </c:majorGridlines>
        <c:majorTickMark val="none"/>
        <c:minorTickMark val="none"/>
        <c:tickLblPos val="nextTo"/>
        <c:spPr>
          <a:noFill/>
          <a:ln w="9525" cap="flat" cmpd="sng" algn="ctr">
            <a:solidFill>
              <a:srgbClr val="FAC090"/>
            </a:solidFill>
            <a:round/>
          </a:ln>
          <a:effectLst/>
        </c:spPr>
        <c:txPr>
          <a:bodyPr rot="-6000000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n-US"/>
          </a:p>
        </c:txPr>
        <c:crossAx val="818926320"/>
        <c:crosses val="autoZero"/>
        <c:crossBetween val="midCat"/>
      </c:valAx>
      <c:valAx>
        <c:axId val="818926320"/>
        <c:scaling>
          <c:orientation val="minMax"/>
        </c:scaling>
        <c:delete val="0"/>
        <c:axPos val="l"/>
        <c:majorGridlines>
          <c:spPr>
            <a:ln w="9525" cap="flat" cmpd="sng" algn="ctr">
              <a:solidFill>
                <a:srgbClr val="FAC090"/>
              </a:solidFill>
              <a:round/>
            </a:ln>
            <a:effectLst/>
          </c:spPr>
        </c:majorGridlines>
        <c:numFmt formatCode="0%" sourceLinked="1"/>
        <c:majorTickMark val="none"/>
        <c:minorTickMark val="none"/>
        <c:tickLblPos val="nextTo"/>
        <c:spPr>
          <a:noFill/>
          <a:ln w="9525" cap="flat" cmpd="sng" algn="ctr">
            <a:solidFill>
              <a:srgbClr val="FAC090"/>
            </a:solidFill>
            <a:round/>
          </a:ln>
          <a:effectLst/>
        </c:spPr>
        <c:txPr>
          <a:bodyPr rot="-6000000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n-US"/>
          </a:p>
        </c:txPr>
        <c:crossAx val="818903760"/>
        <c:crosses val="autoZero"/>
        <c:crossBetween val="midCat"/>
      </c:valAx>
      <c:spPr>
        <a:noFill/>
        <a:ln>
          <a:solidFill>
            <a:srgbClr val="FAC090"/>
          </a:solid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rgbClr val="2F3437"/>
    </a:solidFill>
    <a:ln w="9525" cap="flat" cmpd="sng" algn="ctr">
      <a:solidFill>
        <a:schemeClr val="bg1">
          <a:lumMod val="65000"/>
        </a:schemeClr>
      </a:solidFill>
      <a:round/>
    </a:ln>
    <a:effectLst/>
  </c:spPr>
  <c:txPr>
    <a:bodyPr/>
    <a:lstStyle/>
    <a:p>
      <a:pPr>
        <a:defRPr>
          <a:solidFill>
            <a:schemeClr val="bg1"/>
          </a:solidFill>
        </a:defRPr>
      </a:pPr>
      <a:endParaRPr lang="en-US"/>
    </a:p>
  </c:txPr>
  <c:printSettings>
    <c:headerFooter/>
    <c:pageMargins b="0.75" l="0.7" r="0.7" t="0.75" header="0.3" footer="0.3"/>
    <c:pageSetup/>
  </c:printSettings>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withinLinearReversed" id="26">
  <a:schemeClr val="accent6"/>
</cs:colorStyle>
</file>

<file path=xl/charts/style1.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40">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 Id="rId4" Type="http://schemas.openxmlformats.org/officeDocument/2006/relationships/chart" Target="../charts/chart4.xml"/></Relationships>
</file>

<file path=xl/drawings/drawing1.xml><?xml version="1.0" encoding="utf-8"?>
<xdr:wsDr xmlns:xdr="http://schemas.openxmlformats.org/drawingml/2006/spreadsheetDrawing" xmlns:a="http://schemas.openxmlformats.org/drawingml/2006/main">
  <xdr:twoCellAnchor>
    <xdr:from>
      <xdr:col>6</xdr:col>
      <xdr:colOff>266700</xdr:colOff>
      <xdr:row>0</xdr:row>
      <xdr:rowOff>38100</xdr:rowOff>
    </xdr:from>
    <xdr:to>
      <xdr:col>14</xdr:col>
      <xdr:colOff>142875</xdr:colOff>
      <xdr:row>2</xdr:row>
      <xdr:rowOff>171450</xdr:rowOff>
    </xdr:to>
    <xdr:sp macro="" textlink="">
      <xdr:nvSpPr>
        <xdr:cNvPr id="2" name="Rectangle: Rounded Corners 1">
          <a:extLst>
            <a:ext uri="{FF2B5EF4-FFF2-40B4-BE49-F238E27FC236}">
              <a16:creationId xmlns:a16="http://schemas.microsoft.com/office/drawing/2014/main" id="{98264C4D-5CD7-DDB2-A2B2-76A7E8618296}"/>
            </a:ext>
          </a:extLst>
        </xdr:cNvPr>
        <xdr:cNvSpPr/>
      </xdr:nvSpPr>
      <xdr:spPr>
        <a:xfrm>
          <a:off x="3924300" y="38100"/>
          <a:ext cx="4752975" cy="514350"/>
        </a:xfrm>
        <a:prstGeom prst="roundRect">
          <a:avLst/>
        </a:prstGeom>
        <a:solidFill>
          <a:srgbClr val="2F3437"/>
        </a:solidFill>
        <a:ln>
          <a:solidFill>
            <a:schemeClr val="accent6">
              <a:lumMod val="60000"/>
              <a:lumOff val="40000"/>
            </a:schemeClr>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sz="1100"/>
            <a:t>Sales Operations &amp; Analytics</a:t>
          </a:r>
        </a:p>
      </xdr:txBody>
    </xdr:sp>
    <xdr:clientData/>
  </xdr:twoCellAnchor>
  <xdr:twoCellAnchor>
    <xdr:from>
      <xdr:col>0</xdr:col>
      <xdr:colOff>352426</xdr:colOff>
      <xdr:row>3</xdr:row>
      <xdr:rowOff>57150</xdr:rowOff>
    </xdr:from>
    <xdr:to>
      <xdr:col>3</xdr:col>
      <xdr:colOff>590026</xdr:colOff>
      <xdr:row>6</xdr:row>
      <xdr:rowOff>19050</xdr:rowOff>
    </xdr:to>
    <xdr:sp macro="" textlink="">
      <xdr:nvSpPr>
        <xdr:cNvPr id="3" name="Rectangle: Rounded Corners 2">
          <a:extLst>
            <a:ext uri="{FF2B5EF4-FFF2-40B4-BE49-F238E27FC236}">
              <a16:creationId xmlns:a16="http://schemas.microsoft.com/office/drawing/2014/main" id="{553B0FDD-96A7-4233-9159-AE0D51A526ED}"/>
            </a:ext>
          </a:extLst>
        </xdr:cNvPr>
        <xdr:cNvSpPr/>
      </xdr:nvSpPr>
      <xdr:spPr>
        <a:xfrm>
          <a:off x="352426" y="628650"/>
          <a:ext cx="2066400" cy="533400"/>
        </a:xfrm>
        <a:prstGeom prst="roundRect">
          <a:avLst/>
        </a:prstGeom>
        <a:solidFill>
          <a:srgbClr val="2F3437"/>
        </a:solidFill>
        <a:ln>
          <a:solidFill>
            <a:schemeClr val="accent6">
              <a:lumMod val="60000"/>
              <a:lumOff val="40000"/>
            </a:schemeClr>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sz="1100"/>
            <a:t>Total</a:t>
          </a:r>
          <a:r>
            <a:rPr lang="en-US" sz="1100" baseline="0"/>
            <a:t> Revenue</a:t>
          </a:r>
        </a:p>
        <a:p>
          <a:pPr algn="ctr"/>
          <a:r>
            <a:rPr lang="en-US" sz="1100"/>
            <a:t>10983317.03</a:t>
          </a:r>
        </a:p>
        <a:p>
          <a:pPr algn="ctr"/>
          <a:endParaRPr lang="en-US" sz="1100"/>
        </a:p>
      </xdr:txBody>
    </xdr:sp>
    <xdr:clientData/>
  </xdr:twoCellAnchor>
  <xdr:twoCellAnchor>
    <xdr:from>
      <xdr:col>4</xdr:col>
      <xdr:colOff>361950</xdr:colOff>
      <xdr:row>3</xdr:row>
      <xdr:rowOff>66675</xdr:rowOff>
    </xdr:from>
    <xdr:to>
      <xdr:col>7</xdr:col>
      <xdr:colOff>599550</xdr:colOff>
      <xdr:row>6</xdr:row>
      <xdr:rowOff>28575</xdr:rowOff>
    </xdr:to>
    <xdr:sp macro="" textlink="">
      <xdr:nvSpPr>
        <xdr:cNvPr id="4" name="Rectangle: Rounded Corners 3">
          <a:extLst>
            <a:ext uri="{FF2B5EF4-FFF2-40B4-BE49-F238E27FC236}">
              <a16:creationId xmlns:a16="http://schemas.microsoft.com/office/drawing/2014/main" id="{D3F3E6D2-A196-4977-A72F-303A5A7439A8}"/>
            </a:ext>
          </a:extLst>
        </xdr:cNvPr>
        <xdr:cNvSpPr/>
      </xdr:nvSpPr>
      <xdr:spPr>
        <a:xfrm>
          <a:off x="2800350" y="638175"/>
          <a:ext cx="2066400" cy="533400"/>
        </a:xfrm>
        <a:prstGeom prst="roundRect">
          <a:avLst/>
        </a:prstGeom>
        <a:solidFill>
          <a:srgbClr val="2F3437"/>
        </a:solidFill>
        <a:ln>
          <a:solidFill>
            <a:srgbClr val="FAC090"/>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lang="en-US" sz="1100"/>
            <a:t>Gross Proffit</a:t>
          </a:r>
        </a:p>
        <a:p>
          <a:pPr algn="ctr"/>
          <a:r>
            <a:rPr lang="en-US" sz="1100"/>
            <a:t>3455569.32</a:t>
          </a:r>
        </a:p>
        <a:p>
          <a:pPr algn="ctr"/>
          <a:endParaRPr lang="en-US" sz="1100"/>
        </a:p>
      </xdr:txBody>
    </xdr:sp>
    <xdr:clientData/>
  </xdr:twoCellAnchor>
  <xdr:twoCellAnchor>
    <xdr:from>
      <xdr:col>8</xdr:col>
      <xdr:colOff>371474</xdr:colOff>
      <xdr:row>3</xdr:row>
      <xdr:rowOff>47625</xdr:rowOff>
    </xdr:from>
    <xdr:to>
      <xdr:col>11</xdr:col>
      <xdr:colOff>609074</xdr:colOff>
      <xdr:row>6</xdr:row>
      <xdr:rowOff>9525</xdr:rowOff>
    </xdr:to>
    <xdr:sp macro="" textlink="">
      <xdr:nvSpPr>
        <xdr:cNvPr id="5" name="Rectangle: Rounded Corners 4">
          <a:extLst>
            <a:ext uri="{FF2B5EF4-FFF2-40B4-BE49-F238E27FC236}">
              <a16:creationId xmlns:a16="http://schemas.microsoft.com/office/drawing/2014/main" id="{8F1BDF47-A85E-4C85-955F-897DF7AE0654}"/>
            </a:ext>
          </a:extLst>
        </xdr:cNvPr>
        <xdr:cNvSpPr/>
      </xdr:nvSpPr>
      <xdr:spPr>
        <a:xfrm>
          <a:off x="5248274" y="619125"/>
          <a:ext cx="2066400" cy="533400"/>
        </a:xfrm>
        <a:prstGeom prst="roundRect">
          <a:avLst/>
        </a:prstGeom>
        <a:solidFill>
          <a:srgbClr val="2F3437"/>
        </a:solidFill>
        <a:ln>
          <a:solidFill>
            <a:schemeClr val="accent6">
              <a:lumMod val="60000"/>
              <a:lumOff val="40000"/>
            </a:schemeClr>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lang="en-US" sz="1100"/>
            <a:t>Margin %</a:t>
          </a:r>
        </a:p>
        <a:p>
          <a:pPr algn="ctr"/>
          <a:r>
            <a:rPr lang="en-US" sz="1100"/>
            <a:t>31%</a:t>
          </a:r>
        </a:p>
      </xdr:txBody>
    </xdr:sp>
    <xdr:clientData/>
  </xdr:twoCellAnchor>
  <xdr:twoCellAnchor>
    <xdr:from>
      <xdr:col>12</xdr:col>
      <xdr:colOff>380998</xdr:colOff>
      <xdr:row>3</xdr:row>
      <xdr:rowOff>66675</xdr:rowOff>
    </xdr:from>
    <xdr:to>
      <xdr:col>16</xdr:col>
      <xdr:colOff>8998</xdr:colOff>
      <xdr:row>6</xdr:row>
      <xdr:rowOff>28575</xdr:rowOff>
    </xdr:to>
    <xdr:sp macro="" textlink="">
      <xdr:nvSpPr>
        <xdr:cNvPr id="6" name="Rectangle: Rounded Corners 5">
          <a:extLst>
            <a:ext uri="{FF2B5EF4-FFF2-40B4-BE49-F238E27FC236}">
              <a16:creationId xmlns:a16="http://schemas.microsoft.com/office/drawing/2014/main" id="{E92E2BAF-0296-44B8-BAAE-154B6F509872}"/>
            </a:ext>
          </a:extLst>
        </xdr:cNvPr>
        <xdr:cNvSpPr/>
      </xdr:nvSpPr>
      <xdr:spPr>
        <a:xfrm>
          <a:off x="7696198" y="638175"/>
          <a:ext cx="2066400" cy="533400"/>
        </a:xfrm>
        <a:prstGeom prst="roundRect">
          <a:avLst/>
        </a:prstGeom>
        <a:solidFill>
          <a:srgbClr val="2F3437"/>
        </a:solidFill>
        <a:ln>
          <a:solidFill>
            <a:schemeClr val="accent6">
              <a:lumMod val="60000"/>
              <a:lumOff val="40000"/>
            </a:schemeClr>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lang="en-US" sz="1100"/>
            <a:t>Average Order Volume</a:t>
          </a:r>
        </a:p>
        <a:p>
          <a:pPr algn="ctr"/>
          <a:r>
            <a:rPr lang="en-US" sz="1100"/>
            <a:t>17378.67</a:t>
          </a:r>
        </a:p>
        <a:p>
          <a:pPr algn="ctr"/>
          <a:endParaRPr lang="en-US" sz="1100"/>
        </a:p>
      </xdr:txBody>
    </xdr:sp>
    <xdr:clientData/>
  </xdr:twoCellAnchor>
  <xdr:twoCellAnchor>
    <xdr:from>
      <xdr:col>16</xdr:col>
      <xdr:colOff>390524</xdr:colOff>
      <xdr:row>3</xdr:row>
      <xdr:rowOff>57150</xdr:rowOff>
    </xdr:from>
    <xdr:to>
      <xdr:col>20</xdr:col>
      <xdr:colOff>19049</xdr:colOff>
      <xdr:row>6</xdr:row>
      <xdr:rowOff>19050</xdr:rowOff>
    </xdr:to>
    <xdr:sp macro="" textlink="">
      <xdr:nvSpPr>
        <xdr:cNvPr id="7" name="Rectangle: Rounded Corners 6">
          <a:extLst>
            <a:ext uri="{FF2B5EF4-FFF2-40B4-BE49-F238E27FC236}">
              <a16:creationId xmlns:a16="http://schemas.microsoft.com/office/drawing/2014/main" id="{2C8A82E5-3009-45A2-9560-BF9D407056B5}"/>
            </a:ext>
          </a:extLst>
        </xdr:cNvPr>
        <xdr:cNvSpPr/>
      </xdr:nvSpPr>
      <xdr:spPr>
        <a:xfrm>
          <a:off x="10144124" y="628650"/>
          <a:ext cx="2066925" cy="533400"/>
        </a:xfrm>
        <a:prstGeom prst="roundRect">
          <a:avLst/>
        </a:prstGeom>
        <a:solidFill>
          <a:srgbClr val="2F3437"/>
        </a:solidFill>
        <a:ln>
          <a:solidFill>
            <a:schemeClr val="accent6">
              <a:lumMod val="60000"/>
              <a:lumOff val="40000"/>
            </a:schemeClr>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lang="en-US" sz="1100"/>
            <a:t>On-Time % (LeadTimeDays ≤ 7)</a:t>
          </a:r>
        </a:p>
        <a:p>
          <a:pPr algn="ctr"/>
          <a:r>
            <a:rPr lang="en-US" sz="1100"/>
            <a:t>23.73%</a:t>
          </a:r>
        </a:p>
      </xdr:txBody>
    </xdr:sp>
    <xdr:clientData/>
  </xdr:twoCellAnchor>
  <xdr:twoCellAnchor>
    <xdr:from>
      <xdr:col>2</xdr:col>
      <xdr:colOff>485774</xdr:colOff>
      <xdr:row>7</xdr:row>
      <xdr:rowOff>38098</xdr:rowOff>
    </xdr:from>
    <xdr:to>
      <xdr:col>11</xdr:col>
      <xdr:colOff>258974</xdr:colOff>
      <xdr:row>24</xdr:row>
      <xdr:rowOff>46798</xdr:rowOff>
    </xdr:to>
    <xdr:graphicFrame macro="">
      <xdr:nvGraphicFramePr>
        <xdr:cNvPr id="14" name="Chart 13">
          <a:extLst>
            <a:ext uri="{FF2B5EF4-FFF2-40B4-BE49-F238E27FC236}">
              <a16:creationId xmlns:a16="http://schemas.microsoft.com/office/drawing/2014/main" id="{F2C240A6-F2B7-46A8-A3BD-654D5B8E2DFB}"/>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11</xdr:col>
      <xdr:colOff>504825</xdr:colOff>
      <xdr:row>7</xdr:row>
      <xdr:rowOff>38098</xdr:rowOff>
    </xdr:from>
    <xdr:to>
      <xdr:col>20</xdr:col>
      <xdr:colOff>278025</xdr:colOff>
      <xdr:row>24</xdr:row>
      <xdr:rowOff>46798</xdr:rowOff>
    </xdr:to>
    <xdr:graphicFrame macro="">
      <xdr:nvGraphicFramePr>
        <xdr:cNvPr id="16" name="Chart 15">
          <a:extLst>
            <a:ext uri="{FF2B5EF4-FFF2-40B4-BE49-F238E27FC236}">
              <a16:creationId xmlns:a16="http://schemas.microsoft.com/office/drawing/2014/main" id="{12663542-B836-46CE-8FEC-275C52869573}"/>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2</xdr:col>
      <xdr:colOff>514348</xdr:colOff>
      <xdr:row>26</xdr:row>
      <xdr:rowOff>128586</xdr:rowOff>
    </xdr:from>
    <xdr:to>
      <xdr:col>11</xdr:col>
      <xdr:colOff>287548</xdr:colOff>
      <xdr:row>43</xdr:row>
      <xdr:rowOff>137286</xdr:rowOff>
    </xdr:to>
    <xdr:graphicFrame macro="">
      <xdr:nvGraphicFramePr>
        <xdr:cNvPr id="17" name="Chart 16">
          <a:extLst>
            <a:ext uri="{FF2B5EF4-FFF2-40B4-BE49-F238E27FC236}">
              <a16:creationId xmlns:a16="http://schemas.microsoft.com/office/drawing/2014/main" id="{F404BA4C-2D19-442E-BD65-CA9008E8D5A4}"/>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11</xdr:col>
      <xdr:colOff>514350</xdr:colOff>
      <xdr:row>26</xdr:row>
      <xdr:rowOff>128586</xdr:rowOff>
    </xdr:from>
    <xdr:to>
      <xdr:col>20</xdr:col>
      <xdr:colOff>287550</xdr:colOff>
      <xdr:row>43</xdr:row>
      <xdr:rowOff>137286</xdr:rowOff>
    </xdr:to>
    <xdr:graphicFrame macro="">
      <xdr:nvGraphicFramePr>
        <xdr:cNvPr id="20" name="Chart 19">
          <a:extLst>
            <a:ext uri="{FF2B5EF4-FFF2-40B4-BE49-F238E27FC236}">
              <a16:creationId xmlns:a16="http://schemas.microsoft.com/office/drawing/2014/main" id="{D96E5F69-6587-40BB-947D-F8B8E3C6EF2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editAs="oneCell">
    <xdr:from>
      <xdr:col>0</xdr:col>
      <xdr:colOff>0</xdr:colOff>
      <xdr:row>38</xdr:row>
      <xdr:rowOff>85725</xdr:rowOff>
    </xdr:from>
    <xdr:to>
      <xdr:col>2</xdr:col>
      <xdr:colOff>333375</xdr:colOff>
      <xdr:row>46</xdr:row>
      <xdr:rowOff>9525</xdr:rowOff>
    </xdr:to>
    <mc:AlternateContent xmlns:mc="http://schemas.openxmlformats.org/markup-compatibility/2006">
      <mc:Choice xmlns:a14="http://schemas.microsoft.com/office/drawing/2010/main" Requires="a14">
        <xdr:graphicFrame macro="">
          <xdr:nvGraphicFramePr>
            <xdr:cNvPr id="21" name="OrderDate         (mmm-yyyy)">
              <a:extLst>
                <a:ext uri="{FF2B5EF4-FFF2-40B4-BE49-F238E27FC236}">
                  <a16:creationId xmlns:a16="http://schemas.microsoft.com/office/drawing/2014/main" id="{14F1319A-7981-4902-AF3C-6816458D756E}"/>
                </a:ext>
              </a:extLst>
            </xdr:cNvPr>
            <xdr:cNvGraphicFramePr/>
          </xdr:nvGraphicFramePr>
          <xdr:xfrm>
            <a:off x="0" y="0"/>
            <a:ext cx="0" cy="0"/>
          </xdr:xfrm>
          <a:graphic>
            <a:graphicData uri="http://schemas.microsoft.com/office/drawing/2010/slicer">
              <sle:slicer xmlns:sle="http://schemas.microsoft.com/office/drawing/2010/slicer" name="OrderDate         (mmm-yyyy)"/>
            </a:graphicData>
          </a:graphic>
        </xdr:graphicFrame>
      </mc:Choice>
      <mc:Fallback>
        <xdr:sp macro="" textlink="">
          <xdr:nvSpPr>
            <xdr:cNvPr id="0" name=""/>
            <xdr:cNvSpPr>
              <a:spLocks noTextEdit="1"/>
            </xdr:cNvSpPr>
          </xdr:nvSpPr>
          <xdr:spPr>
            <a:xfrm>
              <a:off x="0" y="7324725"/>
              <a:ext cx="1552575" cy="144780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1</xdr:colOff>
      <xdr:row>7</xdr:row>
      <xdr:rowOff>28575</xdr:rowOff>
    </xdr:from>
    <xdr:to>
      <xdr:col>2</xdr:col>
      <xdr:colOff>352425</xdr:colOff>
      <xdr:row>14</xdr:row>
      <xdr:rowOff>114300</xdr:rowOff>
    </xdr:to>
    <mc:AlternateContent xmlns:mc="http://schemas.openxmlformats.org/markup-compatibility/2006">
      <mc:Choice xmlns:a14="http://schemas.microsoft.com/office/drawing/2010/main" Requires="a14">
        <xdr:graphicFrame macro="">
          <xdr:nvGraphicFramePr>
            <xdr:cNvPr id="22" name="Region">
              <a:extLst>
                <a:ext uri="{FF2B5EF4-FFF2-40B4-BE49-F238E27FC236}">
                  <a16:creationId xmlns:a16="http://schemas.microsoft.com/office/drawing/2014/main" id="{3F8E4963-27AA-420B-8734-35EE267E9BEB}"/>
                </a:ext>
              </a:extLst>
            </xdr:cNvPr>
            <xdr:cNvGraphicFramePr/>
          </xdr:nvGraphicFramePr>
          <xdr:xfrm>
            <a:off x="0" y="0"/>
            <a:ext cx="0" cy="0"/>
          </xdr:xfrm>
          <a:graphic>
            <a:graphicData uri="http://schemas.microsoft.com/office/drawing/2010/slicer">
              <sle:slicer xmlns:sle="http://schemas.microsoft.com/office/drawing/2010/slicer" name="Region"/>
            </a:graphicData>
          </a:graphic>
        </xdr:graphicFrame>
      </mc:Choice>
      <mc:Fallback>
        <xdr:sp macro="" textlink="">
          <xdr:nvSpPr>
            <xdr:cNvPr id="0" name=""/>
            <xdr:cNvSpPr>
              <a:spLocks noTextEdit="1"/>
            </xdr:cNvSpPr>
          </xdr:nvSpPr>
          <xdr:spPr>
            <a:xfrm>
              <a:off x="1" y="1362075"/>
              <a:ext cx="1571624" cy="1419225"/>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9525</xdr:colOff>
      <xdr:row>14</xdr:row>
      <xdr:rowOff>152400</xdr:rowOff>
    </xdr:from>
    <xdr:to>
      <xdr:col>2</xdr:col>
      <xdr:colOff>352425</xdr:colOff>
      <xdr:row>22</xdr:row>
      <xdr:rowOff>76200</xdr:rowOff>
    </xdr:to>
    <mc:AlternateContent xmlns:mc="http://schemas.openxmlformats.org/markup-compatibility/2006">
      <mc:Choice xmlns:a14="http://schemas.microsoft.com/office/drawing/2010/main" Requires="a14">
        <xdr:graphicFrame macro="">
          <xdr:nvGraphicFramePr>
            <xdr:cNvPr id="23" name="Country">
              <a:extLst>
                <a:ext uri="{FF2B5EF4-FFF2-40B4-BE49-F238E27FC236}">
                  <a16:creationId xmlns:a16="http://schemas.microsoft.com/office/drawing/2014/main" id="{831E4C2F-1308-45C6-A4B9-7D6A7F2BD81C}"/>
                </a:ext>
              </a:extLst>
            </xdr:cNvPr>
            <xdr:cNvGraphicFramePr/>
          </xdr:nvGraphicFramePr>
          <xdr:xfrm>
            <a:off x="0" y="0"/>
            <a:ext cx="0" cy="0"/>
          </xdr:xfrm>
          <a:graphic>
            <a:graphicData uri="http://schemas.microsoft.com/office/drawing/2010/slicer">
              <sle:slicer xmlns:sle="http://schemas.microsoft.com/office/drawing/2010/slicer" name="Country"/>
            </a:graphicData>
          </a:graphic>
        </xdr:graphicFrame>
      </mc:Choice>
      <mc:Fallback>
        <xdr:sp macro="" textlink="">
          <xdr:nvSpPr>
            <xdr:cNvPr id="0" name=""/>
            <xdr:cNvSpPr>
              <a:spLocks noTextEdit="1"/>
            </xdr:cNvSpPr>
          </xdr:nvSpPr>
          <xdr:spPr>
            <a:xfrm>
              <a:off x="9525" y="2819400"/>
              <a:ext cx="1562100" cy="144780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0</xdr:colOff>
      <xdr:row>22</xdr:row>
      <xdr:rowOff>133351</xdr:rowOff>
    </xdr:from>
    <xdr:to>
      <xdr:col>2</xdr:col>
      <xdr:colOff>361950</xdr:colOff>
      <xdr:row>30</xdr:row>
      <xdr:rowOff>57150</xdr:rowOff>
    </xdr:to>
    <mc:AlternateContent xmlns:mc="http://schemas.openxmlformats.org/markup-compatibility/2006">
      <mc:Choice xmlns:a14="http://schemas.microsoft.com/office/drawing/2010/main" Requires="a14">
        <xdr:graphicFrame macro="">
          <xdr:nvGraphicFramePr>
            <xdr:cNvPr id="24" name="Channel">
              <a:extLst>
                <a:ext uri="{FF2B5EF4-FFF2-40B4-BE49-F238E27FC236}">
                  <a16:creationId xmlns:a16="http://schemas.microsoft.com/office/drawing/2014/main" id="{53505D8E-2036-4998-BC4F-DB21BDF51C61}"/>
                </a:ext>
              </a:extLst>
            </xdr:cNvPr>
            <xdr:cNvGraphicFramePr/>
          </xdr:nvGraphicFramePr>
          <xdr:xfrm>
            <a:off x="0" y="0"/>
            <a:ext cx="0" cy="0"/>
          </xdr:xfrm>
          <a:graphic>
            <a:graphicData uri="http://schemas.microsoft.com/office/drawing/2010/slicer">
              <sle:slicer xmlns:sle="http://schemas.microsoft.com/office/drawing/2010/slicer" name="Channel"/>
            </a:graphicData>
          </a:graphic>
        </xdr:graphicFrame>
      </mc:Choice>
      <mc:Fallback>
        <xdr:sp macro="" textlink="">
          <xdr:nvSpPr>
            <xdr:cNvPr id="0" name=""/>
            <xdr:cNvSpPr>
              <a:spLocks noTextEdit="1"/>
            </xdr:cNvSpPr>
          </xdr:nvSpPr>
          <xdr:spPr>
            <a:xfrm>
              <a:off x="0" y="4324351"/>
              <a:ext cx="1581150" cy="1447799"/>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0</xdr:colOff>
      <xdr:row>46</xdr:row>
      <xdr:rowOff>76201</xdr:rowOff>
    </xdr:from>
    <xdr:to>
      <xdr:col>2</xdr:col>
      <xdr:colOff>333375</xdr:colOff>
      <xdr:row>53</xdr:row>
      <xdr:rowOff>180975</xdr:rowOff>
    </xdr:to>
    <mc:AlternateContent xmlns:mc="http://schemas.openxmlformats.org/markup-compatibility/2006">
      <mc:Choice xmlns:a14="http://schemas.microsoft.com/office/drawing/2010/main" Requires="a14">
        <xdr:graphicFrame macro="">
          <xdr:nvGraphicFramePr>
            <xdr:cNvPr id="25" name="Salesperson">
              <a:extLst>
                <a:ext uri="{FF2B5EF4-FFF2-40B4-BE49-F238E27FC236}">
                  <a16:creationId xmlns:a16="http://schemas.microsoft.com/office/drawing/2014/main" id="{B9B494EB-F697-4610-9034-0C4BB40585A7}"/>
                </a:ext>
              </a:extLst>
            </xdr:cNvPr>
            <xdr:cNvGraphicFramePr/>
          </xdr:nvGraphicFramePr>
          <xdr:xfrm>
            <a:off x="0" y="0"/>
            <a:ext cx="0" cy="0"/>
          </xdr:xfrm>
          <a:graphic>
            <a:graphicData uri="http://schemas.microsoft.com/office/drawing/2010/slicer">
              <sle:slicer xmlns:sle="http://schemas.microsoft.com/office/drawing/2010/slicer" name="Salesperson"/>
            </a:graphicData>
          </a:graphic>
        </xdr:graphicFrame>
      </mc:Choice>
      <mc:Fallback>
        <xdr:sp macro="" textlink="">
          <xdr:nvSpPr>
            <xdr:cNvPr id="0" name=""/>
            <xdr:cNvSpPr>
              <a:spLocks noTextEdit="1"/>
            </xdr:cNvSpPr>
          </xdr:nvSpPr>
          <xdr:spPr>
            <a:xfrm>
              <a:off x="0" y="8839201"/>
              <a:ext cx="1552575" cy="1438274"/>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0</xdr:colOff>
      <xdr:row>30</xdr:row>
      <xdr:rowOff>95250</xdr:rowOff>
    </xdr:from>
    <xdr:to>
      <xdr:col>2</xdr:col>
      <xdr:colOff>342900</xdr:colOff>
      <xdr:row>38</xdr:row>
      <xdr:rowOff>38100</xdr:rowOff>
    </xdr:to>
    <mc:AlternateContent xmlns:mc="http://schemas.openxmlformats.org/markup-compatibility/2006">
      <mc:Choice xmlns:a14="http://schemas.microsoft.com/office/drawing/2010/main" Requires="a14">
        <xdr:graphicFrame macro="">
          <xdr:nvGraphicFramePr>
            <xdr:cNvPr id="26" name="ProductCategory">
              <a:extLst>
                <a:ext uri="{FF2B5EF4-FFF2-40B4-BE49-F238E27FC236}">
                  <a16:creationId xmlns:a16="http://schemas.microsoft.com/office/drawing/2014/main" id="{0F4FDA59-0278-4757-9608-104D46A79C66}"/>
                </a:ext>
              </a:extLst>
            </xdr:cNvPr>
            <xdr:cNvGraphicFramePr/>
          </xdr:nvGraphicFramePr>
          <xdr:xfrm>
            <a:off x="0" y="0"/>
            <a:ext cx="0" cy="0"/>
          </xdr:xfrm>
          <a:graphic>
            <a:graphicData uri="http://schemas.microsoft.com/office/drawing/2010/slicer">
              <sle:slicer xmlns:sle="http://schemas.microsoft.com/office/drawing/2010/slicer" name="ProductCategory"/>
            </a:graphicData>
          </a:graphic>
        </xdr:graphicFrame>
      </mc:Choice>
      <mc:Fallback>
        <xdr:sp macro="" textlink="">
          <xdr:nvSpPr>
            <xdr:cNvPr id="0" name=""/>
            <xdr:cNvSpPr>
              <a:spLocks noTextEdit="1"/>
            </xdr:cNvSpPr>
          </xdr:nvSpPr>
          <xdr:spPr>
            <a:xfrm>
              <a:off x="0" y="5810250"/>
              <a:ext cx="1562100" cy="146685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_rels/pivotCacheDefinition2.xml.rels><?xml version="1.0" encoding="UTF-8" standalone="yes"?>
<Relationships xmlns="http://schemas.openxmlformats.org/package/2006/relationships"><Relationship Id="rId1" Type="http://schemas.openxmlformats.org/officeDocument/2006/relationships/pivotCacheRecords" Target="pivotCacheRecords2.xml"/></Relationships>
</file>

<file path=xl/pivotCache/_rels/pivotCacheDefinition3.xml.rels><?xml version="1.0" encoding="UTF-8" standalone="yes"?>
<Relationships xmlns="http://schemas.openxmlformats.org/package/2006/relationships"><Relationship Id="rId1" Type="http://schemas.openxmlformats.org/officeDocument/2006/relationships/pivotCacheRecords" Target="pivotCacheRecords3.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User" refreshedDate="46189.364038310188" createdVersion="8" refreshedVersion="8" minRefreshableVersion="3" recordCount="632" xr:uid="{7A19EBAB-4DEF-4EA0-A2FA-F644FB01F551}">
  <cacheSource type="worksheet">
    <worksheetSource ref="A1:AA633" sheet="Clean"/>
  </cacheSource>
  <cacheFields count="19">
    <cacheField name="OrderID" numFmtId="0">
      <sharedItems/>
    </cacheField>
    <cacheField name="OrderDate" numFmtId="165">
      <sharedItems containsSemiMixedTypes="0" containsNonDate="0" containsDate="1" containsString="0" minDate="2023-01-02T00:00:00" maxDate="2025-09-16T00:00:00"/>
    </cacheField>
    <cacheField name="RequiredDate" numFmtId="165">
      <sharedItems containsSemiMixedTypes="0" containsNonDate="0" containsDate="1" containsString="0" minDate="2023-01-05T00:00:00" maxDate="2025-10-06T00:00:00"/>
    </cacheField>
    <cacheField name="Cleaned RequiredDate" numFmtId="165">
      <sharedItems containsSemiMixedTypes="0" containsNonDate="0" containsDate="1" containsString="0" minDate="2023-01-05T00:00:00" maxDate="2025-10-06T00:00:00"/>
    </cacheField>
    <cacheField name="LeadTimeDays" numFmtId="1">
      <sharedItems containsSemiMixedTypes="0" containsString="0" containsNumber="1" containsInteger="1" minValue="-2" maxValue="30"/>
    </cacheField>
    <cacheField name="Region" numFmtId="0">
      <sharedItems count="4">
        <s v="Africa"/>
        <s v="Asia"/>
        <s v="Americas"/>
        <s v="Europe"/>
      </sharedItems>
    </cacheField>
    <cacheField name="Country" numFmtId="0">
      <sharedItems count="12">
        <s v="Kenya"/>
        <s v="Nigeria"/>
        <s v="Japan"/>
        <s v="Canada"/>
        <s v="India"/>
        <s v="Brazil"/>
        <s v="Germany"/>
        <s v="France"/>
        <s v="United Kingdom"/>
        <s v="China"/>
        <s v="USA"/>
        <s v="South Africa"/>
      </sharedItems>
    </cacheField>
    <cacheField name="City" numFmtId="0">
      <sharedItems containsBlank="1" count="40">
        <s v="Kisumu"/>
        <s v="Port Harcourt"/>
        <s v="Nairobi"/>
        <s v="Lagos"/>
        <s v="Osaka"/>
        <s v="Toronto"/>
        <s v="Bengaluru"/>
        <s v="Abuja"/>
        <s v="São Paulo"/>
        <s v="Berlin"/>
        <s v="Brasília"/>
        <s v="Marseille"/>
        <s v="Birmingham"/>
        <s v="Mombasa"/>
        <s v="Shenzhen"/>
        <s v="Chicago"/>
        <s v="Nakuru"/>
        <s v="Lyon"/>
        <s v="Delhi"/>
        <s v="Montreal"/>
        <s v="Johannesburg"/>
        <s v="London"/>
        <s v="Munich"/>
        <s v="Shanghai"/>
        <s v="San Francisco"/>
        <s v="Durban"/>
        <s v="Vancouver"/>
        <s v="Tokyo"/>
        <s v="Paris"/>
        <s v="Mumbai"/>
        <s v="Rio de Janeiro"/>
        <s v="Manchester"/>
        <s v="Nagoya"/>
        <s v="Cape Town"/>
        <s v="Hyderabad"/>
        <s v="Austin"/>
        <s v="Frankfurt"/>
        <s v="Beijing"/>
        <s v="New York"/>
        <m u="1"/>
      </sharedItems>
    </cacheField>
    <cacheField name="CustomerSegment" numFmtId="0">
      <sharedItems count="6">
        <s v="Corporate"/>
        <s v="Education"/>
        <s v="Non-Profit"/>
        <s v="Consumer"/>
        <s v="Small Business"/>
        <s v="Enterprise"/>
      </sharedItems>
    </cacheField>
    <cacheField name="Channel" numFmtId="0">
      <sharedItems containsBlank="1" count="6">
        <s v="Retail"/>
        <s v="Online"/>
        <s v="Marketplace"/>
        <s v="Distributor"/>
        <s v="Direct"/>
        <m u="1"/>
      </sharedItems>
    </cacheField>
    <cacheField name="Salesperson" numFmtId="0">
      <sharedItems containsBlank="1" count="16">
        <s v="C. Otieno"/>
        <s v="J. Njeri"/>
        <s v="I. Johnson"/>
        <s v="G. Dubois"/>
        <s v="L. Okafor"/>
        <s v="B. Chen"/>
        <s v="E. Garcia"/>
        <s v="O. Wang"/>
        <s v="A. Patel"/>
        <s v="F. Müller"/>
        <s v="H. Kim"/>
        <s v="K. Singh"/>
        <s v="M. Rossi"/>
        <s v="N. Brown"/>
        <s v="D. Smith"/>
        <m u="1"/>
      </sharedItems>
    </cacheField>
    <cacheField name="ProductCategory" numFmtId="0">
      <sharedItems/>
    </cacheField>
    <cacheField name="SKU" numFmtId="0">
      <sharedItems/>
    </cacheField>
    <cacheField name="UnitCost" numFmtId="4">
      <sharedItems containsSemiMixedTypes="0" containsString="0" containsNumber="1" minValue="5.34" maxValue="1495.79"/>
    </cacheField>
    <cacheField name="UnitPrice" numFmtId="2">
      <sharedItems containsSemiMixedTypes="0" containsString="0" containsNumber="1" minValue="-33.659999999999997" maxValue="3661.07"/>
    </cacheField>
    <cacheField name="Cleaned UnitPrice" numFmtId="2">
      <sharedItems containsSemiMixedTypes="0" containsString="0" containsNumber="1" minValue="4.22" maxValue="3661.07"/>
    </cacheField>
    <cacheField name="DiscountPct" numFmtId="9">
      <sharedItems containsSemiMixedTypes="0" containsString="0" containsNumber="1" minValue="0" maxValue="0.56499999999999995"/>
    </cacheField>
    <cacheField name="Cleaned DiscountPct" numFmtId="9">
      <sharedItems containsSemiMixedTypes="0" containsString="0" containsNumber="1" minValue="0" maxValue="0.29899999999999999"/>
    </cacheField>
    <cacheField name="Quantity" numFmtId="0">
      <sharedItems containsSemiMixedTypes="0" containsString="0" containsNumber="1" containsInteger="1" minValue="2" maxValue="61"/>
    </cacheField>
  </cacheFields>
  <extLst>
    <ext xmlns:x14="http://schemas.microsoft.com/office/spreadsheetml/2009/9/main" uri="{725AE2AE-9491-48be-B2B4-4EB974FC3084}">
      <x14:pivotCacheDefinition/>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User" refreshedDate="46189.621247453702" createdVersion="8" refreshedVersion="8" minRefreshableVersion="3" recordCount="632" xr:uid="{D20A6F3C-DEF1-4B91-A7C0-FB90A9C7A74C}">
  <cacheSource type="worksheet">
    <worksheetSource ref="A1:AE633" sheet="Clean"/>
  </cacheSource>
  <cacheFields count="36">
    <cacheField name="OrderID" numFmtId="0">
      <sharedItems/>
    </cacheField>
    <cacheField name="OrderDate" numFmtId="165">
      <sharedItems containsSemiMixedTypes="0" containsNonDate="0" containsDate="1" containsString="0" minDate="2023-01-02T00:00:00" maxDate="2025-09-16T00:00:00"/>
    </cacheField>
    <cacheField name="OrderDate         (mmm-yyyy)" numFmtId="167">
      <sharedItems containsSemiMixedTypes="0" containsNonDate="0" containsDate="1" containsString="0" minDate="2023-01-02T00:00:00" maxDate="2025-09-16T00:00:00" count="468">
        <d v="2024-03-11T00:00:00"/>
        <d v="2024-10-23T00:00:00"/>
        <d v="2023-02-28T00:00:00"/>
        <d v="2025-03-29T00:00:00"/>
        <d v="2023-12-06T00:00:00"/>
        <d v="2023-01-02T00:00:00"/>
        <d v="2024-12-27T00:00:00"/>
        <d v="2023-01-15T00:00:00"/>
        <d v="2024-05-04T00:00:00"/>
        <d v="2025-05-21T00:00:00"/>
        <d v="2024-01-28T00:00:00"/>
        <d v="2025-01-03T00:00:00"/>
        <d v="2025-03-06T00:00:00"/>
        <d v="2024-01-20T00:00:00"/>
        <d v="2025-09-01T00:00:00"/>
        <d v="2023-04-23T00:00:00"/>
        <d v="2024-12-10T00:00:00"/>
        <d v="2025-09-08T00:00:00"/>
        <d v="2025-07-20T00:00:00"/>
        <d v="2024-07-25T00:00:00"/>
        <d v="2023-05-11T00:00:00"/>
        <d v="2025-06-14T00:00:00"/>
        <d v="2024-05-18T00:00:00"/>
        <d v="2023-02-07T00:00:00"/>
        <d v="2024-06-30T00:00:00"/>
        <d v="2024-11-30T00:00:00"/>
        <d v="2024-07-19T00:00:00"/>
        <d v="2023-04-14T00:00:00"/>
        <d v="2025-04-07T00:00:00"/>
        <d v="2023-02-23T00:00:00"/>
        <d v="2025-07-24T00:00:00"/>
        <d v="2024-04-18T00:00:00"/>
        <d v="2024-08-23T00:00:00"/>
        <d v="2023-03-27T00:00:00"/>
        <d v="2024-03-07T00:00:00"/>
        <d v="2025-06-24T00:00:00"/>
        <d v="2024-04-19T00:00:00"/>
        <d v="2023-06-17T00:00:00"/>
        <d v="2024-08-27T00:00:00"/>
        <d v="2024-01-11T00:00:00"/>
        <d v="2024-10-25T00:00:00"/>
        <d v="2025-05-29T00:00:00"/>
        <d v="2024-05-20T00:00:00"/>
        <d v="2023-04-19T00:00:00"/>
        <d v="2023-06-23T00:00:00"/>
        <d v="2024-05-14T00:00:00"/>
        <d v="2024-10-14T00:00:00"/>
        <d v="2023-07-10T00:00:00"/>
        <d v="2024-11-06T00:00:00"/>
        <d v="2024-10-17T00:00:00"/>
        <d v="2023-03-31T00:00:00"/>
        <d v="2025-01-21T00:00:00"/>
        <d v="2023-08-30T00:00:00"/>
        <d v="2025-04-06T00:00:00"/>
        <d v="2025-02-09T00:00:00"/>
        <d v="2024-12-17T00:00:00"/>
        <d v="2025-06-09T00:00:00"/>
        <d v="2025-05-02T00:00:00"/>
        <d v="2024-03-10T00:00:00"/>
        <d v="2025-09-10T00:00:00"/>
        <d v="2025-04-27T00:00:00"/>
        <d v="2024-11-02T00:00:00"/>
        <d v="2023-02-15T00:00:00"/>
        <d v="2023-12-03T00:00:00"/>
        <d v="2023-03-19T00:00:00"/>
        <d v="2024-05-22T00:00:00"/>
        <d v="2023-08-19T00:00:00"/>
        <d v="2023-04-21T00:00:00"/>
        <d v="2024-03-18T00:00:00"/>
        <d v="2025-04-09T00:00:00"/>
        <d v="2024-04-12T00:00:00"/>
        <d v="2024-12-15T00:00:00"/>
        <d v="2023-05-20T00:00:00"/>
        <d v="2023-09-18T00:00:00"/>
        <d v="2024-08-28T00:00:00"/>
        <d v="2023-06-14T00:00:00"/>
        <d v="2024-11-21T00:00:00"/>
        <d v="2023-02-08T00:00:00"/>
        <d v="2025-05-14T00:00:00"/>
        <d v="2025-04-23T00:00:00"/>
        <d v="2025-03-25T00:00:00"/>
        <d v="2023-12-22T00:00:00"/>
        <d v="2024-04-06T00:00:00"/>
        <d v="2025-08-07T00:00:00"/>
        <d v="2024-01-21T00:00:00"/>
        <d v="2023-06-29T00:00:00"/>
        <d v="2025-04-28T00:00:00"/>
        <d v="2023-06-24T00:00:00"/>
        <d v="2024-10-04T00:00:00"/>
        <d v="2023-04-06T00:00:00"/>
        <d v="2025-08-01T00:00:00"/>
        <d v="2024-05-28T00:00:00"/>
        <d v="2025-07-22T00:00:00"/>
        <d v="2025-01-27T00:00:00"/>
        <d v="2024-01-13T00:00:00"/>
        <d v="2025-03-31T00:00:00"/>
        <d v="2024-12-05T00:00:00"/>
        <d v="2024-09-14T00:00:00"/>
        <d v="2024-05-21T00:00:00"/>
        <d v="2024-08-14T00:00:00"/>
        <d v="2024-10-16T00:00:00"/>
        <d v="2024-06-02T00:00:00"/>
        <d v="2024-06-09T00:00:00"/>
        <d v="2024-06-10T00:00:00"/>
        <d v="2024-06-29T00:00:00"/>
        <d v="2025-01-17T00:00:00"/>
        <d v="2023-11-20T00:00:00"/>
        <d v="2023-03-02T00:00:00"/>
        <d v="2025-06-03T00:00:00"/>
        <d v="2023-06-09T00:00:00"/>
        <d v="2025-07-09T00:00:00"/>
        <d v="2025-06-19T00:00:00"/>
        <d v="2023-11-19T00:00:00"/>
        <d v="2023-12-29T00:00:00"/>
        <d v="2023-08-21T00:00:00"/>
        <d v="2023-08-12T00:00:00"/>
        <d v="2024-06-07T00:00:00"/>
        <d v="2025-08-05T00:00:00"/>
        <d v="2024-05-30T00:00:00"/>
        <d v="2023-01-22T00:00:00"/>
        <d v="2025-02-12T00:00:00"/>
        <d v="2025-03-03T00:00:00"/>
        <d v="2023-01-27T00:00:00"/>
        <d v="2025-01-09T00:00:00"/>
        <d v="2024-12-21T00:00:00"/>
        <d v="2023-04-12T00:00:00"/>
        <d v="2024-12-14T00:00:00"/>
        <d v="2024-11-20T00:00:00"/>
        <d v="2024-02-14T00:00:00"/>
        <d v="2023-05-02T00:00:00"/>
        <d v="2024-12-23T00:00:00"/>
        <d v="2023-07-26T00:00:00"/>
        <d v="2024-06-15T00:00:00"/>
        <d v="2023-07-05T00:00:00"/>
        <d v="2023-11-30T00:00:00"/>
        <d v="2025-09-11T00:00:00"/>
        <d v="2024-04-04T00:00:00"/>
        <d v="2023-09-14T00:00:00"/>
        <d v="2024-09-23T00:00:00"/>
        <d v="2025-04-16T00:00:00"/>
        <d v="2023-07-03T00:00:00"/>
        <d v="2023-12-07T00:00:00"/>
        <d v="2024-02-18T00:00:00"/>
        <d v="2023-10-31T00:00:00"/>
        <d v="2024-08-07T00:00:00"/>
        <d v="2024-02-01T00:00:00"/>
        <d v="2025-02-15T00:00:00"/>
        <d v="2023-02-20T00:00:00"/>
        <d v="2024-10-30T00:00:00"/>
        <d v="2024-04-03T00:00:00"/>
        <d v="2023-03-25T00:00:00"/>
        <d v="2024-06-04T00:00:00"/>
        <d v="2023-02-19T00:00:00"/>
        <d v="2023-04-18T00:00:00"/>
        <d v="2024-05-23T00:00:00"/>
        <d v="2023-10-07T00:00:00"/>
        <d v="2024-10-09T00:00:00"/>
        <d v="2024-07-15T00:00:00"/>
        <d v="2023-09-21T00:00:00"/>
        <d v="2023-02-24T00:00:00"/>
        <d v="2025-04-14T00:00:00"/>
        <d v="2023-08-27T00:00:00"/>
        <d v="2024-02-03T00:00:00"/>
        <d v="2023-04-05T00:00:00"/>
        <d v="2025-08-21T00:00:00"/>
        <d v="2025-09-15T00:00:00"/>
        <d v="2024-10-03T00:00:00"/>
        <d v="2025-02-02T00:00:00"/>
        <d v="2024-10-22T00:00:00"/>
        <d v="2023-06-22T00:00:00"/>
        <d v="2025-01-13T00:00:00"/>
        <d v="2023-01-29T00:00:00"/>
        <d v="2023-07-19T00:00:00"/>
        <d v="2024-05-19T00:00:00"/>
        <d v="2023-08-08T00:00:00"/>
        <d v="2024-08-12T00:00:00"/>
        <d v="2023-10-15T00:00:00"/>
        <d v="2023-05-04T00:00:00"/>
        <d v="2024-09-22T00:00:00"/>
        <d v="2024-02-11T00:00:00"/>
        <d v="2023-01-30T00:00:00"/>
        <d v="2023-01-13T00:00:00"/>
        <d v="2024-01-12T00:00:00"/>
        <d v="2023-08-15T00:00:00"/>
        <d v="2023-01-20T00:00:00"/>
        <d v="2025-02-04T00:00:00"/>
        <d v="2023-07-02T00:00:00"/>
        <d v="2024-09-10T00:00:00"/>
        <d v="2025-07-21T00:00:00"/>
        <d v="2024-10-02T00:00:00"/>
        <d v="2025-07-14T00:00:00"/>
        <d v="2024-09-09T00:00:00"/>
        <d v="2025-01-29T00:00:00"/>
        <d v="2023-11-10T00:00:00"/>
        <d v="2024-02-29T00:00:00"/>
        <d v="2023-12-20T00:00:00"/>
        <d v="2024-10-11T00:00:00"/>
        <d v="2024-09-19T00:00:00"/>
        <d v="2025-08-25T00:00:00"/>
        <d v="2023-09-25T00:00:00"/>
        <d v="2023-08-26T00:00:00"/>
        <d v="2025-07-16T00:00:00"/>
        <d v="2023-12-19T00:00:00"/>
        <d v="2023-07-30T00:00:00"/>
        <d v="2023-10-04T00:00:00"/>
        <d v="2025-08-10T00:00:00"/>
        <d v="2023-03-07T00:00:00"/>
        <d v="2023-05-23T00:00:00"/>
        <d v="2025-04-24T00:00:00"/>
        <d v="2024-09-03T00:00:00"/>
        <d v="2024-09-05T00:00:00"/>
        <d v="2023-03-14T00:00:00"/>
        <d v="2024-09-13T00:00:00"/>
        <d v="2025-07-17T00:00:00"/>
        <d v="2023-11-28T00:00:00"/>
        <d v="2024-03-30T00:00:00"/>
        <d v="2023-09-19T00:00:00"/>
        <d v="2025-05-16T00:00:00"/>
        <d v="2025-08-02T00:00:00"/>
        <d v="2024-12-04T00:00:00"/>
        <d v="2024-03-06T00:00:00"/>
        <d v="2024-02-16T00:00:00"/>
        <d v="2025-04-22T00:00:00"/>
        <d v="2024-11-08T00:00:00"/>
        <d v="2025-09-12T00:00:00"/>
        <d v="2024-09-02T00:00:00"/>
        <d v="2023-03-04T00:00:00"/>
        <d v="2024-03-15T00:00:00"/>
        <d v="2024-07-29T00:00:00"/>
        <d v="2024-10-27T00:00:00"/>
        <d v="2024-04-29T00:00:00"/>
        <d v="2023-10-05T00:00:00"/>
        <d v="2025-06-27T00:00:00"/>
        <d v="2023-10-11T00:00:00"/>
        <d v="2023-05-27T00:00:00"/>
        <d v="2023-08-04T00:00:00"/>
        <d v="2025-06-21T00:00:00"/>
        <d v="2025-09-02T00:00:00"/>
        <d v="2024-10-08T00:00:00"/>
        <d v="2023-05-07T00:00:00"/>
        <d v="2023-12-24T00:00:00"/>
        <d v="2024-01-10T00:00:00"/>
        <d v="2023-08-03T00:00:00"/>
        <d v="2025-02-19T00:00:00"/>
        <d v="2024-03-31T00:00:00"/>
        <d v="2023-07-24T00:00:00"/>
        <d v="2024-03-16T00:00:00"/>
        <d v="2024-01-25T00:00:00"/>
        <d v="2024-03-27T00:00:00"/>
        <d v="2024-06-16T00:00:00"/>
        <d v="2023-10-30T00:00:00"/>
        <d v="2023-06-15T00:00:00"/>
        <d v="2025-03-14T00:00:00"/>
        <d v="2025-05-17T00:00:00"/>
        <d v="2025-04-04T00:00:00"/>
        <d v="2024-09-07T00:00:00"/>
        <d v="2023-07-18T00:00:00"/>
        <d v="2025-08-28T00:00:00"/>
        <d v="2025-03-30T00:00:00"/>
        <d v="2023-10-21T00:00:00"/>
        <d v="2023-08-23T00:00:00"/>
        <d v="2025-04-11T00:00:00"/>
        <d v="2025-06-01T00:00:00"/>
        <d v="2024-03-02T00:00:00"/>
        <d v="2023-06-20T00:00:00"/>
        <d v="2024-03-26T00:00:00"/>
        <d v="2025-01-22T00:00:00"/>
        <d v="2025-05-10T00:00:00"/>
        <d v="2025-06-22T00:00:00"/>
        <d v="2024-06-19T00:00:00"/>
        <d v="2025-05-18T00:00:00"/>
        <d v="2023-01-10T00:00:00"/>
        <d v="2024-12-29T00:00:00"/>
        <d v="2024-11-04T00:00:00"/>
        <d v="2024-06-08T00:00:00"/>
        <d v="2023-05-06T00:00:00"/>
        <d v="2023-11-14T00:00:00"/>
        <d v="2025-04-01T00:00:00"/>
        <d v="2023-03-23T00:00:00"/>
        <d v="2024-01-02T00:00:00"/>
        <d v="2023-06-10T00:00:00"/>
        <d v="2025-05-19T00:00:00"/>
        <d v="2023-10-22T00:00:00"/>
        <d v="2025-01-11T00:00:00"/>
        <d v="2025-09-14T00:00:00"/>
        <d v="2023-11-15T00:00:00"/>
        <d v="2024-04-09T00:00:00"/>
        <d v="2024-07-11T00:00:00"/>
        <d v="2023-07-25T00:00:00"/>
        <d v="2023-07-14T00:00:00"/>
        <d v="2023-04-13T00:00:00"/>
        <d v="2024-10-29T00:00:00"/>
        <d v="2024-02-17T00:00:00"/>
        <d v="2024-07-13T00:00:00"/>
        <d v="2023-12-01T00:00:00"/>
        <d v="2023-12-21T00:00:00"/>
        <d v="2025-06-17T00:00:00"/>
        <d v="2023-12-02T00:00:00"/>
        <d v="2024-08-08T00:00:00"/>
        <d v="2024-11-07T00:00:00"/>
        <d v="2024-01-01T00:00:00"/>
        <d v="2025-08-14T00:00:00"/>
        <d v="2024-11-25T00:00:00"/>
        <d v="2024-01-18T00:00:00"/>
        <d v="2024-06-23T00:00:00"/>
        <d v="2025-06-25T00:00:00"/>
        <d v="2023-07-01T00:00:00"/>
        <d v="2024-03-09T00:00:00"/>
        <d v="2023-06-05T00:00:00"/>
        <d v="2025-03-21T00:00:00"/>
        <d v="2025-03-15T00:00:00"/>
        <d v="2023-12-26T00:00:00"/>
        <d v="2023-02-05T00:00:00"/>
        <d v="2024-05-17T00:00:00"/>
        <d v="2024-03-03T00:00:00"/>
        <d v="2023-03-13T00:00:00"/>
        <d v="2025-01-07T00:00:00"/>
        <d v="2025-02-06T00:00:00"/>
        <d v="2025-01-31T00:00:00"/>
        <d v="2025-07-23T00:00:00"/>
        <d v="2024-07-18T00:00:00"/>
        <d v="2025-05-12T00:00:00"/>
        <d v="2024-05-07T00:00:00"/>
        <d v="2023-09-30T00:00:00"/>
        <d v="2023-10-26T00:00:00"/>
        <d v="2025-06-15T00:00:00"/>
        <d v="2024-08-10T00:00:00"/>
        <d v="2023-10-09T00:00:00"/>
        <d v="2023-05-29T00:00:00"/>
        <d v="2025-05-27T00:00:00"/>
        <d v="2024-12-12T00:00:00"/>
        <d v="2024-09-06T00:00:00"/>
        <d v="2025-04-12T00:00:00"/>
        <d v="2024-11-05T00:00:00"/>
        <d v="2024-07-24T00:00:00"/>
        <d v="2025-01-20T00:00:00"/>
        <d v="2023-03-06T00:00:00"/>
        <d v="2024-12-20T00:00:00"/>
        <d v="2025-02-21T00:00:00"/>
        <d v="2025-03-08T00:00:00"/>
        <d v="2023-12-16T00:00:00"/>
        <d v="2024-08-30T00:00:00"/>
        <d v="2023-03-17T00:00:00"/>
        <d v="2023-08-25T00:00:00"/>
        <d v="2024-06-06T00:00:00"/>
        <d v="2023-08-29T00:00:00"/>
        <d v="2025-06-05T00:00:00"/>
        <d v="2024-01-16T00:00:00"/>
        <d v="2023-10-12T00:00:00"/>
        <d v="2025-02-25T00:00:00"/>
        <d v="2025-07-03T00:00:00"/>
        <d v="2024-02-19T00:00:00"/>
        <d v="2024-02-27T00:00:00"/>
        <d v="2024-08-18T00:00:00"/>
        <d v="2024-02-25T00:00:00"/>
        <d v="2025-05-07T00:00:00"/>
        <d v="2024-11-01T00:00:00"/>
        <d v="2024-12-28T00:00:00"/>
        <d v="2023-10-18T00:00:00"/>
        <d v="2024-12-24T00:00:00"/>
        <d v="2023-12-30T00:00:00"/>
        <d v="2023-02-21T00:00:00"/>
        <d v="2023-05-17T00:00:00"/>
        <d v="2024-03-23T00:00:00"/>
        <d v="2023-09-20T00:00:00"/>
        <d v="2024-08-22T00:00:00"/>
        <d v="2024-09-25T00:00:00"/>
        <d v="2023-06-13T00:00:00"/>
        <d v="2024-06-03T00:00:00"/>
        <d v="2024-06-11T00:00:00"/>
        <d v="2023-07-22T00:00:00"/>
        <d v="2023-01-19T00:00:00"/>
        <d v="2024-05-01T00:00:00"/>
        <d v="2023-05-24T00:00:00"/>
        <d v="2023-12-05T00:00:00"/>
        <d v="2024-05-05T00:00:00"/>
        <d v="2023-07-09T00:00:00"/>
        <d v="2025-04-10T00:00:00"/>
        <d v="2025-07-27T00:00:00"/>
        <d v="2024-11-22T00:00:00"/>
        <d v="2023-12-18T00:00:00"/>
        <d v="2025-03-23T00:00:00"/>
        <d v="2023-05-14T00:00:00"/>
        <d v="2024-02-06T00:00:00"/>
        <d v="2025-08-13T00:00:00"/>
        <d v="2024-05-10T00:00:00"/>
        <d v="2023-07-16T00:00:00"/>
        <d v="2023-04-16T00:00:00"/>
        <d v="2025-08-30T00:00:00"/>
        <d v="2023-08-10T00:00:00"/>
        <d v="2024-12-08T00:00:00"/>
        <d v="2023-10-25T00:00:00"/>
        <d v="2024-11-17T00:00:00"/>
        <d v="2024-05-12T00:00:00"/>
        <d v="2025-05-15T00:00:00"/>
        <d v="2024-04-21T00:00:00"/>
        <d v="2024-08-19T00:00:00"/>
        <d v="2024-03-01T00:00:00"/>
        <d v="2024-05-27T00:00:00"/>
        <d v="2024-08-04T00:00:00"/>
        <d v="2024-04-26T00:00:00"/>
        <d v="2025-03-24T00:00:00"/>
        <d v="2025-03-10T00:00:00"/>
        <d v="2024-04-05T00:00:00"/>
        <d v="2024-10-24T00:00:00"/>
        <d v="2024-11-12T00:00:00"/>
        <d v="2023-05-10T00:00:00"/>
        <d v="2024-10-10T00:00:00"/>
        <d v="2023-06-01T00:00:00"/>
        <d v="2025-01-04T00:00:00"/>
        <d v="2023-05-01T00:00:00"/>
        <d v="2024-07-09T00:00:00"/>
        <d v="2024-04-24T00:00:00"/>
        <d v="2024-04-16T00:00:00"/>
        <d v="2025-02-07T00:00:00"/>
        <d v="2023-01-12T00:00:00"/>
        <d v="2024-06-05T00:00:00"/>
        <d v="2023-08-24T00:00:00"/>
        <d v="2025-03-11T00:00:00"/>
        <d v="2023-08-17T00:00:00"/>
        <d v="2025-01-10T00:00:00"/>
        <d v="2024-08-16T00:00:00"/>
        <d v="2023-07-07T00:00:00"/>
        <d v="2023-12-28T00:00:00"/>
        <d v="2023-01-26T00:00:00"/>
        <d v="2023-07-08T00:00:00"/>
        <d v="2023-02-11T00:00:00"/>
        <d v="2025-08-20T00:00:00"/>
        <d v="2024-03-04T00:00:00"/>
        <d v="2023-09-08T00:00:00"/>
        <d v="2024-12-07T00:00:00"/>
        <d v="2025-08-06T00:00:00"/>
        <d v="2023-03-03T00:00:00"/>
        <d v="2025-02-16T00:00:00"/>
        <d v="2024-08-31T00:00:00"/>
        <d v="2024-01-08T00:00:00"/>
        <d v="2024-01-24T00:00:00"/>
        <d v="2024-02-08T00:00:00"/>
        <d v="2025-06-26T00:00:00"/>
        <d v="2024-02-20T00:00:00"/>
        <d v="2025-04-13T00:00:00"/>
        <d v="2023-04-26T00:00:00"/>
        <d v="2025-08-03T00:00:00"/>
        <d v="2023-08-02T00:00:00"/>
        <d v="2024-11-11T00:00:00"/>
        <d v="2025-07-11T00:00:00"/>
        <d v="2023-06-03T00:00:00"/>
        <d v="2024-08-03T00:00:00"/>
        <d v="2025-04-17T00:00:00"/>
        <d v="2023-05-03T00:00:00"/>
        <d v="2024-03-13T00:00:00"/>
        <d v="2023-04-03T00:00:00"/>
        <d v="2023-02-27T00:00:00"/>
        <d v="2024-07-31T00:00:00"/>
        <d v="2025-02-17T00:00:00"/>
        <d v="2023-01-07T00:00:00"/>
        <d v="2024-08-17T00:00:00"/>
        <d v="2025-08-11T00:00:00"/>
        <d v="2023-04-10T00:00:00"/>
        <d v="2023-09-17T00:00:00"/>
        <d v="2023-04-22T00:00:00"/>
        <d v="2024-11-27T00:00:00"/>
        <d v="2024-10-19T00:00:00"/>
        <d v="2024-06-25T00:00:00"/>
        <d v="2024-10-13T00:00:00"/>
        <d v="2024-07-28T00:00:00"/>
        <d v="2025-07-19T00:00:00"/>
        <d v="2025-02-28T00:00:00"/>
      </sharedItems>
      <fieldGroup par="33"/>
    </cacheField>
    <cacheField name="Order Quarter" numFmtId="167">
      <sharedItems/>
    </cacheField>
    <cacheField name="RequiredDate" numFmtId="165">
      <sharedItems containsSemiMixedTypes="0" containsNonDate="0" containsDate="1" containsString="0" minDate="2023-01-05T00:00:00" maxDate="2025-10-06T00:00:00"/>
    </cacheField>
    <cacheField name="Cleaned RequiredDate" numFmtId="165">
      <sharedItems containsSemiMixedTypes="0" containsNonDate="0" containsDate="1" containsString="0" minDate="2023-01-05T00:00:00" maxDate="2025-10-06T00:00:00"/>
    </cacheField>
    <cacheField name="LeadTimeDays" numFmtId="1">
      <sharedItems containsSemiMixedTypes="0" containsString="0" containsNumber="1" containsInteger="1" minValue="-2" maxValue="30"/>
    </cacheField>
    <cacheField name="Cleaned LeadTimeDays" numFmtId="1">
      <sharedItems containsSemiMixedTypes="0" containsString="0" containsNumber="1" containsInteger="1" minValue="0" maxValue="30"/>
    </cacheField>
    <cacheField name="Target Met             (7 days)" numFmtId="0">
      <sharedItems count="2">
        <s v="No"/>
        <s v="Yes"/>
      </sharedItems>
    </cacheField>
    <cacheField name="StartDate" numFmtId="164">
      <sharedItems containsSemiMixedTypes="0" containsNonDate="0" containsDate="1" containsString="0" minDate="2023-01-02T00:00:00" maxDate="2023-03-04T00:00:00" count="11">
        <d v="2023-01-20T00:00:00"/>
        <d v="2023-01-15T00:00:00"/>
        <d v="2023-03-03T00:00:00"/>
        <d v="2023-01-02T00:00:00"/>
        <d v="2023-01-29T00:00:00"/>
        <d v="2023-01-22T00:00:00"/>
        <d v="2023-01-10T00:00:00"/>
        <d v="2023-01-19T00:00:00"/>
        <d v="2023-01-12T00:00:00"/>
        <d v="2023-01-13T00:00:00"/>
        <d v="2023-01-07T00:00:00"/>
      </sharedItems>
      <fieldGroup par="35"/>
    </cacheField>
    <cacheField name="Region" numFmtId="0">
      <sharedItems count="4">
        <s v="Africa"/>
        <s v="Asia"/>
        <s v="Americas"/>
        <s v="Europe"/>
      </sharedItems>
    </cacheField>
    <cacheField name="Country" numFmtId="0">
      <sharedItems count="12">
        <s v="Kenya"/>
        <s v="Nigeria"/>
        <s v="Japan"/>
        <s v="Canada"/>
        <s v="India"/>
        <s v="Brazil"/>
        <s v="Germany"/>
        <s v="France"/>
        <s v="United Kingdom"/>
        <s v="China"/>
        <s v="USA"/>
        <s v="South Africa"/>
      </sharedItems>
    </cacheField>
    <cacheField name="City" numFmtId="0">
      <sharedItems/>
    </cacheField>
    <cacheField name="Region hierarchy" numFmtId="0">
      <sharedItems/>
    </cacheField>
    <cacheField name="CustomerSegment" numFmtId="0">
      <sharedItems/>
    </cacheField>
    <cacheField name="Channel" numFmtId="0">
      <sharedItems count="5">
        <s v="Retail"/>
        <s v="Online"/>
        <s v="Marketplace"/>
        <s v="Distributor"/>
        <s v="Direct"/>
      </sharedItems>
    </cacheField>
    <cacheField name="Salesperson" numFmtId="0">
      <sharedItems count="15">
        <s v="C. Otieno"/>
        <s v="J. Njeri"/>
        <s v="I. Johnson"/>
        <s v="G. Dubois"/>
        <s v="L. Okafor"/>
        <s v="B. Chen"/>
        <s v="E. Garcia"/>
        <s v="O. Wang"/>
        <s v="A. Patel"/>
        <s v="F. Müller"/>
        <s v="H. Kim"/>
        <s v="K. Singh"/>
        <s v="M. Rossi"/>
        <s v="N. Brown"/>
        <s v="D. Smith"/>
      </sharedItems>
    </cacheField>
    <cacheField name="ProductCategory" numFmtId="0">
      <sharedItems count="7">
        <s v="Components"/>
        <s v="Printers"/>
        <s v="Networking"/>
        <s v="Phones"/>
        <s v="Laptops"/>
        <s v="Monitors"/>
        <s v="Accessories"/>
      </sharedItems>
    </cacheField>
    <cacheField name="SKU" numFmtId="0">
      <sharedItems count="630">
        <s v="CMP-8270"/>
        <s v="PRN-9322"/>
        <s v="NET-9666"/>
        <s v="PHN-4556"/>
        <s v="PRN-8041"/>
        <s v="LAP-8555"/>
        <s v="MON-8629"/>
        <s v="PRN-6276"/>
        <s v="MON-6892"/>
        <s v="CMP-3731"/>
        <s v="ACC-7938"/>
        <s v="PHN-7019"/>
        <s v="CMP-3693"/>
        <s v="PRN-8392"/>
        <s v="ACC-1663"/>
        <s v="LAP-1698"/>
        <s v="PRN-6791"/>
        <s v="PHN-1197"/>
        <s v="ACC-8098"/>
        <s v="LAP-3385"/>
        <s v="LAP-9815"/>
        <s v="NET-3255"/>
        <s v="ACC-3961"/>
        <s v="LAP-4987"/>
        <s v="CMP-2693"/>
        <s v="ACC-8683"/>
        <s v="PRN-4170"/>
        <s v="PHN-6854"/>
        <s v="PHN-1784"/>
        <s v="NET-9716"/>
        <s v="CMP-6919"/>
        <s v="PHN-4854"/>
        <s v="NET-7966"/>
        <s v="LAP-9932"/>
        <s v="CMP-1559"/>
        <s v="PRN-4506"/>
        <s v="CMP-7617"/>
        <s v="CMP-8390"/>
        <s v="PRN-7303"/>
        <s v="PRN-6536"/>
        <s v="MON-9967"/>
        <s v="NET-1412"/>
        <s v="PRN-3143"/>
        <s v="PRN-9787"/>
        <s v="CMP-5946"/>
        <s v="NET-2062"/>
        <s v="PRN-2542"/>
        <s v="NET-2365"/>
        <s v="NET-5268"/>
        <s v="PRN-1504"/>
        <s v="ACC-6348"/>
        <s v="MON-4330"/>
        <s v="LAP-7819"/>
        <s v="LAP-3779"/>
        <s v="NET-9989"/>
        <s v="MON-4925"/>
        <s v="LAP-6989"/>
        <s v="ACC-5780"/>
        <s v="ACC-1770"/>
        <s v="ACC-2252"/>
        <s v="CMP-8002"/>
        <s v="CMP-6971"/>
        <s v="PHN-8350"/>
        <s v="MON-5188"/>
        <s v="LAP-3393"/>
        <s v="PHN-4644"/>
        <s v="ACC-9150"/>
        <s v="MON-6870"/>
        <s v="MON-2296"/>
        <s v="CMP-7371"/>
        <s v="ACC-2761"/>
        <s v="LAP-4517"/>
        <s v="LAP-8489"/>
        <s v="NET-1846"/>
        <s v="CMP-5208"/>
        <s v="CMP-1009"/>
        <s v="ACC-4490"/>
        <s v="ACC-9162"/>
        <s v="CMP-5820"/>
        <s v="MON-7943"/>
        <s v="NET-5018"/>
        <s v="PRN-9669"/>
        <s v="CMP-2865"/>
        <s v="MON-3371"/>
        <s v="NET-7166"/>
        <s v="CMP-4531"/>
        <s v="CMP-8196"/>
        <s v="CMP-2854"/>
        <s v="MON-8973"/>
        <s v="MON-2990"/>
        <s v="NET-1966"/>
        <s v="PHN-3482"/>
        <s v="PRN-6490"/>
        <s v="ACC-9038"/>
        <s v="PHN-6954"/>
        <s v="PRN-8970"/>
        <s v="MON-1822"/>
        <s v="ACC-5177"/>
        <s v="NET-1804"/>
        <s v="LAP-3679"/>
        <s v="PHN-8368"/>
        <s v="CMP-8141"/>
        <s v="LAP-7136"/>
        <s v="ACC-2386"/>
        <s v="LAP-5150"/>
        <s v="CMP-8101"/>
        <s v="PHN-8970"/>
        <s v="PHN-2341"/>
        <s v="NET-6387"/>
        <s v="ACC-9820"/>
        <s v="CMP-6392"/>
        <s v="LAP-9230"/>
        <s v="NET-4241"/>
        <s v="ACC-4511"/>
        <s v="NET-3033"/>
        <s v="MON-2828"/>
        <s v="PRN-6429"/>
        <s v="LAP-8214"/>
        <s v="MON-9194"/>
        <s v="LAP-2218"/>
        <s v="NET-6370"/>
        <s v="MON-3745"/>
        <s v="PHN-7924"/>
        <s v="NET-8561"/>
        <s v="CMP-2136"/>
        <s v="CMP-6352"/>
        <s v="CMP-2040"/>
        <s v="CMP-6346"/>
        <s v="PHN-4356"/>
        <s v="NET-4155"/>
        <s v="MON-5179"/>
        <s v="ACC-4056"/>
        <s v="LAP-9782"/>
        <s v="PHN-2875"/>
        <s v="PRN-4788"/>
        <s v="MON-3043"/>
        <s v="CMP-3720"/>
        <s v="PHN-8014"/>
        <s v="PRN-4911"/>
        <s v="ACC-1021"/>
        <s v="MON-2266"/>
        <s v="PHN-8057"/>
        <s v="ACC-7078"/>
        <s v="PRN-4453"/>
        <s v="NET-2394"/>
        <s v="LAP-1525"/>
        <s v="LAP-3278"/>
        <s v="ACC-6543"/>
        <s v="PRN-4432"/>
        <s v="PHN-4568"/>
        <s v="PRN-6178"/>
        <s v="LAP-6342"/>
        <s v="PRN-8175"/>
        <s v="PRN-7089"/>
        <s v="ACC-4124"/>
        <s v="NET-7924"/>
        <s v="NET-8761"/>
        <s v="CMP-3875"/>
        <s v="ACC-3989"/>
        <s v="PHN-9234"/>
        <s v="MON-9906"/>
        <s v="CMP-4610"/>
        <s v="PHN-5445"/>
        <s v="MON-9227"/>
        <s v="PRN-4097"/>
        <s v="MON-6699"/>
        <s v="LAP-1482"/>
        <s v="MON-2100"/>
        <s v="MON-7602"/>
        <s v="CMP-1072"/>
        <s v="ACC-2735"/>
        <s v="CMP-5211"/>
        <s v="CMP-1632"/>
        <s v="LAP-7099"/>
        <s v="PRN-3785"/>
        <s v="MON-6962"/>
        <s v="PRN-5107"/>
        <s v="CMP-9264"/>
        <s v="MON-5259"/>
        <s v="PRN-8137"/>
        <s v="ACC-6777"/>
        <s v="PHN-7488"/>
        <s v="ACC-9591"/>
        <s v="MON-5517"/>
        <s v="MON-8758"/>
        <s v="ACC-3385"/>
        <s v="MON-1593"/>
        <s v="ACC-4631"/>
        <s v="MON-7869"/>
        <s v="MON-4271"/>
        <s v="LAP-5531"/>
        <s v="MON-7511"/>
        <s v="LAP-7979"/>
        <s v="PRN-4983"/>
        <s v="NET-5941"/>
        <s v="MON-6341"/>
        <s v="PHN-9789"/>
        <s v="PHN-5082"/>
        <s v="NET-3460"/>
        <s v="PRN-7019"/>
        <s v="PHN-3159"/>
        <s v="PRN-8604"/>
        <s v="PHN-2013"/>
        <s v="NET-6036"/>
        <s v="MON-4959"/>
        <s v="MON-1663"/>
        <s v="CMP-7256"/>
        <s v="ACC-1659"/>
        <s v="PRN-6068"/>
        <s v="ACC-8999"/>
        <s v="CMP-3978"/>
        <s v="MON-7868"/>
        <s v="PRN-3014"/>
        <s v="PHN-1671"/>
        <s v="ACC-5260"/>
        <s v="NET-7588"/>
        <s v="MON-1572"/>
        <s v="MON-2537"/>
        <s v="PRN-5666"/>
        <s v="PRN-2749"/>
        <s v="CMP-4970"/>
        <s v="ACC-3551"/>
        <s v="CMP-7063"/>
        <s v="NET-1612"/>
        <s v="LAP-9766"/>
        <s v="PHN-7274"/>
        <s v="NET-1645"/>
        <s v="ACC-5079"/>
        <s v="PRN-2098"/>
        <s v="PRN-7049"/>
        <s v="CMP-6925"/>
        <s v="PHN-2787"/>
        <s v="PRN-1141"/>
        <s v="MON-5249"/>
        <s v="CMP-8230"/>
        <s v="PRN-7816"/>
        <s v="PHN-8804"/>
        <s v="CMP-8851"/>
        <s v="PHN-2447"/>
        <s v="LAP-2846"/>
        <s v="PRN-5005"/>
        <s v="PHN-3800"/>
        <s v="LAP-4828"/>
        <s v="PRN-5492"/>
        <s v="PHN-7132"/>
        <s v="PHN-4741"/>
        <s v="LAP-2774"/>
        <s v="MON-2842"/>
        <s v="NET-2628"/>
        <s v="MON-2998"/>
        <s v="CMP-7563"/>
        <s v="LAP-6160"/>
        <s v="MON-4361"/>
        <s v="PRN-2829"/>
        <s v="MON-8939"/>
        <s v="LAP-5009"/>
        <s v="CMP-4807"/>
        <s v="NET-2439"/>
        <s v="MON-7626"/>
        <s v="ACC-3567"/>
        <s v="CMP-4630"/>
        <s v="ACC-1882"/>
        <s v="NET-9125"/>
        <s v="PHN-3819"/>
        <s v="LAP-3490"/>
        <s v="PRN-1276"/>
        <s v="MON-9733"/>
        <s v="CMP-9392"/>
        <s v="PHN-3014"/>
        <s v="PRN-6776"/>
        <s v="ACC-3951"/>
        <s v="MON-1436"/>
        <s v="MON-8651"/>
        <s v="MON-3307"/>
        <s v="PRN-8758"/>
        <s v="LAP-7056"/>
        <s v="NET-5523"/>
        <s v="ACC-8094"/>
        <s v="PHN-6832"/>
        <s v="LAP-2378"/>
        <s v="MON-5424"/>
        <s v="NET-8430"/>
        <s v="PHN-1234"/>
        <s v="LAP-9016"/>
        <s v="LAP-9931"/>
        <s v="PHN-6818"/>
        <s v="PHN-3803"/>
        <s v="NET-9835"/>
        <s v="ACC-6223"/>
        <s v="CMP-8659"/>
        <s v="ACC-4483"/>
        <s v="PRN-8763"/>
        <s v="ACC-8557"/>
        <s v="ACC-1492"/>
        <s v="CMP-3743"/>
        <s v="LAP-1619"/>
        <s v="PRN-7976"/>
        <s v="MON-4326"/>
        <s v="MON-5444"/>
        <s v="ACC-5422"/>
        <s v="CMP-9307"/>
        <s v="PRN-6520"/>
        <s v="NET-1699"/>
        <s v="PHN-5316"/>
        <s v="LAP-4607"/>
        <s v="MON-5276"/>
        <s v="ACC-9533"/>
        <s v="NET-3749"/>
        <s v="PRN-2991"/>
        <s v="LAP-4551"/>
        <s v="MON-6310"/>
        <s v="NET-1166"/>
        <s v="ACC-2903"/>
        <s v="PRN-2293"/>
        <s v="MON-1389"/>
        <s v="CMP-4093"/>
        <s v="PHN-6131"/>
        <s v="NET-4104"/>
        <s v="MON-9319"/>
        <s v="ACC-2988"/>
        <s v="PHN-9399"/>
        <s v="NET-4554"/>
        <s v="NET-5195"/>
        <s v="CMP-9801"/>
        <s v="CMP-3093"/>
        <s v="ACC-2364"/>
        <s v="CMP-5138"/>
        <s v="PHN-2337"/>
        <s v="MON-2993"/>
        <s v="LAP-9024"/>
        <s v="PHN-6307"/>
        <s v="NET-9003"/>
        <s v="ACC-3068"/>
        <s v="ACC-1060"/>
        <s v="PHN-3854"/>
        <s v="PRN-1086"/>
        <s v="PHN-7815"/>
        <s v="PRN-5384"/>
        <s v="ACC-8178"/>
        <s v="MON-1018"/>
        <s v="ACC-1238"/>
        <s v="NET-1816"/>
        <s v="PRN-4893"/>
        <s v="PHN-1717"/>
        <s v="NET-9575"/>
        <s v="LAP-3604"/>
        <s v="ACC-6626"/>
        <s v="PHN-1670"/>
        <s v="CMP-4792"/>
        <s v="LAP-1990"/>
        <s v="PRN-7410"/>
        <s v="MON-4278"/>
        <s v="ACC-5334"/>
        <s v="NET-8957"/>
        <s v="PRN-9960"/>
        <s v="ACC-3103"/>
        <s v="PRN-9490"/>
        <s v="NET-3850"/>
        <s v="ACC-7047"/>
        <s v="PRN-6660"/>
        <s v="ACC-7838"/>
        <s v="PHN-5383"/>
        <s v="LAP-3904"/>
        <s v="MON-5749"/>
        <s v="PRN-3690"/>
        <s v="CMP-7055"/>
        <s v="PHN-6866"/>
        <s v="CMP-3259"/>
        <s v="LAP-6750"/>
        <s v="PRN-3775"/>
        <s v="LAP-2942"/>
        <s v="PHN-2036"/>
        <s v="MON-4373"/>
        <s v="PRN-8657"/>
        <s v="PHN-7974"/>
        <s v="PHN-4915"/>
        <s v="NET-3535"/>
        <s v="CMP-2574"/>
        <s v="NET-7901"/>
        <s v="NET-5482"/>
        <s v="NET-1336"/>
        <s v="PRN-5876"/>
        <s v="NET-3828"/>
        <s v="MON-7622"/>
        <s v="LAP-2806"/>
        <s v="PRN-8850"/>
        <s v="LAP-9100"/>
        <s v="LAP-5763"/>
        <s v="LAP-7320"/>
        <s v="MON-5891"/>
        <s v="PRN-1183"/>
        <s v="CMP-2096"/>
        <s v="PHN-3398"/>
        <s v="CMP-8545"/>
        <s v="ACC-1249"/>
        <s v="MON-9662"/>
        <s v="LAP-8347"/>
        <s v="CMP-6898"/>
        <s v="MON-3504"/>
        <s v="NET-3432"/>
        <s v="PRN-5591"/>
        <s v="CMP-2015"/>
        <s v="LAP-9901"/>
        <s v="CMP-8658"/>
        <s v="MON-2073"/>
        <s v="PRN-9378"/>
        <s v="PHN-5887"/>
        <s v="LAP-8119"/>
        <s v="ACC-9644"/>
        <s v="LAP-7009"/>
        <s v="PRN-1725"/>
        <s v="PHN-8483"/>
        <s v="PHN-3971"/>
        <s v="NET-6578"/>
        <s v="PRN-9975"/>
        <s v="ACC-1075"/>
        <s v="ACC-2902"/>
        <s v="PRN-5815"/>
        <s v="MON-4195"/>
        <s v="PHN-8478"/>
        <s v="PHN-1044"/>
        <s v="LAP-8910"/>
        <s v="PHN-2859"/>
        <s v="PRN-6308"/>
        <s v="LAP-8469"/>
        <s v="LAP-7553"/>
        <s v="PHN-3077"/>
        <s v="MON-3350"/>
        <s v="PHN-5683"/>
        <s v="PRN-2409"/>
        <s v="LAP-8825"/>
        <s v="MON-8697"/>
        <s v="MON-4789"/>
        <s v="NET-7998"/>
        <s v="PHN-8891"/>
        <s v="NET-9832"/>
        <s v="CMP-8604"/>
        <s v="ACC-6594"/>
        <s v="NET-2499"/>
        <s v="PRN-1923"/>
        <s v="PHN-4346"/>
        <s v="ACC-1375"/>
        <s v="PRN-4892"/>
        <s v="PRN-9557"/>
        <s v="PRN-8008"/>
        <s v="LAP-1946"/>
        <s v="MON-7106"/>
        <s v="MON-5386"/>
        <s v="PHN-2436"/>
        <s v="PRN-2301"/>
        <s v="ACC-3645"/>
        <s v="CMP-6811"/>
        <s v="PHN-5675"/>
        <s v="MON-6882"/>
        <s v="ACC-8620"/>
        <s v="PHN-6506"/>
        <s v="MON-5086"/>
        <s v="LAP-4899"/>
        <s v="CMP-3313"/>
        <s v="CMP-6649"/>
        <s v="ACC-5206"/>
        <s v="PRN-6911"/>
        <s v="NET-5270"/>
        <s v="CMP-5658"/>
        <s v="CMP-3938"/>
        <s v="ACC-7671"/>
        <s v="NET-6014"/>
        <s v="CMP-4159"/>
        <s v="PRN-3159"/>
        <s v="PRN-9488"/>
        <s v="PRN-7079"/>
        <s v="CMP-1220"/>
        <s v="MON-2462"/>
        <s v="PHN-9465"/>
        <s v="PRN-1271"/>
        <s v="LAP-1066"/>
        <s v="CMP-8675"/>
        <s v="LAP-1178"/>
        <s v="ACC-1731"/>
        <s v="NET-1893"/>
        <s v="PRN-3917"/>
        <s v="LAP-3220"/>
        <s v="PHN-2462"/>
        <s v="NET-2894"/>
        <s v="CMP-2335"/>
        <s v="PHN-5938"/>
        <s v="PRN-1371"/>
        <s v="PRN-5813"/>
        <s v="PHN-6480"/>
        <s v="ACC-2990"/>
        <s v="CMP-5435"/>
        <s v="ACC-1596"/>
        <s v="PHN-7852"/>
        <s v="ACC-7240"/>
        <s v="MON-8867"/>
        <s v="NET-1228"/>
        <s v="NET-1145"/>
        <s v="ACC-2867"/>
        <s v="MON-9274"/>
        <s v="MON-4830"/>
        <s v="PHN-9107"/>
        <s v="PRN-1060"/>
        <s v="NET-8329"/>
        <s v="NET-6269"/>
        <s v="CMP-6529"/>
        <s v="PHN-8776"/>
        <s v="NET-3728"/>
        <s v="LAP-3565"/>
        <s v="LAP-5078"/>
        <s v="MON-2465"/>
        <s v="CMP-3223"/>
        <s v="CMP-8127"/>
        <s v="PHN-1924"/>
        <s v="CMP-1156"/>
        <s v="LAP-3905"/>
        <s v="PRN-1786"/>
        <s v="ACC-3349"/>
        <s v="NET-4228"/>
        <s v="CMP-5633"/>
        <s v="CMP-5825"/>
        <s v="LAP-6499"/>
        <s v="ACC-3721"/>
        <s v="MON-6190"/>
        <s v="CMP-2410"/>
        <s v="PRN-2641"/>
        <s v="PRN-1882"/>
        <s v="PRN-1641"/>
        <s v="LAP-1739"/>
        <s v="PRN-4732"/>
        <s v="NET-9569"/>
        <s v="PHN-3007"/>
        <s v="MON-9216"/>
        <s v="PHN-8072"/>
        <s v="LAP-1308"/>
        <s v="LAP-7353"/>
        <s v="NET-6533"/>
        <s v="ACC-9445"/>
        <s v="PRN-1654"/>
        <s v="NET-8787"/>
        <s v="LAP-1989"/>
        <s v="MON-8688"/>
        <s v="ACC-8242"/>
        <s v="LAP-4666"/>
        <s v="NET-5196"/>
        <s v="MON-8422"/>
        <s v="ACC-3415"/>
        <s v="PRN-9624"/>
        <s v="MON-6287"/>
        <s v="NET-4491"/>
        <s v="MON-4317"/>
        <s v="NET-7349"/>
        <s v="ACC-5150"/>
        <s v="ACC-5144"/>
        <s v="PHN-6111"/>
        <s v="ACC-9283"/>
        <s v="PRN-2407"/>
        <s v="MON-7099"/>
        <s v="ACC-7354"/>
        <s v="PRN-6585"/>
        <s v="CMP-9498"/>
        <s v="PHN-1919"/>
        <s v="MON-6053"/>
        <s v="NET-2502"/>
        <s v="LAP-5689"/>
        <s v="CMP-5911"/>
        <s v="LAP-7523"/>
        <s v="MON-1118"/>
        <s v="NET-9177"/>
        <s v="CMP-6495"/>
        <s v="ACC-4587"/>
        <s v="PHN-4395"/>
        <s v="LAP-3581"/>
        <s v="MON-6065"/>
        <s v="CMP-4945"/>
        <s v="NET-3785"/>
        <s v="NET-3689"/>
        <s v="ACC-3833"/>
        <s v="NET-2932"/>
        <s v="PHN-7636"/>
        <s v="CMP-1223"/>
        <s v="MON-7207"/>
        <s v="LAP-4483"/>
        <s v="LAP-1969"/>
        <s v="PHN-4566"/>
        <s v="PHN-5366"/>
        <s v="CMP-9001"/>
        <s v="PHN-9677"/>
        <s v="ACC-1604"/>
        <s v="ACC-4815"/>
        <s v="CMP-5311"/>
        <s v="NET-1282"/>
        <s v="MON-1564"/>
        <s v="ACC-7906"/>
        <s v="LAP-6577"/>
        <s v="CMP-5065"/>
        <s v="PRN-4787"/>
        <s v="PRN-9867"/>
        <s v="MON-2849"/>
        <s v="LAP-8633"/>
        <s v="PRN-9793"/>
        <s v="NET-6218"/>
        <s v="PRN-6131"/>
        <s v="PRN-5067"/>
        <s v="LAP-4932"/>
        <s v="ACC-7713"/>
        <s v="PHN-7379"/>
        <s v="PRN-5569"/>
        <s v="CMP-1470"/>
        <s v="PRN-9249"/>
        <s v="PRN-4906"/>
        <s v="MON-8129"/>
        <s v="NET-5987"/>
        <s v="NET-5423"/>
        <s v="PRN-5264"/>
        <s v="NET-8856"/>
        <s v="MON-4215"/>
        <s v="PRN-5753"/>
        <s v="CMP-5006"/>
        <s v="ACC-4766"/>
        <s v="NET-8610"/>
        <s v="NET-4675"/>
        <s v="ACC-1028"/>
        <s v="NET-4735"/>
        <s v="NET-2460"/>
        <s v="CMP-1555"/>
        <s v="MON-3773"/>
        <s v="PHN-4677"/>
        <s v="CMP-1940"/>
        <s v="PHN-9184"/>
        <s v="LAP-3017"/>
      </sharedItems>
    </cacheField>
    <cacheField name="UnitCost" numFmtId="4">
      <sharedItems containsSemiMixedTypes="0" containsString="0" containsNumber="1" minValue="5.34" maxValue="1495.79"/>
    </cacheField>
    <cacheField name="UnitPrice" numFmtId="2">
      <sharedItems containsSemiMixedTypes="0" containsString="0" containsNumber="1" minValue="-33.659999999999997" maxValue="3661.07"/>
    </cacheField>
    <cacheField name="Cleaned UnitPrice" numFmtId="2">
      <sharedItems containsSemiMixedTypes="0" containsString="0" containsNumber="1" minValue="4.22" maxValue="3661.07"/>
    </cacheField>
    <cacheField name="PriceBand" numFmtId="2">
      <sharedItems/>
    </cacheField>
    <cacheField name="DiscountPct" numFmtId="9">
      <sharedItems containsSemiMixedTypes="0" containsString="0" containsNumber="1" minValue="0" maxValue="0.56499999999999995"/>
    </cacheField>
    <cacheField name="Cleaned DiscountPct" numFmtId="9">
      <sharedItems containsSemiMixedTypes="0" containsString="0" containsNumber="1" minValue="0" maxValue="0.29899999999999999"/>
    </cacheField>
    <cacheField name="Discount(&gt;20%)" numFmtId="0">
      <sharedItems count="2">
        <s v="No"/>
        <s v="Yes"/>
      </sharedItems>
    </cacheField>
    <cacheField name="Quantity" numFmtId="1">
      <sharedItems containsSemiMixedTypes="0" containsString="0" containsNumber="1" containsInteger="1" minValue="2" maxValue="61"/>
    </cacheField>
    <cacheField name="GrossRevenue" numFmtId="2">
      <sharedItems containsSemiMixedTypes="0" containsString="0" containsNumber="1" minValue="-846.34703999999988" maxValue="139277.83032000001"/>
    </cacheField>
    <cacheField name="CostOfGoods" numFmtId="2">
      <sharedItems containsSemiMixedTypes="0" containsString="0" containsNumber="1" minValue="22" maxValue="83258.290000000008"/>
    </cacheField>
    <cacheField name="GrossProfit" numFmtId="2">
      <sharedItems containsSemiMixedTypes="0" containsString="0" containsNumber="1" minValue="-68900.986000000004" maxValue="65188.659999999996"/>
    </cacheField>
    <cacheField name="MarginPct" numFmtId="9">
      <sharedItems containsSemiMixedTypes="0" containsString="0" containsNumber="1" minValue="-0.87167486187856302" maxValue="252.39750756449052"/>
    </cacheField>
    <cacheField name="Months (OrderDate         (mmm-yyyy))" numFmtId="0" databaseField="0">
      <fieldGroup base="2">
        <rangePr groupBy="months" startDate="2023-01-02T00:00:00" endDate="2025-09-16T00:00:00"/>
        <groupItems count="14">
          <s v="&lt;02/01/2023"/>
          <s v="Jan"/>
          <s v="Feb"/>
          <s v="Mar"/>
          <s v="Apr"/>
          <s v="May"/>
          <s v="Jun"/>
          <s v="Jul"/>
          <s v="Aug"/>
          <s v="Sep"/>
          <s v="Oct"/>
          <s v="Nov"/>
          <s v="Dec"/>
          <s v="&gt;16/09/2025"/>
        </groupItems>
      </fieldGroup>
    </cacheField>
    <cacheField name="Quarters (OrderDate         (mmm-yyyy))" numFmtId="0" databaseField="0">
      <fieldGroup base="2">
        <rangePr groupBy="quarters" startDate="2023-01-02T00:00:00" endDate="2025-09-16T00:00:00"/>
        <groupItems count="6">
          <s v="&lt;02/01/2023"/>
          <s v="Qtr1"/>
          <s v="Qtr2"/>
          <s v="Qtr3"/>
          <s v="Qtr4"/>
          <s v="&gt;16/09/2025"/>
        </groupItems>
      </fieldGroup>
    </cacheField>
    <cacheField name="Years (OrderDate         (mmm-yyyy))" numFmtId="0" databaseField="0">
      <fieldGroup base="2">
        <rangePr groupBy="years" startDate="2023-01-02T00:00:00" endDate="2025-09-16T00:00:00"/>
        <groupItems count="5">
          <s v="&lt;02/01/2023"/>
          <s v="2023"/>
          <s v="2024"/>
          <s v="2025"/>
          <s v="&gt;16/09/2025"/>
        </groupItems>
      </fieldGroup>
    </cacheField>
    <cacheField name="Days (StartDate)" numFmtId="0" databaseField="0">
      <fieldGroup base="9">
        <rangePr groupBy="days" startDate="2023-01-02T00:00:00" endDate="2023-03-04T00:00:00"/>
        <groupItems count="368">
          <s v="&lt;02/01/2023"/>
          <s v="01-Jan"/>
          <s v="02-Jan"/>
          <s v="03-Jan"/>
          <s v="04-Jan"/>
          <s v="05-Jan"/>
          <s v="06-Jan"/>
          <s v="07-Jan"/>
          <s v="08-Jan"/>
          <s v="09-Jan"/>
          <s v="10-Jan"/>
          <s v="11-Jan"/>
          <s v="12-Jan"/>
          <s v="13-Jan"/>
          <s v="14-Jan"/>
          <s v="15-Jan"/>
          <s v="16-Jan"/>
          <s v="17-Jan"/>
          <s v="18-Jan"/>
          <s v="19-Jan"/>
          <s v="20-Jan"/>
          <s v="21-Jan"/>
          <s v="22-Jan"/>
          <s v="23-Jan"/>
          <s v="24-Jan"/>
          <s v="25-Jan"/>
          <s v="26-Jan"/>
          <s v="27-Jan"/>
          <s v="28-Jan"/>
          <s v="29-Jan"/>
          <s v="30-Jan"/>
          <s v="31-Jan"/>
          <s v="01-Feb"/>
          <s v="02-Feb"/>
          <s v="03-Feb"/>
          <s v="04-Feb"/>
          <s v="05-Feb"/>
          <s v="06-Feb"/>
          <s v="07-Feb"/>
          <s v="08-Feb"/>
          <s v="09-Feb"/>
          <s v="10-Feb"/>
          <s v="11-Feb"/>
          <s v="12-Feb"/>
          <s v="13-Feb"/>
          <s v="14-Feb"/>
          <s v="15-Feb"/>
          <s v="16-Feb"/>
          <s v="17-Feb"/>
          <s v="18-Feb"/>
          <s v="19-Feb"/>
          <s v="20-Feb"/>
          <s v="21-Feb"/>
          <s v="22-Feb"/>
          <s v="23-Feb"/>
          <s v="24-Feb"/>
          <s v="25-Feb"/>
          <s v="26-Feb"/>
          <s v="27-Feb"/>
          <s v="28-Feb"/>
          <s v="29-Feb"/>
          <s v="01-Mar"/>
          <s v="02-Mar"/>
          <s v="03-Mar"/>
          <s v="04-Mar"/>
          <s v="05-Mar"/>
          <s v="06-Mar"/>
          <s v="07-Mar"/>
          <s v="08-Mar"/>
          <s v="09-Mar"/>
          <s v="10-Mar"/>
          <s v="11-Mar"/>
          <s v="12-Mar"/>
          <s v="13-Mar"/>
          <s v="14-Mar"/>
          <s v="15-Mar"/>
          <s v="16-Mar"/>
          <s v="17-Mar"/>
          <s v="18-Mar"/>
          <s v="19-Mar"/>
          <s v="20-Mar"/>
          <s v="21-Mar"/>
          <s v="22-Mar"/>
          <s v="23-Mar"/>
          <s v="24-Mar"/>
          <s v="25-Mar"/>
          <s v="26-Mar"/>
          <s v="27-Mar"/>
          <s v="28-Mar"/>
          <s v="29-Mar"/>
          <s v="30-Mar"/>
          <s v="31-Mar"/>
          <s v="01-Apr"/>
          <s v="02-Apr"/>
          <s v="03-Apr"/>
          <s v="04-Apr"/>
          <s v="05-Apr"/>
          <s v="06-Apr"/>
          <s v="07-Apr"/>
          <s v="08-Apr"/>
          <s v="09-Apr"/>
          <s v="10-Apr"/>
          <s v="11-Apr"/>
          <s v="12-Apr"/>
          <s v="13-Apr"/>
          <s v="14-Apr"/>
          <s v="15-Apr"/>
          <s v="16-Apr"/>
          <s v="17-Apr"/>
          <s v="18-Apr"/>
          <s v="19-Apr"/>
          <s v="20-Apr"/>
          <s v="21-Apr"/>
          <s v="22-Apr"/>
          <s v="23-Apr"/>
          <s v="24-Apr"/>
          <s v="25-Apr"/>
          <s v="26-Apr"/>
          <s v="27-Apr"/>
          <s v="28-Apr"/>
          <s v="29-Apr"/>
          <s v="30-Apr"/>
          <s v="01-May"/>
          <s v="02-May"/>
          <s v="03-May"/>
          <s v="04-May"/>
          <s v="05-May"/>
          <s v="06-May"/>
          <s v="07-May"/>
          <s v="08-May"/>
          <s v="09-May"/>
          <s v="10-May"/>
          <s v="11-May"/>
          <s v="12-May"/>
          <s v="13-May"/>
          <s v="14-May"/>
          <s v="15-May"/>
          <s v="16-May"/>
          <s v="17-May"/>
          <s v="18-May"/>
          <s v="19-May"/>
          <s v="20-May"/>
          <s v="21-May"/>
          <s v="22-May"/>
          <s v="23-May"/>
          <s v="24-May"/>
          <s v="25-May"/>
          <s v="26-May"/>
          <s v="27-May"/>
          <s v="28-May"/>
          <s v="29-May"/>
          <s v="30-May"/>
          <s v="31-May"/>
          <s v="01-Jun"/>
          <s v="02-Jun"/>
          <s v="03-Jun"/>
          <s v="04-Jun"/>
          <s v="05-Jun"/>
          <s v="06-Jun"/>
          <s v="07-Jun"/>
          <s v="08-Jun"/>
          <s v="09-Jun"/>
          <s v="10-Jun"/>
          <s v="11-Jun"/>
          <s v="12-Jun"/>
          <s v="13-Jun"/>
          <s v="14-Jun"/>
          <s v="15-Jun"/>
          <s v="16-Jun"/>
          <s v="17-Jun"/>
          <s v="18-Jun"/>
          <s v="19-Jun"/>
          <s v="20-Jun"/>
          <s v="21-Jun"/>
          <s v="22-Jun"/>
          <s v="23-Jun"/>
          <s v="24-Jun"/>
          <s v="25-Jun"/>
          <s v="26-Jun"/>
          <s v="27-Jun"/>
          <s v="28-Jun"/>
          <s v="29-Jun"/>
          <s v="30-Jun"/>
          <s v="01-Jul"/>
          <s v="02-Jul"/>
          <s v="03-Jul"/>
          <s v="04-Jul"/>
          <s v="05-Jul"/>
          <s v="06-Jul"/>
          <s v="07-Jul"/>
          <s v="08-Jul"/>
          <s v="09-Jul"/>
          <s v="10-Jul"/>
          <s v="11-Jul"/>
          <s v="12-Jul"/>
          <s v="13-Jul"/>
          <s v="14-Jul"/>
          <s v="15-Jul"/>
          <s v="16-Jul"/>
          <s v="17-Jul"/>
          <s v="18-Jul"/>
          <s v="19-Jul"/>
          <s v="20-Jul"/>
          <s v="21-Jul"/>
          <s v="22-Jul"/>
          <s v="23-Jul"/>
          <s v="24-Jul"/>
          <s v="25-Jul"/>
          <s v="26-Jul"/>
          <s v="27-Jul"/>
          <s v="28-Jul"/>
          <s v="29-Jul"/>
          <s v="30-Jul"/>
          <s v="31-Jul"/>
          <s v="01-Aug"/>
          <s v="02-Aug"/>
          <s v="03-Aug"/>
          <s v="04-Aug"/>
          <s v="05-Aug"/>
          <s v="06-Aug"/>
          <s v="07-Aug"/>
          <s v="08-Aug"/>
          <s v="09-Aug"/>
          <s v="10-Aug"/>
          <s v="11-Aug"/>
          <s v="12-Aug"/>
          <s v="13-Aug"/>
          <s v="14-Aug"/>
          <s v="15-Aug"/>
          <s v="16-Aug"/>
          <s v="17-Aug"/>
          <s v="18-Aug"/>
          <s v="19-Aug"/>
          <s v="20-Aug"/>
          <s v="21-Aug"/>
          <s v="22-Aug"/>
          <s v="23-Aug"/>
          <s v="24-Aug"/>
          <s v="25-Aug"/>
          <s v="26-Aug"/>
          <s v="27-Aug"/>
          <s v="28-Aug"/>
          <s v="29-Aug"/>
          <s v="30-Aug"/>
          <s v="31-Aug"/>
          <s v="01-Sep"/>
          <s v="02-Sep"/>
          <s v="03-Sep"/>
          <s v="04-Sep"/>
          <s v="05-Sep"/>
          <s v="06-Sep"/>
          <s v="07-Sep"/>
          <s v="08-Sep"/>
          <s v="09-Sep"/>
          <s v="10-Sep"/>
          <s v="11-Sep"/>
          <s v="12-Sep"/>
          <s v="13-Sep"/>
          <s v="14-Sep"/>
          <s v="15-Sep"/>
          <s v="16-Sep"/>
          <s v="17-Sep"/>
          <s v="18-Sep"/>
          <s v="19-Sep"/>
          <s v="20-Sep"/>
          <s v="21-Sep"/>
          <s v="22-Sep"/>
          <s v="23-Sep"/>
          <s v="24-Sep"/>
          <s v="25-Sep"/>
          <s v="26-Sep"/>
          <s v="27-Sep"/>
          <s v="28-Sep"/>
          <s v="29-Sep"/>
          <s v="30-Sep"/>
          <s v="01-Oct"/>
          <s v="02-Oct"/>
          <s v="03-Oct"/>
          <s v="04-Oct"/>
          <s v="05-Oct"/>
          <s v="06-Oct"/>
          <s v="07-Oct"/>
          <s v="08-Oct"/>
          <s v="09-Oct"/>
          <s v="10-Oct"/>
          <s v="11-Oct"/>
          <s v="12-Oct"/>
          <s v="13-Oct"/>
          <s v="14-Oct"/>
          <s v="15-Oct"/>
          <s v="16-Oct"/>
          <s v="17-Oct"/>
          <s v="18-Oct"/>
          <s v="19-Oct"/>
          <s v="20-Oct"/>
          <s v="21-Oct"/>
          <s v="22-Oct"/>
          <s v="23-Oct"/>
          <s v="24-Oct"/>
          <s v="25-Oct"/>
          <s v="26-Oct"/>
          <s v="27-Oct"/>
          <s v="28-Oct"/>
          <s v="29-Oct"/>
          <s v="30-Oct"/>
          <s v="31-Oct"/>
          <s v="01-Nov"/>
          <s v="02-Nov"/>
          <s v="03-Nov"/>
          <s v="04-Nov"/>
          <s v="05-Nov"/>
          <s v="06-Nov"/>
          <s v="07-Nov"/>
          <s v="08-Nov"/>
          <s v="09-Nov"/>
          <s v="10-Nov"/>
          <s v="11-Nov"/>
          <s v="12-Nov"/>
          <s v="13-Nov"/>
          <s v="14-Nov"/>
          <s v="15-Nov"/>
          <s v="16-Nov"/>
          <s v="17-Nov"/>
          <s v="18-Nov"/>
          <s v="19-Nov"/>
          <s v="20-Nov"/>
          <s v="21-Nov"/>
          <s v="22-Nov"/>
          <s v="23-Nov"/>
          <s v="24-Nov"/>
          <s v="25-Nov"/>
          <s v="26-Nov"/>
          <s v="27-Nov"/>
          <s v="28-Nov"/>
          <s v="29-Nov"/>
          <s v="30-Nov"/>
          <s v="01-Dec"/>
          <s v="02-Dec"/>
          <s v="03-Dec"/>
          <s v="04-Dec"/>
          <s v="05-Dec"/>
          <s v="06-Dec"/>
          <s v="07-Dec"/>
          <s v="08-Dec"/>
          <s v="09-Dec"/>
          <s v="10-Dec"/>
          <s v="11-Dec"/>
          <s v="12-Dec"/>
          <s v="13-Dec"/>
          <s v="14-Dec"/>
          <s v="15-Dec"/>
          <s v="16-Dec"/>
          <s v="17-Dec"/>
          <s v="18-Dec"/>
          <s v="19-Dec"/>
          <s v="20-Dec"/>
          <s v="21-Dec"/>
          <s v="22-Dec"/>
          <s v="23-Dec"/>
          <s v="24-Dec"/>
          <s v="25-Dec"/>
          <s v="26-Dec"/>
          <s v="27-Dec"/>
          <s v="28-Dec"/>
          <s v="29-Dec"/>
          <s v="30-Dec"/>
          <s v="31-Dec"/>
          <s v="&gt;04/03/2023"/>
        </groupItems>
      </fieldGroup>
    </cacheField>
    <cacheField name="Months (StartDate)" numFmtId="0" databaseField="0">
      <fieldGroup base="9">
        <rangePr groupBy="months" startDate="2023-01-02T00:00:00" endDate="2023-03-04T00:00:00"/>
        <groupItems count="14">
          <s v="&lt;02/01/2023"/>
          <s v="Jan"/>
          <s v="Feb"/>
          <s v="Mar"/>
          <s v="Apr"/>
          <s v="May"/>
          <s v="Jun"/>
          <s v="Jul"/>
          <s v="Aug"/>
          <s v="Sep"/>
          <s v="Oct"/>
          <s v="Nov"/>
          <s v="Dec"/>
          <s v="&gt;04/03/2023"/>
        </groupItems>
      </fieldGroup>
    </cacheField>
  </cacheFields>
  <extLst>
    <ext xmlns:x14="http://schemas.microsoft.com/office/spreadsheetml/2009/9/main" uri="{725AE2AE-9491-48be-B2B4-4EB974FC3084}">
      <x14:pivotCacheDefinition/>
    </ext>
  </extLst>
</pivotCacheDefinition>
</file>

<file path=xl/pivotCache/pivotCacheDefinition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User" refreshedDate="46189.886108333332" createdVersion="8" refreshedVersion="8" minRefreshableVersion="3" recordCount="632" xr:uid="{03CE51FA-074F-42B6-BAAB-6C00018B0799}">
  <cacheSource type="worksheet">
    <worksheetSource name="Table1"/>
  </cacheSource>
  <cacheFields count="39">
    <cacheField name="Column1" numFmtId="0">
      <sharedItems/>
    </cacheField>
    <cacheField name="OrderDate" numFmtId="165">
      <sharedItems containsSemiMixedTypes="0" containsNonDate="0" containsDate="1" containsString="0" minDate="2023-01-02T00:00:00" maxDate="2025-09-16T00:00:00"/>
    </cacheField>
    <cacheField name="OrderDate         (mmm-yyyy)" numFmtId="167">
      <sharedItems containsSemiMixedTypes="0" containsNonDate="0" containsDate="1" containsString="0" minDate="2023-01-02T00:00:00" maxDate="2025-09-16T00:00:00" count="468">
        <d v="2024-03-11T00:00:00"/>
        <d v="2024-10-23T00:00:00"/>
        <d v="2023-02-28T00:00:00"/>
        <d v="2025-03-29T00:00:00"/>
        <d v="2023-12-06T00:00:00"/>
        <d v="2023-01-02T00:00:00"/>
        <d v="2024-12-27T00:00:00"/>
        <d v="2023-01-15T00:00:00"/>
        <d v="2024-05-04T00:00:00"/>
        <d v="2025-05-21T00:00:00"/>
        <d v="2024-01-28T00:00:00"/>
        <d v="2025-01-03T00:00:00"/>
        <d v="2025-03-06T00:00:00"/>
        <d v="2024-01-20T00:00:00"/>
        <d v="2025-09-01T00:00:00"/>
        <d v="2023-04-23T00:00:00"/>
        <d v="2024-12-10T00:00:00"/>
        <d v="2025-09-08T00:00:00"/>
        <d v="2025-07-20T00:00:00"/>
        <d v="2024-07-25T00:00:00"/>
        <d v="2023-05-11T00:00:00"/>
        <d v="2025-06-14T00:00:00"/>
        <d v="2024-05-18T00:00:00"/>
        <d v="2023-02-07T00:00:00"/>
        <d v="2024-06-30T00:00:00"/>
        <d v="2024-11-30T00:00:00"/>
        <d v="2024-07-19T00:00:00"/>
        <d v="2023-04-14T00:00:00"/>
        <d v="2025-04-07T00:00:00"/>
        <d v="2023-02-23T00:00:00"/>
        <d v="2025-07-24T00:00:00"/>
        <d v="2024-04-18T00:00:00"/>
        <d v="2024-08-23T00:00:00"/>
        <d v="2023-03-27T00:00:00"/>
        <d v="2024-03-07T00:00:00"/>
        <d v="2025-06-24T00:00:00"/>
        <d v="2024-04-19T00:00:00"/>
        <d v="2023-06-17T00:00:00"/>
        <d v="2024-08-27T00:00:00"/>
        <d v="2024-01-11T00:00:00"/>
        <d v="2024-10-25T00:00:00"/>
        <d v="2025-05-29T00:00:00"/>
        <d v="2024-05-20T00:00:00"/>
        <d v="2023-04-19T00:00:00"/>
        <d v="2023-06-23T00:00:00"/>
        <d v="2024-05-14T00:00:00"/>
        <d v="2024-10-14T00:00:00"/>
        <d v="2023-07-10T00:00:00"/>
        <d v="2024-11-06T00:00:00"/>
        <d v="2024-10-17T00:00:00"/>
        <d v="2023-03-31T00:00:00"/>
        <d v="2025-01-21T00:00:00"/>
        <d v="2023-08-30T00:00:00"/>
        <d v="2025-04-06T00:00:00"/>
        <d v="2025-02-09T00:00:00"/>
        <d v="2024-12-17T00:00:00"/>
        <d v="2025-06-09T00:00:00"/>
        <d v="2025-05-02T00:00:00"/>
        <d v="2024-03-10T00:00:00"/>
        <d v="2025-09-10T00:00:00"/>
        <d v="2025-04-27T00:00:00"/>
        <d v="2024-11-02T00:00:00"/>
        <d v="2023-02-15T00:00:00"/>
        <d v="2023-12-03T00:00:00"/>
        <d v="2023-03-19T00:00:00"/>
        <d v="2024-05-22T00:00:00"/>
        <d v="2023-08-19T00:00:00"/>
        <d v="2023-04-21T00:00:00"/>
        <d v="2024-03-18T00:00:00"/>
        <d v="2025-04-09T00:00:00"/>
        <d v="2024-04-12T00:00:00"/>
        <d v="2024-12-15T00:00:00"/>
        <d v="2023-05-20T00:00:00"/>
        <d v="2023-09-18T00:00:00"/>
        <d v="2024-08-28T00:00:00"/>
        <d v="2023-06-14T00:00:00"/>
        <d v="2024-11-21T00:00:00"/>
        <d v="2023-02-08T00:00:00"/>
        <d v="2025-05-14T00:00:00"/>
        <d v="2025-04-23T00:00:00"/>
        <d v="2025-03-25T00:00:00"/>
        <d v="2023-12-22T00:00:00"/>
        <d v="2024-04-06T00:00:00"/>
        <d v="2025-08-07T00:00:00"/>
        <d v="2024-01-21T00:00:00"/>
        <d v="2023-06-29T00:00:00"/>
        <d v="2025-04-28T00:00:00"/>
        <d v="2023-06-24T00:00:00"/>
        <d v="2024-10-04T00:00:00"/>
        <d v="2023-04-06T00:00:00"/>
        <d v="2025-08-01T00:00:00"/>
        <d v="2024-05-28T00:00:00"/>
        <d v="2025-07-22T00:00:00"/>
        <d v="2025-01-27T00:00:00"/>
        <d v="2024-01-13T00:00:00"/>
        <d v="2025-03-31T00:00:00"/>
        <d v="2024-12-05T00:00:00"/>
        <d v="2024-09-14T00:00:00"/>
        <d v="2024-05-21T00:00:00"/>
        <d v="2024-08-14T00:00:00"/>
        <d v="2024-10-16T00:00:00"/>
        <d v="2024-06-02T00:00:00"/>
        <d v="2024-06-09T00:00:00"/>
        <d v="2024-06-10T00:00:00"/>
        <d v="2024-06-29T00:00:00"/>
        <d v="2025-01-17T00:00:00"/>
        <d v="2023-11-20T00:00:00"/>
        <d v="2023-03-02T00:00:00"/>
        <d v="2025-06-03T00:00:00"/>
        <d v="2023-06-09T00:00:00"/>
        <d v="2025-07-09T00:00:00"/>
        <d v="2025-06-19T00:00:00"/>
        <d v="2023-11-19T00:00:00"/>
        <d v="2023-12-29T00:00:00"/>
        <d v="2023-08-21T00:00:00"/>
        <d v="2023-08-12T00:00:00"/>
        <d v="2024-06-07T00:00:00"/>
        <d v="2025-08-05T00:00:00"/>
        <d v="2024-05-30T00:00:00"/>
        <d v="2023-01-22T00:00:00"/>
        <d v="2025-02-12T00:00:00"/>
        <d v="2025-03-03T00:00:00"/>
        <d v="2023-01-27T00:00:00"/>
        <d v="2025-01-09T00:00:00"/>
        <d v="2024-12-21T00:00:00"/>
        <d v="2023-04-12T00:00:00"/>
        <d v="2024-12-14T00:00:00"/>
        <d v="2024-11-20T00:00:00"/>
        <d v="2024-02-14T00:00:00"/>
        <d v="2023-05-02T00:00:00"/>
        <d v="2024-12-23T00:00:00"/>
        <d v="2023-07-26T00:00:00"/>
        <d v="2024-06-15T00:00:00"/>
        <d v="2023-07-05T00:00:00"/>
        <d v="2023-11-30T00:00:00"/>
        <d v="2025-09-11T00:00:00"/>
        <d v="2024-04-04T00:00:00"/>
        <d v="2023-09-14T00:00:00"/>
        <d v="2024-09-23T00:00:00"/>
        <d v="2025-04-16T00:00:00"/>
        <d v="2023-07-03T00:00:00"/>
        <d v="2023-12-07T00:00:00"/>
        <d v="2024-02-18T00:00:00"/>
        <d v="2023-10-31T00:00:00"/>
        <d v="2024-08-07T00:00:00"/>
        <d v="2024-02-01T00:00:00"/>
        <d v="2025-02-15T00:00:00"/>
        <d v="2023-02-20T00:00:00"/>
        <d v="2024-10-30T00:00:00"/>
        <d v="2024-04-03T00:00:00"/>
        <d v="2023-03-25T00:00:00"/>
        <d v="2024-06-04T00:00:00"/>
        <d v="2023-02-19T00:00:00"/>
        <d v="2023-04-18T00:00:00"/>
        <d v="2024-05-23T00:00:00"/>
        <d v="2023-10-07T00:00:00"/>
        <d v="2024-10-09T00:00:00"/>
        <d v="2024-07-15T00:00:00"/>
        <d v="2023-09-21T00:00:00"/>
        <d v="2023-02-24T00:00:00"/>
        <d v="2025-04-14T00:00:00"/>
        <d v="2023-08-27T00:00:00"/>
        <d v="2024-02-03T00:00:00"/>
        <d v="2023-04-05T00:00:00"/>
        <d v="2025-08-21T00:00:00"/>
        <d v="2025-09-15T00:00:00"/>
        <d v="2024-10-03T00:00:00"/>
        <d v="2025-02-02T00:00:00"/>
        <d v="2024-10-22T00:00:00"/>
        <d v="2023-06-22T00:00:00"/>
        <d v="2025-01-13T00:00:00"/>
        <d v="2023-01-29T00:00:00"/>
        <d v="2023-07-19T00:00:00"/>
        <d v="2024-05-19T00:00:00"/>
        <d v="2023-08-08T00:00:00"/>
        <d v="2024-08-12T00:00:00"/>
        <d v="2023-10-15T00:00:00"/>
        <d v="2023-05-04T00:00:00"/>
        <d v="2024-09-22T00:00:00"/>
        <d v="2024-02-11T00:00:00"/>
        <d v="2023-01-30T00:00:00"/>
        <d v="2023-01-13T00:00:00"/>
        <d v="2024-01-12T00:00:00"/>
        <d v="2023-08-15T00:00:00"/>
        <d v="2023-01-20T00:00:00"/>
        <d v="2025-02-04T00:00:00"/>
        <d v="2023-07-02T00:00:00"/>
        <d v="2024-09-10T00:00:00"/>
        <d v="2025-07-21T00:00:00"/>
        <d v="2024-10-02T00:00:00"/>
        <d v="2025-07-14T00:00:00"/>
        <d v="2024-09-09T00:00:00"/>
        <d v="2025-01-29T00:00:00"/>
        <d v="2023-11-10T00:00:00"/>
        <d v="2024-02-29T00:00:00"/>
        <d v="2023-12-20T00:00:00"/>
        <d v="2024-10-11T00:00:00"/>
        <d v="2024-09-19T00:00:00"/>
        <d v="2025-08-25T00:00:00"/>
        <d v="2023-09-25T00:00:00"/>
        <d v="2023-08-26T00:00:00"/>
        <d v="2025-07-16T00:00:00"/>
        <d v="2023-12-19T00:00:00"/>
        <d v="2023-07-30T00:00:00"/>
        <d v="2023-10-04T00:00:00"/>
        <d v="2025-08-10T00:00:00"/>
        <d v="2023-03-07T00:00:00"/>
        <d v="2023-05-23T00:00:00"/>
        <d v="2025-04-24T00:00:00"/>
        <d v="2024-09-03T00:00:00"/>
        <d v="2024-09-05T00:00:00"/>
        <d v="2023-03-14T00:00:00"/>
        <d v="2024-09-13T00:00:00"/>
        <d v="2025-07-17T00:00:00"/>
        <d v="2023-11-28T00:00:00"/>
        <d v="2024-03-30T00:00:00"/>
        <d v="2023-09-19T00:00:00"/>
        <d v="2025-05-16T00:00:00"/>
        <d v="2025-08-02T00:00:00"/>
        <d v="2024-12-04T00:00:00"/>
        <d v="2024-03-06T00:00:00"/>
        <d v="2024-02-16T00:00:00"/>
        <d v="2025-04-22T00:00:00"/>
        <d v="2024-11-08T00:00:00"/>
        <d v="2025-09-12T00:00:00"/>
        <d v="2024-09-02T00:00:00"/>
        <d v="2023-03-04T00:00:00"/>
        <d v="2024-03-15T00:00:00"/>
        <d v="2024-07-29T00:00:00"/>
        <d v="2024-10-27T00:00:00"/>
        <d v="2024-04-29T00:00:00"/>
        <d v="2023-10-05T00:00:00"/>
        <d v="2025-06-27T00:00:00"/>
        <d v="2023-10-11T00:00:00"/>
        <d v="2023-05-27T00:00:00"/>
        <d v="2023-08-04T00:00:00"/>
        <d v="2025-06-21T00:00:00"/>
        <d v="2025-09-02T00:00:00"/>
        <d v="2024-10-08T00:00:00"/>
        <d v="2023-05-07T00:00:00"/>
        <d v="2023-12-24T00:00:00"/>
        <d v="2024-01-10T00:00:00"/>
        <d v="2023-08-03T00:00:00"/>
        <d v="2025-02-19T00:00:00"/>
        <d v="2024-03-31T00:00:00"/>
        <d v="2023-07-24T00:00:00"/>
        <d v="2024-03-16T00:00:00"/>
        <d v="2024-01-25T00:00:00"/>
        <d v="2024-03-27T00:00:00"/>
        <d v="2024-06-16T00:00:00"/>
        <d v="2023-10-30T00:00:00"/>
        <d v="2023-06-15T00:00:00"/>
        <d v="2025-03-14T00:00:00"/>
        <d v="2025-05-17T00:00:00"/>
        <d v="2025-04-04T00:00:00"/>
        <d v="2024-09-07T00:00:00"/>
        <d v="2023-07-18T00:00:00"/>
        <d v="2025-08-28T00:00:00"/>
        <d v="2025-03-30T00:00:00"/>
        <d v="2023-10-21T00:00:00"/>
        <d v="2023-08-23T00:00:00"/>
        <d v="2025-04-11T00:00:00"/>
        <d v="2025-06-01T00:00:00"/>
        <d v="2024-03-02T00:00:00"/>
        <d v="2023-06-20T00:00:00"/>
        <d v="2024-03-26T00:00:00"/>
        <d v="2025-01-22T00:00:00"/>
        <d v="2025-05-10T00:00:00"/>
        <d v="2025-06-22T00:00:00"/>
        <d v="2024-06-19T00:00:00"/>
        <d v="2025-05-18T00:00:00"/>
        <d v="2023-01-10T00:00:00"/>
        <d v="2024-12-29T00:00:00"/>
        <d v="2024-11-04T00:00:00"/>
        <d v="2024-06-08T00:00:00"/>
        <d v="2023-05-06T00:00:00"/>
        <d v="2023-11-14T00:00:00"/>
        <d v="2025-04-01T00:00:00"/>
        <d v="2023-03-23T00:00:00"/>
        <d v="2024-01-02T00:00:00"/>
        <d v="2023-06-10T00:00:00"/>
        <d v="2025-05-19T00:00:00"/>
        <d v="2023-10-22T00:00:00"/>
        <d v="2025-01-11T00:00:00"/>
        <d v="2025-09-14T00:00:00"/>
        <d v="2023-11-15T00:00:00"/>
        <d v="2024-04-09T00:00:00"/>
        <d v="2024-07-11T00:00:00"/>
        <d v="2023-07-25T00:00:00"/>
        <d v="2023-07-14T00:00:00"/>
        <d v="2023-04-13T00:00:00"/>
        <d v="2024-10-29T00:00:00"/>
        <d v="2024-02-17T00:00:00"/>
        <d v="2024-07-13T00:00:00"/>
        <d v="2023-12-01T00:00:00"/>
        <d v="2023-12-21T00:00:00"/>
        <d v="2025-06-17T00:00:00"/>
        <d v="2023-12-02T00:00:00"/>
        <d v="2024-08-08T00:00:00"/>
        <d v="2024-11-07T00:00:00"/>
        <d v="2024-01-01T00:00:00"/>
        <d v="2025-08-14T00:00:00"/>
        <d v="2024-11-25T00:00:00"/>
        <d v="2024-01-18T00:00:00"/>
        <d v="2024-06-23T00:00:00"/>
        <d v="2025-06-25T00:00:00"/>
        <d v="2023-07-01T00:00:00"/>
        <d v="2024-03-09T00:00:00"/>
        <d v="2023-06-05T00:00:00"/>
        <d v="2025-03-21T00:00:00"/>
        <d v="2025-03-15T00:00:00"/>
        <d v="2023-12-26T00:00:00"/>
        <d v="2023-02-05T00:00:00"/>
        <d v="2024-05-17T00:00:00"/>
        <d v="2024-03-03T00:00:00"/>
        <d v="2023-03-13T00:00:00"/>
        <d v="2025-01-07T00:00:00"/>
        <d v="2025-02-06T00:00:00"/>
        <d v="2025-01-31T00:00:00"/>
        <d v="2025-07-23T00:00:00"/>
        <d v="2024-07-18T00:00:00"/>
        <d v="2025-05-12T00:00:00"/>
        <d v="2024-05-07T00:00:00"/>
        <d v="2023-09-30T00:00:00"/>
        <d v="2023-10-26T00:00:00"/>
        <d v="2025-06-15T00:00:00"/>
        <d v="2024-08-10T00:00:00"/>
        <d v="2023-10-09T00:00:00"/>
        <d v="2023-05-29T00:00:00"/>
        <d v="2025-05-27T00:00:00"/>
        <d v="2024-12-12T00:00:00"/>
        <d v="2024-09-06T00:00:00"/>
        <d v="2025-04-12T00:00:00"/>
        <d v="2024-11-05T00:00:00"/>
        <d v="2024-07-24T00:00:00"/>
        <d v="2025-01-20T00:00:00"/>
        <d v="2023-03-06T00:00:00"/>
        <d v="2024-12-20T00:00:00"/>
        <d v="2025-02-21T00:00:00"/>
        <d v="2025-03-08T00:00:00"/>
        <d v="2023-12-16T00:00:00"/>
        <d v="2024-08-30T00:00:00"/>
        <d v="2023-03-17T00:00:00"/>
        <d v="2023-08-25T00:00:00"/>
        <d v="2024-06-06T00:00:00"/>
        <d v="2023-08-29T00:00:00"/>
        <d v="2025-06-05T00:00:00"/>
        <d v="2024-01-16T00:00:00"/>
        <d v="2023-10-12T00:00:00"/>
        <d v="2025-02-25T00:00:00"/>
        <d v="2025-07-03T00:00:00"/>
        <d v="2024-02-19T00:00:00"/>
        <d v="2024-02-27T00:00:00"/>
        <d v="2024-08-18T00:00:00"/>
        <d v="2024-02-25T00:00:00"/>
        <d v="2025-05-07T00:00:00"/>
        <d v="2024-11-01T00:00:00"/>
        <d v="2024-12-28T00:00:00"/>
        <d v="2023-10-18T00:00:00"/>
        <d v="2024-12-24T00:00:00"/>
        <d v="2023-12-30T00:00:00"/>
        <d v="2023-02-21T00:00:00"/>
        <d v="2023-05-17T00:00:00"/>
        <d v="2024-03-23T00:00:00"/>
        <d v="2023-09-20T00:00:00"/>
        <d v="2024-08-22T00:00:00"/>
        <d v="2024-09-25T00:00:00"/>
        <d v="2023-06-13T00:00:00"/>
        <d v="2024-06-03T00:00:00"/>
        <d v="2024-06-11T00:00:00"/>
        <d v="2023-07-22T00:00:00"/>
        <d v="2023-01-19T00:00:00"/>
        <d v="2024-05-01T00:00:00"/>
        <d v="2023-05-24T00:00:00"/>
        <d v="2023-12-05T00:00:00"/>
        <d v="2024-05-05T00:00:00"/>
        <d v="2023-07-09T00:00:00"/>
        <d v="2025-04-10T00:00:00"/>
        <d v="2025-07-27T00:00:00"/>
        <d v="2024-11-22T00:00:00"/>
        <d v="2023-12-18T00:00:00"/>
        <d v="2025-03-23T00:00:00"/>
        <d v="2023-05-14T00:00:00"/>
        <d v="2024-02-06T00:00:00"/>
        <d v="2025-08-13T00:00:00"/>
        <d v="2024-05-10T00:00:00"/>
        <d v="2023-07-16T00:00:00"/>
        <d v="2023-04-16T00:00:00"/>
        <d v="2025-08-30T00:00:00"/>
        <d v="2023-08-10T00:00:00"/>
        <d v="2024-12-08T00:00:00"/>
        <d v="2023-10-25T00:00:00"/>
        <d v="2024-11-17T00:00:00"/>
        <d v="2024-05-12T00:00:00"/>
        <d v="2025-05-15T00:00:00"/>
        <d v="2024-04-21T00:00:00"/>
        <d v="2024-08-19T00:00:00"/>
        <d v="2024-03-01T00:00:00"/>
        <d v="2024-05-27T00:00:00"/>
        <d v="2024-08-04T00:00:00"/>
        <d v="2024-04-26T00:00:00"/>
        <d v="2025-03-24T00:00:00"/>
        <d v="2025-03-10T00:00:00"/>
        <d v="2024-04-05T00:00:00"/>
        <d v="2024-10-24T00:00:00"/>
        <d v="2024-11-12T00:00:00"/>
        <d v="2023-05-10T00:00:00"/>
        <d v="2024-10-10T00:00:00"/>
        <d v="2023-06-01T00:00:00"/>
        <d v="2025-01-04T00:00:00"/>
        <d v="2023-05-01T00:00:00"/>
        <d v="2024-07-09T00:00:00"/>
        <d v="2024-04-24T00:00:00"/>
        <d v="2024-04-16T00:00:00"/>
        <d v="2025-02-07T00:00:00"/>
        <d v="2023-01-12T00:00:00"/>
        <d v="2024-06-05T00:00:00"/>
        <d v="2023-08-24T00:00:00"/>
        <d v="2025-03-11T00:00:00"/>
        <d v="2023-08-17T00:00:00"/>
        <d v="2025-01-10T00:00:00"/>
        <d v="2024-08-16T00:00:00"/>
        <d v="2023-07-07T00:00:00"/>
        <d v="2023-12-28T00:00:00"/>
        <d v="2023-01-26T00:00:00"/>
        <d v="2023-07-08T00:00:00"/>
        <d v="2023-02-11T00:00:00"/>
        <d v="2025-08-20T00:00:00"/>
        <d v="2024-03-04T00:00:00"/>
        <d v="2023-09-08T00:00:00"/>
        <d v="2024-12-07T00:00:00"/>
        <d v="2025-08-06T00:00:00"/>
        <d v="2023-03-03T00:00:00"/>
        <d v="2025-02-16T00:00:00"/>
        <d v="2024-08-31T00:00:00"/>
        <d v="2024-01-08T00:00:00"/>
        <d v="2024-01-24T00:00:00"/>
        <d v="2024-02-08T00:00:00"/>
        <d v="2025-06-26T00:00:00"/>
        <d v="2024-02-20T00:00:00"/>
        <d v="2025-04-13T00:00:00"/>
        <d v="2023-04-26T00:00:00"/>
        <d v="2025-08-03T00:00:00"/>
        <d v="2023-08-02T00:00:00"/>
        <d v="2024-11-11T00:00:00"/>
        <d v="2025-07-11T00:00:00"/>
        <d v="2023-06-03T00:00:00"/>
        <d v="2024-08-03T00:00:00"/>
        <d v="2025-04-17T00:00:00"/>
        <d v="2023-05-03T00:00:00"/>
        <d v="2024-03-13T00:00:00"/>
        <d v="2023-04-03T00:00:00"/>
        <d v="2023-02-27T00:00:00"/>
        <d v="2024-07-31T00:00:00"/>
        <d v="2025-02-17T00:00:00"/>
        <d v="2023-01-07T00:00:00"/>
        <d v="2024-08-17T00:00:00"/>
        <d v="2025-08-11T00:00:00"/>
        <d v="2023-04-10T00:00:00"/>
        <d v="2023-09-17T00:00:00"/>
        <d v="2023-04-22T00:00:00"/>
        <d v="2024-11-27T00:00:00"/>
        <d v="2024-10-19T00:00:00"/>
        <d v="2024-06-25T00:00:00"/>
        <d v="2024-10-13T00:00:00"/>
        <d v="2024-07-28T00:00:00"/>
        <d v="2025-07-19T00:00:00"/>
        <d v="2025-02-28T00:00:00"/>
      </sharedItems>
      <fieldGroup par="38"/>
    </cacheField>
    <cacheField name="Order Quarter" numFmtId="167">
      <sharedItems/>
    </cacheField>
    <cacheField name="RequiredDate" numFmtId="165">
      <sharedItems containsSemiMixedTypes="0" containsNonDate="0" containsDate="1" containsString="0" minDate="2023-01-05T00:00:00" maxDate="2025-10-06T00:00:00"/>
    </cacheField>
    <cacheField name="Cleaned RequiredDate" numFmtId="165">
      <sharedItems containsSemiMixedTypes="0" containsNonDate="0" containsDate="1" containsString="0" minDate="2023-01-05T00:00:00" maxDate="2025-10-06T00:00:00"/>
    </cacheField>
    <cacheField name="LeadTimeDays" numFmtId="1">
      <sharedItems containsSemiMixedTypes="0" containsString="0" containsNumber="1" containsInteger="1" minValue="-2" maxValue="30"/>
    </cacheField>
    <cacheField name="Cleaned LeadTimeDays" numFmtId="1">
      <sharedItems containsSemiMixedTypes="0" containsString="0" containsNumber="1" containsInteger="1" minValue="0" maxValue="30"/>
    </cacheField>
    <cacheField name="Target Met             (7 days)" numFmtId="0">
      <sharedItems/>
    </cacheField>
    <cacheField name="StartDate" numFmtId="164">
      <sharedItems containsSemiMixedTypes="0" containsNonDate="0" containsDate="1" containsString="0" minDate="2023-01-02T00:00:00" maxDate="2023-03-04T00:00:00"/>
    </cacheField>
    <cacheField name="Region" numFmtId="0">
      <sharedItems count="4">
        <s v="Africa"/>
        <s v="Asia"/>
        <s v="Americas"/>
        <s v="Europe"/>
      </sharedItems>
    </cacheField>
    <cacheField name="Country" numFmtId="0">
      <sharedItems count="12">
        <s v="Kenya"/>
        <s v="Nigeria"/>
        <s v="Japan"/>
        <s v="Canada"/>
        <s v="India"/>
        <s v="Brazil"/>
        <s v="Germany"/>
        <s v="France"/>
        <s v="United Kingdom"/>
        <s v="China"/>
        <s v="USA"/>
        <s v="South Africa"/>
      </sharedItems>
    </cacheField>
    <cacheField name="City" numFmtId="0">
      <sharedItems/>
    </cacheField>
    <cacheField name="Region hierarchy" numFmtId="0">
      <sharedItems/>
    </cacheField>
    <cacheField name="CustomerSegment" numFmtId="0">
      <sharedItems/>
    </cacheField>
    <cacheField name="Channel" numFmtId="0">
      <sharedItems count="5">
        <s v="Retail"/>
        <s v="Online"/>
        <s v="Marketplace"/>
        <s v="Distributor"/>
        <s v="Direct"/>
      </sharedItems>
    </cacheField>
    <cacheField name="Salesperson" numFmtId="0">
      <sharedItems count="15">
        <s v="C. Otieno"/>
        <s v="J. Njeri"/>
        <s v="I. Johnson"/>
        <s v="G. Dubois"/>
        <s v="L. Okafor"/>
        <s v="B. Chen"/>
        <s v="E. Garcia"/>
        <s v="O. Wang"/>
        <s v="A. Patel"/>
        <s v="F. Müller"/>
        <s v="H. Kim"/>
        <s v="K. Singh"/>
        <s v="M. Rossi"/>
        <s v="N. Brown"/>
        <s v="D. Smith"/>
      </sharedItems>
    </cacheField>
    <cacheField name="ProductCategory" numFmtId="0">
      <sharedItems count="7">
        <s v="Components"/>
        <s v="Printers"/>
        <s v="Networking"/>
        <s v="Phones"/>
        <s v="Laptops"/>
        <s v="Monitors"/>
        <s v="Accessories"/>
      </sharedItems>
    </cacheField>
    <cacheField name="SKU" numFmtId="0">
      <sharedItems count="630">
        <s v="CMP-8270"/>
        <s v="PRN-9322"/>
        <s v="NET-9666"/>
        <s v="PHN-4556"/>
        <s v="PRN-8041"/>
        <s v="LAP-8555"/>
        <s v="MON-8629"/>
        <s v="PRN-6276"/>
        <s v="MON-6892"/>
        <s v="CMP-3731"/>
        <s v="ACC-7938"/>
        <s v="PHN-7019"/>
        <s v="CMP-3693"/>
        <s v="PRN-8392"/>
        <s v="ACC-1663"/>
        <s v="LAP-1698"/>
        <s v="PRN-6791"/>
        <s v="PHN-1197"/>
        <s v="ACC-8098"/>
        <s v="LAP-3385"/>
        <s v="LAP-9815"/>
        <s v="NET-3255"/>
        <s v="ACC-3961"/>
        <s v="LAP-4987"/>
        <s v="CMP-2693"/>
        <s v="ACC-8683"/>
        <s v="PRN-4170"/>
        <s v="PHN-6854"/>
        <s v="PHN-1784"/>
        <s v="NET-9716"/>
        <s v="CMP-6919"/>
        <s v="PHN-4854"/>
        <s v="NET-7966"/>
        <s v="LAP-9932"/>
        <s v="CMP-1559"/>
        <s v="PRN-4506"/>
        <s v="CMP-7617"/>
        <s v="CMP-8390"/>
        <s v="PRN-7303"/>
        <s v="PRN-6536"/>
        <s v="MON-9967"/>
        <s v="NET-1412"/>
        <s v="PRN-3143"/>
        <s v="PRN-9787"/>
        <s v="CMP-5946"/>
        <s v="NET-2062"/>
        <s v="PRN-2542"/>
        <s v="NET-2365"/>
        <s v="NET-5268"/>
        <s v="PRN-1504"/>
        <s v="ACC-6348"/>
        <s v="MON-4330"/>
        <s v="LAP-7819"/>
        <s v="LAP-3779"/>
        <s v="NET-9989"/>
        <s v="MON-4925"/>
        <s v="LAP-6989"/>
        <s v="ACC-5780"/>
        <s v="ACC-1770"/>
        <s v="ACC-2252"/>
        <s v="CMP-8002"/>
        <s v="CMP-6971"/>
        <s v="PHN-8350"/>
        <s v="MON-5188"/>
        <s v="LAP-3393"/>
        <s v="PHN-4644"/>
        <s v="ACC-9150"/>
        <s v="MON-6870"/>
        <s v="MON-2296"/>
        <s v="CMP-7371"/>
        <s v="ACC-2761"/>
        <s v="LAP-4517"/>
        <s v="LAP-8489"/>
        <s v="NET-1846"/>
        <s v="CMP-5208"/>
        <s v="CMP-1009"/>
        <s v="ACC-4490"/>
        <s v="ACC-9162"/>
        <s v="CMP-5820"/>
        <s v="MON-7943"/>
        <s v="NET-5018"/>
        <s v="PRN-9669"/>
        <s v="CMP-2865"/>
        <s v="MON-3371"/>
        <s v="NET-7166"/>
        <s v="CMP-4531"/>
        <s v="CMP-8196"/>
        <s v="CMP-2854"/>
        <s v="MON-8973"/>
        <s v="MON-2990"/>
        <s v="NET-1966"/>
        <s v="PHN-3482"/>
        <s v="PRN-6490"/>
        <s v="ACC-9038"/>
        <s v="PHN-6954"/>
        <s v="PRN-8970"/>
        <s v="MON-1822"/>
        <s v="ACC-5177"/>
        <s v="NET-1804"/>
        <s v="LAP-3679"/>
        <s v="PHN-8368"/>
        <s v="CMP-8141"/>
        <s v="LAP-7136"/>
        <s v="ACC-2386"/>
        <s v="LAP-5150"/>
        <s v="CMP-8101"/>
        <s v="PHN-8970"/>
        <s v="PHN-2341"/>
        <s v="NET-6387"/>
        <s v="ACC-9820"/>
        <s v="CMP-6392"/>
        <s v="LAP-9230"/>
        <s v="NET-4241"/>
        <s v="ACC-4511"/>
        <s v="NET-3033"/>
        <s v="MON-2828"/>
        <s v="PRN-6429"/>
        <s v="LAP-8214"/>
        <s v="MON-9194"/>
        <s v="LAP-2218"/>
        <s v="NET-6370"/>
        <s v="MON-3745"/>
        <s v="PHN-7924"/>
        <s v="NET-8561"/>
        <s v="CMP-2136"/>
        <s v="CMP-6352"/>
        <s v="CMP-2040"/>
        <s v="CMP-6346"/>
        <s v="PHN-4356"/>
        <s v="NET-4155"/>
        <s v="MON-5179"/>
        <s v="ACC-4056"/>
        <s v="LAP-9782"/>
        <s v="PHN-2875"/>
        <s v="PRN-4788"/>
        <s v="MON-3043"/>
        <s v="CMP-3720"/>
        <s v="PHN-8014"/>
        <s v="PRN-4911"/>
        <s v="ACC-1021"/>
        <s v="MON-2266"/>
        <s v="PHN-8057"/>
        <s v="ACC-7078"/>
        <s v="PRN-4453"/>
        <s v="NET-2394"/>
        <s v="LAP-1525"/>
        <s v="LAP-3278"/>
        <s v="ACC-6543"/>
        <s v="PRN-4432"/>
        <s v="PHN-4568"/>
        <s v="PRN-6178"/>
        <s v="LAP-6342"/>
        <s v="PRN-8175"/>
        <s v="PRN-7089"/>
        <s v="ACC-4124"/>
        <s v="NET-7924"/>
        <s v="NET-8761"/>
        <s v="CMP-3875"/>
        <s v="ACC-3989"/>
        <s v="PHN-9234"/>
        <s v="MON-9906"/>
        <s v="CMP-4610"/>
        <s v="PHN-5445"/>
        <s v="MON-9227"/>
        <s v="PRN-4097"/>
        <s v="MON-6699"/>
        <s v="LAP-1482"/>
        <s v="MON-2100"/>
        <s v="MON-7602"/>
        <s v="CMP-1072"/>
        <s v="ACC-2735"/>
        <s v="CMP-5211"/>
        <s v="CMP-1632"/>
        <s v="LAP-7099"/>
        <s v="PRN-3785"/>
        <s v="MON-6962"/>
        <s v="PRN-5107"/>
        <s v="CMP-9264"/>
        <s v="MON-5259"/>
        <s v="PRN-8137"/>
        <s v="ACC-6777"/>
        <s v="PHN-7488"/>
        <s v="ACC-9591"/>
        <s v="MON-5517"/>
        <s v="MON-8758"/>
        <s v="ACC-3385"/>
        <s v="MON-1593"/>
        <s v="ACC-4631"/>
        <s v="MON-7869"/>
        <s v="MON-4271"/>
        <s v="LAP-5531"/>
        <s v="MON-7511"/>
        <s v="LAP-7979"/>
        <s v="PRN-4983"/>
        <s v="NET-5941"/>
        <s v="MON-6341"/>
        <s v="PHN-9789"/>
        <s v="PHN-5082"/>
        <s v="NET-3460"/>
        <s v="PRN-7019"/>
        <s v="PHN-3159"/>
        <s v="PRN-8604"/>
        <s v="PHN-2013"/>
        <s v="NET-6036"/>
        <s v="MON-4959"/>
        <s v="MON-1663"/>
        <s v="CMP-7256"/>
        <s v="ACC-1659"/>
        <s v="PRN-6068"/>
        <s v="ACC-8999"/>
        <s v="CMP-3978"/>
        <s v="MON-7868"/>
        <s v="PRN-3014"/>
        <s v="PHN-1671"/>
        <s v="ACC-5260"/>
        <s v="NET-7588"/>
        <s v="MON-1572"/>
        <s v="MON-2537"/>
        <s v="PRN-5666"/>
        <s v="PRN-2749"/>
        <s v="CMP-4970"/>
        <s v="ACC-3551"/>
        <s v="CMP-7063"/>
        <s v="NET-1612"/>
        <s v="LAP-9766"/>
        <s v="PHN-7274"/>
        <s v="NET-1645"/>
        <s v="ACC-5079"/>
        <s v="PRN-2098"/>
        <s v="PRN-7049"/>
        <s v="CMP-6925"/>
        <s v="PHN-2787"/>
        <s v="PRN-1141"/>
        <s v="MON-5249"/>
        <s v="CMP-8230"/>
        <s v="PRN-7816"/>
        <s v="PHN-8804"/>
        <s v="CMP-8851"/>
        <s v="PHN-2447"/>
        <s v="LAP-2846"/>
        <s v="PRN-5005"/>
        <s v="PHN-3800"/>
        <s v="LAP-4828"/>
        <s v="PRN-5492"/>
        <s v="PHN-7132"/>
        <s v="PHN-4741"/>
        <s v="LAP-2774"/>
        <s v="MON-2842"/>
        <s v="NET-2628"/>
        <s v="MON-2998"/>
        <s v="CMP-7563"/>
        <s v="LAP-6160"/>
        <s v="MON-4361"/>
        <s v="PRN-2829"/>
        <s v="MON-8939"/>
        <s v="LAP-5009"/>
        <s v="CMP-4807"/>
        <s v="NET-2439"/>
        <s v="MON-7626"/>
        <s v="ACC-3567"/>
        <s v="CMP-4630"/>
        <s v="ACC-1882"/>
        <s v="NET-9125"/>
        <s v="PHN-3819"/>
        <s v="LAP-3490"/>
        <s v="PRN-1276"/>
        <s v="MON-9733"/>
        <s v="CMP-9392"/>
        <s v="PHN-3014"/>
        <s v="PRN-6776"/>
        <s v="ACC-3951"/>
        <s v="MON-1436"/>
        <s v="MON-8651"/>
        <s v="MON-3307"/>
        <s v="PRN-8758"/>
        <s v="LAP-7056"/>
        <s v="NET-5523"/>
        <s v="ACC-8094"/>
        <s v="PHN-6832"/>
        <s v="LAP-2378"/>
        <s v="MON-5424"/>
        <s v="NET-8430"/>
        <s v="PHN-1234"/>
        <s v="LAP-9016"/>
        <s v="LAP-9931"/>
        <s v="PHN-6818"/>
        <s v="PHN-3803"/>
        <s v="NET-9835"/>
        <s v="ACC-6223"/>
        <s v="CMP-8659"/>
        <s v="ACC-4483"/>
        <s v="PRN-8763"/>
        <s v="ACC-8557"/>
        <s v="ACC-1492"/>
        <s v="CMP-3743"/>
        <s v="LAP-1619"/>
        <s v="PRN-7976"/>
        <s v="MON-4326"/>
        <s v="MON-5444"/>
        <s v="ACC-5422"/>
        <s v="CMP-9307"/>
        <s v="PRN-6520"/>
        <s v="NET-1699"/>
        <s v="PHN-5316"/>
        <s v="LAP-4607"/>
        <s v="MON-5276"/>
        <s v="ACC-9533"/>
        <s v="NET-3749"/>
        <s v="PRN-2991"/>
        <s v="LAP-4551"/>
        <s v="MON-6310"/>
        <s v="NET-1166"/>
        <s v="ACC-2903"/>
        <s v="PRN-2293"/>
        <s v="MON-1389"/>
        <s v="CMP-4093"/>
        <s v="PHN-6131"/>
        <s v="NET-4104"/>
        <s v="MON-9319"/>
        <s v="ACC-2988"/>
        <s v="PHN-9399"/>
        <s v="NET-4554"/>
        <s v="NET-5195"/>
        <s v="CMP-9801"/>
        <s v="CMP-3093"/>
        <s v="ACC-2364"/>
        <s v="CMP-5138"/>
        <s v="PHN-2337"/>
        <s v="MON-2993"/>
        <s v="LAP-9024"/>
        <s v="PHN-6307"/>
        <s v="NET-9003"/>
        <s v="ACC-3068"/>
        <s v="ACC-1060"/>
        <s v="PHN-3854"/>
        <s v="PRN-1086"/>
        <s v="PHN-7815"/>
        <s v="PRN-5384"/>
        <s v="ACC-8178"/>
        <s v="MON-1018"/>
        <s v="ACC-1238"/>
        <s v="NET-1816"/>
        <s v="PRN-4893"/>
        <s v="PHN-1717"/>
        <s v="NET-9575"/>
        <s v="LAP-3604"/>
        <s v="ACC-6626"/>
        <s v="PHN-1670"/>
        <s v="CMP-4792"/>
        <s v="LAP-1990"/>
        <s v="PRN-7410"/>
        <s v="MON-4278"/>
        <s v="ACC-5334"/>
        <s v="NET-8957"/>
        <s v="PRN-9960"/>
        <s v="ACC-3103"/>
        <s v="PRN-9490"/>
        <s v="NET-3850"/>
        <s v="ACC-7047"/>
        <s v="PRN-6660"/>
        <s v="ACC-7838"/>
        <s v="PHN-5383"/>
        <s v="LAP-3904"/>
        <s v="MON-5749"/>
        <s v="PRN-3690"/>
        <s v="CMP-7055"/>
        <s v="PHN-6866"/>
        <s v="CMP-3259"/>
        <s v="LAP-6750"/>
        <s v="PRN-3775"/>
        <s v="LAP-2942"/>
        <s v="PHN-2036"/>
        <s v="MON-4373"/>
        <s v="PRN-8657"/>
        <s v="PHN-7974"/>
        <s v="PHN-4915"/>
        <s v="NET-3535"/>
        <s v="CMP-2574"/>
        <s v="NET-7901"/>
        <s v="NET-5482"/>
        <s v="NET-1336"/>
        <s v="PRN-5876"/>
        <s v="NET-3828"/>
        <s v="MON-7622"/>
        <s v="LAP-2806"/>
        <s v="PRN-8850"/>
        <s v="LAP-9100"/>
        <s v="LAP-5763"/>
        <s v="LAP-7320"/>
        <s v="MON-5891"/>
        <s v="PRN-1183"/>
        <s v="CMP-2096"/>
        <s v="PHN-3398"/>
        <s v="CMP-8545"/>
        <s v="ACC-1249"/>
        <s v="MON-9662"/>
        <s v="LAP-8347"/>
        <s v="CMP-6898"/>
        <s v="MON-3504"/>
        <s v="NET-3432"/>
        <s v="PRN-5591"/>
        <s v="CMP-2015"/>
        <s v="LAP-9901"/>
        <s v="CMP-8658"/>
        <s v="MON-2073"/>
        <s v="PRN-9378"/>
        <s v="PHN-5887"/>
        <s v="LAP-8119"/>
        <s v="ACC-9644"/>
        <s v="LAP-7009"/>
        <s v="PRN-1725"/>
        <s v="PHN-8483"/>
        <s v="PHN-3971"/>
        <s v="NET-6578"/>
        <s v="PRN-9975"/>
        <s v="ACC-1075"/>
        <s v="ACC-2902"/>
        <s v="PRN-5815"/>
        <s v="MON-4195"/>
        <s v="PHN-8478"/>
        <s v="PHN-1044"/>
        <s v="LAP-8910"/>
        <s v="PHN-2859"/>
        <s v="PRN-6308"/>
        <s v="LAP-8469"/>
        <s v="LAP-7553"/>
        <s v="PHN-3077"/>
        <s v="MON-3350"/>
        <s v="PHN-5683"/>
        <s v="PRN-2409"/>
        <s v="LAP-8825"/>
        <s v="MON-8697"/>
        <s v="MON-4789"/>
        <s v="NET-7998"/>
        <s v="PHN-8891"/>
        <s v="NET-9832"/>
        <s v="CMP-8604"/>
        <s v="ACC-6594"/>
        <s v="NET-2499"/>
        <s v="PRN-1923"/>
        <s v="PHN-4346"/>
        <s v="ACC-1375"/>
        <s v="PRN-4892"/>
        <s v="PRN-9557"/>
        <s v="PRN-8008"/>
        <s v="LAP-1946"/>
        <s v="MON-7106"/>
        <s v="MON-5386"/>
        <s v="PHN-2436"/>
        <s v="PRN-2301"/>
        <s v="ACC-3645"/>
        <s v="CMP-6811"/>
        <s v="PHN-5675"/>
        <s v="MON-6882"/>
        <s v="ACC-8620"/>
        <s v="PHN-6506"/>
        <s v="MON-5086"/>
        <s v="LAP-4899"/>
        <s v="CMP-3313"/>
        <s v="CMP-6649"/>
        <s v="ACC-5206"/>
        <s v="PRN-6911"/>
        <s v="NET-5270"/>
        <s v="CMP-5658"/>
        <s v="CMP-3938"/>
        <s v="ACC-7671"/>
        <s v="NET-6014"/>
        <s v="CMP-4159"/>
        <s v="PRN-3159"/>
        <s v="PRN-9488"/>
        <s v="PRN-7079"/>
        <s v="CMP-1220"/>
        <s v="MON-2462"/>
        <s v="PHN-9465"/>
        <s v="PRN-1271"/>
        <s v="LAP-1066"/>
        <s v="CMP-8675"/>
        <s v="LAP-1178"/>
        <s v="ACC-1731"/>
        <s v="NET-1893"/>
        <s v="PRN-3917"/>
        <s v="LAP-3220"/>
        <s v="PHN-2462"/>
        <s v="NET-2894"/>
        <s v="CMP-2335"/>
        <s v="PHN-5938"/>
        <s v="PRN-1371"/>
        <s v="PRN-5813"/>
        <s v="PHN-6480"/>
        <s v="ACC-2990"/>
        <s v="CMP-5435"/>
        <s v="ACC-1596"/>
        <s v="PHN-7852"/>
        <s v="ACC-7240"/>
        <s v="MON-8867"/>
        <s v="NET-1228"/>
        <s v="NET-1145"/>
        <s v="ACC-2867"/>
        <s v="MON-9274"/>
        <s v="MON-4830"/>
        <s v="PHN-9107"/>
        <s v="PRN-1060"/>
        <s v="NET-8329"/>
        <s v="NET-6269"/>
        <s v="CMP-6529"/>
        <s v="PHN-8776"/>
        <s v="NET-3728"/>
        <s v="LAP-3565"/>
        <s v="LAP-5078"/>
        <s v="MON-2465"/>
        <s v="CMP-3223"/>
        <s v="CMP-8127"/>
        <s v="PHN-1924"/>
        <s v="CMP-1156"/>
        <s v="LAP-3905"/>
        <s v="PRN-1786"/>
        <s v="ACC-3349"/>
        <s v="NET-4228"/>
        <s v="CMP-5633"/>
        <s v="CMP-5825"/>
        <s v="LAP-6499"/>
        <s v="ACC-3721"/>
        <s v="MON-6190"/>
        <s v="CMP-2410"/>
        <s v="PRN-2641"/>
        <s v="PRN-1882"/>
        <s v="PRN-1641"/>
        <s v="LAP-1739"/>
        <s v="PRN-4732"/>
        <s v="NET-9569"/>
        <s v="PHN-3007"/>
        <s v="MON-9216"/>
        <s v="PHN-8072"/>
        <s v="LAP-1308"/>
        <s v="LAP-7353"/>
        <s v="NET-6533"/>
        <s v="ACC-9445"/>
        <s v="PRN-1654"/>
        <s v="NET-8787"/>
        <s v="LAP-1989"/>
        <s v="MON-8688"/>
        <s v="ACC-8242"/>
        <s v="LAP-4666"/>
        <s v="NET-5196"/>
        <s v="MON-8422"/>
        <s v="ACC-3415"/>
        <s v="PRN-9624"/>
        <s v="MON-6287"/>
        <s v="NET-4491"/>
        <s v="MON-4317"/>
        <s v="NET-7349"/>
        <s v="ACC-5150"/>
        <s v="ACC-5144"/>
        <s v="PHN-6111"/>
        <s v="ACC-9283"/>
        <s v="PRN-2407"/>
        <s v="MON-7099"/>
        <s v="ACC-7354"/>
        <s v="PRN-6585"/>
        <s v="CMP-9498"/>
        <s v="PHN-1919"/>
        <s v="MON-6053"/>
        <s v="NET-2502"/>
        <s v="LAP-5689"/>
        <s v="CMP-5911"/>
        <s v="LAP-7523"/>
        <s v="MON-1118"/>
        <s v="NET-9177"/>
        <s v="CMP-6495"/>
        <s v="ACC-4587"/>
        <s v="PHN-4395"/>
        <s v="LAP-3581"/>
        <s v="MON-6065"/>
        <s v="CMP-4945"/>
        <s v="NET-3785"/>
        <s v="NET-3689"/>
        <s v="ACC-3833"/>
        <s v="NET-2932"/>
        <s v="PHN-7636"/>
        <s v="CMP-1223"/>
        <s v="MON-7207"/>
        <s v="LAP-4483"/>
        <s v="LAP-1969"/>
        <s v="PHN-4566"/>
        <s v="PHN-5366"/>
        <s v="CMP-9001"/>
        <s v="PHN-9677"/>
        <s v="ACC-1604"/>
        <s v="ACC-4815"/>
        <s v="CMP-5311"/>
        <s v="NET-1282"/>
        <s v="MON-1564"/>
        <s v="ACC-7906"/>
        <s v="LAP-6577"/>
        <s v="CMP-5065"/>
        <s v="PRN-4787"/>
        <s v="PRN-9867"/>
        <s v="MON-2849"/>
        <s v="LAP-8633"/>
        <s v="PRN-9793"/>
        <s v="NET-6218"/>
        <s v="PRN-6131"/>
        <s v="PRN-5067"/>
        <s v="LAP-4932"/>
        <s v="ACC-7713"/>
        <s v="PHN-7379"/>
        <s v="PRN-5569"/>
        <s v="CMP-1470"/>
        <s v="PRN-9249"/>
        <s v="PRN-4906"/>
        <s v="MON-8129"/>
        <s v="NET-5987"/>
        <s v="NET-5423"/>
        <s v="PRN-5264"/>
        <s v="NET-8856"/>
        <s v="MON-4215"/>
        <s v="PRN-5753"/>
        <s v="CMP-5006"/>
        <s v="ACC-4766"/>
        <s v="NET-8610"/>
        <s v="NET-4675"/>
        <s v="ACC-1028"/>
        <s v="NET-4735"/>
        <s v="NET-2460"/>
        <s v="CMP-1555"/>
        <s v="MON-3773"/>
        <s v="PHN-4677"/>
        <s v="CMP-1940"/>
        <s v="PHN-9184"/>
        <s v="LAP-3017"/>
      </sharedItems>
    </cacheField>
    <cacheField name="UnitCost" numFmtId="4">
      <sharedItems containsSemiMixedTypes="0" containsString="0" containsNumber="1" minValue="5.34" maxValue="1495.79"/>
    </cacheField>
    <cacheField name="UnitPrice" numFmtId="2">
      <sharedItems containsSemiMixedTypes="0" containsString="0" containsNumber="1" minValue="-33.659999999999997" maxValue="3661.07"/>
    </cacheField>
    <cacheField name="Cleaned UnitPrice" numFmtId="2">
      <sharedItems containsSemiMixedTypes="0" containsString="0" containsNumber="1" minValue="4.22" maxValue="3661.07"/>
    </cacheField>
    <cacheField name="PriceBand" numFmtId="2">
      <sharedItems/>
    </cacheField>
    <cacheField name="DiscountPct" numFmtId="9">
      <sharedItems containsSemiMixedTypes="0" containsString="0" containsNumber="1" minValue="0" maxValue="0.56499999999999995"/>
    </cacheField>
    <cacheField name="Cleaned DiscountPct" numFmtId="9">
      <sharedItems containsSemiMixedTypes="0" containsString="0" containsNumber="1" minValue="0" maxValue="0.29899999999999999"/>
    </cacheField>
    <cacheField name="Discount(&gt;20%)" numFmtId="0">
      <sharedItems/>
    </cacheField>
    <cacheField name="Quantity" numFmtId="1">
      <sharedItems containsSemiMixedTypes="0" containsString="0" containsNumber="1" containsInteger="1" minValue="2" maxValue="61"/>
    </cacheField>
    <cacheField name="GrossRevenue" numFmtId="2">
      <sharedItems containsSemiMixedTypes="0" containsString="0" containsNumber="1" minValue="-846.34703999999988" maxValue="139277.83032000001"/>
    </cacheField>
    <cacheField name="CostOfGoods" numFmtId="2">
      <sharedItems containsSemiMixedTypes="0" containsString="0" containsNumber="1" minValue="22" maxValue="83258.290000000008"/>
    </cacheField>
    <cacheField name="GrossProfit" numFmtId="2">
      <sharedItems containsSemiMixedTypes="0" containsString="0" containsNumber="1" minValue="-68900.986000000004" maxValue="65188.659999999996"/>
    </cacheField>
    <cacheField name="MarginPct" numFmtId="9">
      <sharedItems containsSemiMixedTypes="0" containsString="0" containsNumber="1" minValue="-0.87167486187856302" maxValue="252.39750756449052"/>
    </cacheField>
    <cacheField name="DiscountPct (Scenario)" numFmtId="9">
      <sharedItems containsSemiMixedTypes="0" containsString="0" containsNumber="1" minValue="0" maxValue="0.25"/>
    </cacheField>
    <cacheField name="Quantity (Scenario)" numFmtId="0">
      <sharedItems containsSemiMixedTypes="0" containsString="0" containsNumber="1" containsInteger="1" minValue="2" maxValue="61"/>
    </cacheField>
    <cacheField name="UnitCost (Scenario)" numFmtId="0">
      <sharedItems containsSemiMixedTypes="0" containsString="0" containsNumber="1" minValue="5.34" maxValue="1495.79"/>
    </cacheField>
    <cacheField name="GrossRevenue            (Scenario)" numFmtId="2">
      <sharedItems containsSemiMixedTypes="0" containsString="0" containsNumber="1" minValue="18.659839999999999" maxValue="139277.83032000001"/>
    </cacheField>
    <cacheField name="GrossProfit(Scenario)" numFmtId="2">
      <sharedItems containsSemiMixedTypes="0" containsString="0" containsNumber="1" minValue="-68355.013999999996" maxValue="65188.659999999996"/>
    </cacheField>
    <cacheField name="Months (OrderDate         (mmm-yyyy))" numFmtId="0" databaseField="0">
      <fieldGroup base="2">
        <rangePr groupBy="months" startDate="2023-01-02T00:00:00" endDate="2025-09-16T00:00:00"/>
        <groupItems count="14">
          <s v="&lt;02/01/2023"/>
          <s v="Jan"/>
          <s v="Feb"/>
          <s v="Mar"/>
          <s v="Apr"/>
          <s v="May"/>
          <s v="Jun"/>
          <s v="Jul"/>
          <s v="Aug"/>
          <s v="Sep"/>
          <s v="Oct"/>
          <s v="Nov"/>
          <s v="Dec"/>
          <s v="&gt;16/09/2025"/>
        </groupItems>
      </fieldGroup>
    </cacheField>
    <cacheField name="Quarters (OrderDate         (mmm-yyyy))" numFmtId="0" databaseField="0">
      <fieldGroup base="2">
        <rangePr groupBy="quarters" startDate="2023-01-02T00:00:00" endDate="2025-09-16T00:00:00"/>
        <groupItems count="6">
          <s v="&lt;02/01/2023"/>
          <s v="Qtr1"/>
          <s v="Qtr2"/>
          <s v="Qtr3"/>
          <s v="Qtr4"/>
          <s v="&gt;16/09/2025"/>
        </groupItems>
      </fieldGroup>
    </cacheField>
    <cacheField name="Years (OrderDate         (mmm-yyyy))" numFmtId="0" databaseField="0">
      <fieldGroup base="2">
        <rangePr groupBy="years" startDate="2023-01-02T00:00:00" endDate="2025-09-16T00:00:00"/>
        <groupItems count="5">
          <s v="&lt;02/01/2023"/>
          <s v="2023"/>
          <s v="2024"/>
          <s v="2025"/>
          <s v="&gt;16/09/2025"/>
        </groupItems>
      </fieldGroup>
    </cacheField>
  </cacheFields>
  <extLst>
    <ext xmlns:x14="http://schemas.microsoft.com/office/spreadsheetml/2009/9/main" uri="{725AE2AE-9491-48be-B2B4-4EB974FC3084}">
      <x14:pivotCacheDefinition pivotCacheId="339345228"/>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632">
  <r>
    <s v="ORD-2024-275203"/>
    <d v="2024-03-11T00:00:00"/>
    <d v="2024-04-06T00:00:00"/>
    <d v="2024-04-06T00:00:00"/>
    <n v="26"/>
    <x v="0"/>
    <x v="0"/>
    <x v="0"/>
    <x v="0"/>
    <x v="0"/>
    <x v="0"/>
    <s v="Components"/>
    <s v="CMP-8270"/>
    <n v="279.24"/>
    <n v="608.9"/>
    <n v="608.9"/>
    <n v="0.112"/>
    <n v="0.112"/>
    <n v="9"/>
  </r>
  <r>
    <s v="ORD-2024-358795"/>
    <d v="2024-10-23T00:00:00"/>
    <d v="2024-10-22T00:00:00"/>
    <d v="2024-10-22T00:00:00"/>
    <n v="-1"/>
    <x v="0"/>
    <x v="1"/>
    <x v="1"/>
    <x v="1"/>
    <x v="1"/>
    <x v="1"/>
    <s v="Printers"/>
    <s v="PRN-9322"/>
    <n v="1084.3900000000001"/>
    <n v="759.33"/>
    <n v="759.33"/>
    <n v="0.23699999999999999"/>
    <n v="0.23699999999999999"/>
    <n v="31"/>
  </r>
  <r>
    <s v="ORD-2023-373538"/>
    <d v="2023-02-28T00:00:00"/>
    <d v="2023-03-25T00:00:00"/>
    <d v="2023-03-25T00:00:00"/>
    <n v="25"/>
    <x v="0"/>
    <x v="0"/>
    <x v="2"/>
    <x v="0"/>
    <x v="0"/>
    <x v="2"/>
    <s v="Networking"/>
    <s v="NET-9666"/>
    <n v="1460.76"/>
    <n v="-30.66"/>
    <n v="30.66"/>
    <n v="0.13100000000000001"/>
    <n v="0.13100000000000001"/>
    <n v="12"/>
  </r>
  <r>
    <s v="ORD-2025-168148"/>
    <d v="2025-03-29T00:00:00"/>
    <d v="2025-04-02T00:00:00"/>
    <d v="2025-04-02T00:00:00"/>
    <n v="4"/>
    <x v="0"/>
    <x v="1"/>
    <x v="3"/>
    <x v="2"/>
    <x v="2"/>
    <x v="3"/>
    <s v="Phones"/>
    <s v="PHN-4556"/>
    <n v="259.93"/>
    <n v="255.94"/>
    <n v="255.94"/>
    <n v="7.1999999999999995E-2"/>
    <n v="7.1999999999999995E-2"/>
    <n v="22"/>
  </r>
  <r>
    <s v="ORD-2023-824839"/>
    <d v="2023-12-06T00:00:00"/>
    <d v="2023-12-31T00:00:00"/>
    <d v="2023-12-31T00:00:00"/>
    <n v="25"/>
    <x v="1"/>
    <x v="2"/>
    <x v="4"/>
    <x v="3"/>
    <x v="0"/>
    <x v="4"/>
    <s v="Printers"/>
    <s v="PRN-8041"/>
    <n v="663.03"/>
    <n v="813.51"/>
    <n v="813.51"/>
    <n v="0.10199999999999999"/>
    <n v="0.10199999999999999"/>
    <n v="15"/>
  </r>
  <r>
    <s v="ORD-2023-723587"/>
    <d v="2023-01-02T00:00:00"/>
    <d v="2023-01-05T00:00:00"/>
    <d v="2023-01-05T00:00:00"/>
    <n v="3"/>
    <x v="2"/>
    <x v="3"/>
    <x v="5"/>
    <x v="0"/>
    <x v="3"/>
    <x v="5"/>
    <s v="Laptops"/>
    <s v="LAP-8555"/>
    <n v="315.87"/>
    <n v="591.67999999999995"/>
    <n v="591.67999999999995"/>
    <n v="0"/>
    <n v="0"/>
    <n v="7"/>
  </r>
  <r>
    <s v="ORD-2024-336584"/>
    <d v="2024-12-27T00:00:00"/>
    <d v="2025-01-14T00:00:00"/>
    <d v="2025-01-14T00:00:00"/>
    <n v="18"/>
    <x v="1"/>
    <x v="4"/>
    <x v="6"/>
    <x v="4"/>
    <x v="2"/>
    <x v="6"/>
    <s v="Monitors"/>
    <s v="MON-8629"/>
    <n v="586.07000000000005"/>
    <n v="845.97"/>
    <n v="845.97"/>
    <n v="0.14699999999999999"/>
    <n v="0.14699999999999999"/>
    <n v="4"/>
  </r>
  <r>
    <s v="ORD-2023-112666"/>
    <d v="2023-01-15T00:00:00"/>
    <d v="2023-01-13T00:00:00"/>
    <d v="2023-01-13T00:00:00"/>
    <n v="-2"/>
    <x v="0"/>
    <x v="1"/>
    <x v="7"/>
    <x v="1"/>
    <x v="1"/>
    <x v="7"/>
    <s v="Printers"/>
    <s v="PRN-6276"/>
    <n v="28.38"/>
    <n v="47.22"/>
    <n v="47.22"/>
    <n v="0.19400000000000001"/>
    <n v="0.19400000000000001"/>
    <n v="18"/>
  </r>
  <r>
    <s v="ORD-2024-589570"/>
    <d v="2024-05-04T00:00:00"/>
    <d v="2024-05-29T00:00:00"/>
    <d v="2024-05-29T00:00:00"/>
    <n v="25"/>
    <x v="0"/>
    <x v="1"/>
    <x v="7"/>
    <x v="2"/>
    <x v="2"/>
    <x v="7"/>
    <s v="Monitors"/>
    <s v="MON-6892"/>
    <n v="1295.3399999999999"/>
    <n v="2530.81"/>
    <n v="2530.81"/>
    <n v="3.1E-2"/>
    <n v="3.1E-2"/>
    <n v="6"/>
  </r>
  <r>
    <s v="ORD-2025-997421"/>
    <d v="2025-05-21T00:00:00"/>
    <d v="2025-06-09T00:00:00"/>
    <d v="2025-06-09T00:00:00"/>
    <n v="19"/>
    <x v="2"/>
    <x v="5"/>
    <x v="8"/>
    <x v="2"/>
    <x v="1"/>
    <x v="8"/>
    <s v="Components"/>
    <s v="CMP-3731"/>
    <n v="1331.38"/>
    <n v="2309.56"/>
    <n v="2309.56"/>
    <n v="0.14899999999999999"/>
    <n v="0.14899999999999999"/>
    <n v="31"/>
  </r>
  <r>
    <s v="ORD-2024-210687"/>
    <d v="2024-01-28T00:00:00"/>
    <d v="2024-02-09T00:00:00"/>
    <d v="2024-02-09T00:00:00"/>
    <n v="12"/>
    <x v="3"/>
    <x v="6"/>
    <x v="9"/>
    <x v="0"/>
    <x v="1"/>
    <x v="3"/>
    <s v="Accessories"/>
    <s v="ACC-7938"/>
    <n v="644.16999999999996"/>
    <n v="700.12"/>
    <n v="700.12"/>
    <n v="6.0000000000000001E-3"/>
    <n v="6.0000000000000001E-3"/>
    <n v="23"/>
  </r>
  <r>
    <s v="ORD-2025-515515"/>
    <d v="2025-01-03T00:00:00"/>
    <d v="2025-01-23T00:00:00"/>
    <d v="2025-01-23T00:00:00"/>
    <n v="20"/>
    <x v="1"/>
    <x v="2"/>
    <x v="4"/>
    <x v="0"/>
    <x v="3"/>
    <x v="9"/>
    <s v="Phones"/>
    <s v="PHN-7019"/>
    <n v="908.6"/>
    <n v="691.37"/>
    <n v="691.37"/>
    <n v="0.25"/>
    <n v="0.25"/>
    <n v="20"/>
  </r>
  <r>
    <s v="ORD-2025-487261"/>
    <d v="2025-03-06T00:00:00"/>
    <d v="2025-03-31T00:00:00"/>
    <d v="2025-03-31T00:00:00"/>
    <n v="25"/>
    <x v="2"/>
    <x v="5"/>
    <x v="10"/>
    <x v="2"/>
    <x v="1"/>
    <x v="1"/>
    <s v="Components"/>
    <s v="CMP-3693"/>
    <n v="331.57"/>
    <n v="548.4"/>
    <n v="548.4"/>
    <n v="9.4E-2"/>
    <n v="9.4E-2"/>
    <n v="10"/>
  </r>
  <r>
    <s v="ORD-2024-890180"/>
    <d v="2024-01-20T00:00:00"/>
    <d v="2024-02-13T00:00:00"/>
    <d v="2024-02-13T00:00:00"/>
    <n v="24"/>
    <x v="3"/>
    <x v="7"/>
    <x v="11"/>
    <x v="0"/>
    <x v="0"/>
    <x v="10"/>
    <s v="Printers"/>
    <s v="PRN-8392"/>
    <n v="643.53"/>
    <n v="1439.01"/>
    <n v="1439.01"/>
    <n v="0"/>
    <n v="0"/>
    <n v="15"/>
  </r>
  <r>
    <s v="ORD-2025-840976"/>
    <d v="2025-09-01T00:00:00"/>
    <d v="2025-09-30T00:00:00"/>
    <d v="2025-09-30T00:00:00"/>
    <n v="29"/>
    <x v="2"/>
    <x v="5"/>
    <x v="10"/>
    <x v="1"/>
    <x v="0"/>
    <x v="11"/>
    <s v="Accessories"/>
    <s v="ACC-1663"/>
    <n v="780.59"/>
    <n v="631.57000000000005"/>
    <n v="631.57000000000005"/>
    <n v="0"/>
    <n v="0"/>
    <n v="12"/>
  </r>
  <r>
    <s v="ORD-2023-937291"/>
    <d v="2023-04-23T00:00:00"/>
    <d v="2023-04-22T00:00:00"/>
    <d v="2023-04-22T00:00:00"/>
    <n v="-1"/>
    <x v="0"/>
    <x v="0"/>
    <x v="2"/>
    <x v="4"/>
    <x v="4"/>
    <x v="6"/>
    <s v="Laptops"/>
    <s v="LAP-1698"/>
    <n v="756.51"/>
    <n v="850.8"/>
    <n v="850.8"/>
    <n v="7.3999999999999996E-2"/>
    <n v="7.3999999999999996E-2"/>
    <n v="9"/>
  </r>
  <r>
    <s v="ORD-2024-206081"/>
    <d v="2024-12-10T00:00:00"/>
    <d v="2025-01-08T00:00:00"/>
    <d v="2025-01-08T00:00:00"/>
    <n v="29"/>
    <x v="3"/>
    <x v="7"/>
    <x v="11"/>
    <x v="4"/>
    <x v="0"/>
    <x v="11"/>
    <s v="Printers"/>
    <s v="PRN-6791"/>
    <n v="891.08"/>
    <n v="1040.0999999999999"/>
    <n v="1040.0999999999999"/>
    <n v="0.109"/>
    <n v="0.109"/>
    <n v="28"/>
  </r>
  <r>
    <s v="ORD-2025-233883"/>
    <d v="2025-09-08T00:00:00"/>
    <d v="2025-09-16T00:00:00"/>
    <d v="2025-09-16T00:00:00"/>
    <n v="8"/>
    <x v="1"/>
    <x v="2"/>
    <x v="4"/>
    <x v="0"/>
    <x v="3"/>
    <x v="0"/>
    <s v="Phones"/>
    <s v="PHN-1197"/>
    <n v="1225.57"/>
    <n v="2705.57"/>
    <n v="2705.57"/>
    <n v="0.183"/>
    <n v="0.183"/>
    <n v="16"/>
  </r>
  <r>
    <s v="ORD-2025-843974"/>
    <d v="2025-07-20T00:00:00"/>
    <d v="2025-08-05T00:00:00"/>
    <d v="2025-08-05T00:00:00"/>
    <n v="16"/>
    <x v="2"/>
    <x v="5"/>
    <x v="10"/>
    <x v="5"/>
    <x v="2"/>
    <x v="3"/>
    <s v="Accessories"/>
    <s v="ACC-8098"/>
    <n v="1068.17"/>
    <n v="2375.37"/>
    <n v="2375.37"/>
    <n v="0.109"/>
    <n v="0.109"/>
    <n v="18"/>
  </r>
  <r>
    <s v="ORD-2025-745263"/>
    <d v="2025-05-21T00:00:00"/>
    <d v="2025-05-19T00:00:00"/>
    <d v="2025-05-19T00:00:00"/>
    <n v="-2"/>
    <x v="3"/>
    <x v="8"/>
    <x v="12"/>
    <x v="5"/>
    <x v="1"/>
    <x v="12"/>
    <s v="Laptops"/>
    <s v="LAP-3385"/>
    <n v="1015.16"/>
    <n v="2148.14"/>
    <n v="2148.14"/>
    <n v="3.7999999999999999E-2"/>
    <n v="3.7999999999999999E-2"/>
    <n v="19"/>
  </r>
  <r>
    <s v="ORD-2024-798002"/>
    <d v="2024-07-25T00:00:00"/>
    <d v="2024-07-24T00:00:00"/>
    <d v="2024-07-24T00:00:00"/>
    <n v="-1"/>
    <x v="0"/>
    <x v="0"/>
    <x v="13"/>
    <x v="2"/>
    <x v="4"/>
    <x v="1"/>
    <s v="Laptops"/>
    <s v="LAP-9815"/>
    <n v="1494.4"/>
    <n v="3661.07"/>
    <n v="3661.07"/>
    <n v="7.1999999999999995E-2"/>
    <n v="7.1999999999999995E-2"/>
    <n v="7"/>
  </r>
  <r>
    <s v="ORD-2023-867836"/>
    <d v="2023-05-11T00:00:00"/>
    <d v="2023-05-28T00:00:00"/>
    <d v="2023-05-28T00:00:00"/>
    <n v="17"/>
    <x v="1"/>
    <x v="9"/>
    <x v="14"/>
    <x v="5"/>
    <x v="2"/>
    <x v="6"/>
    <s v="Networking"/>
    <s v="NET-3255"/>
    <n v="1331.19"/>
    <n v="2903.09"/>
    <n v="2903.09"/>
    <n v="0.14299999999999999"/>
    <n v="0.14299999999999999"/>
    <n v="8"/>
  </r>
  <r>
    <s v="ORD-2025-580047"/>
    <d v="2025-06-14T00:00:00"/>
    <d v="2025-06-29T00:00:00"/>
    <d v="2025-06-29T00:00:00"/>
    <n v="15"/>
    <x v="0"/>
    <x v="1"/>
    <x v="1"/>
    <x v="3"/>
    <x v="2"/>
    <x v="12"/>
    <s v="Accessories"/>
    <s v="ACC-3961"/>
    <n v="730.99"/>
    <n v="1242.8399999999999"/>
    <n v="1242.8399999999999"/>
    <n v="0.12"/>
    <n v="0.12"/>
    <n v="10"/>
  </r>
  <r>
    <s v="ORD-2024-500109"/>
    <d v="2024-05-18T00:00:00"/>
    <d v="2024-05-23T00:00:00"/>
    <d v="2024-05-23T00:00:00"/>
    <n v="5"/>
    <x v="2"/>
    <x v="10"/>
    <x v="15"/>
    <x v="5"/>
    <x v="0"/>
    <x v="10"/>
    <s v="Laptops"/>
    <s v="LAP-4987"/>
    <n v="1274.5899999999999"/>
    <n v="2553.69"/>
    <n v="2553.69"/>
    <n v="0.01"/>
    <n v="0.01"/>
    <n v="8"/>
  </r>
  <r>
    <s v="ORD-2023-271836"/>
    <d v="2023-02-07T00:00:00"/>
    <d v="2023-02-12T00:00:00"/>
    <d v="2023-02-12T00:00:00"/>
    <n v="5"/>
    <x v="2"/>
    <x v="5"/>
    <x v="8"/>
    <x v="1"/>
    <x v="1"/>
    <x v="13"/>
    <s v="Components"/>
    <s v="CMP-2693"/>
    <n v="948.55"/>
    <n v="2089.16"/>
    <n v="2089.16"/>
    <n v="7.0000000000000001E-3"/>
    <n v="7.0000000000000001E-3"/>
    <n v="12"/>
  </r>
  <r>
    <s v="ORD-2024-215294"/>
    <d v="2024-06-30T00:00:00"/>
    <d v="2024-07-14T00:00:00"/>
    <d v="2024-07-14T00:00:00"/>
    <n v="14"/>
    <x v="2"/>
    <x v="5"/>
    <x v="10"/>
    <x v="1"/>
    <x v="0"/>
    <x v="0"/>
    <s v="Accessories"/>
    <s v="ACC-8683"/>
    <n v="1491.85"/>
    <n v="2583.02"/>
    <n v="2583.02"/>
    <n v="0.16800000000000001"/>
    <n v="0.16800000000000001"/>
    <n v="4"/>
  </r>
  <r>
    <s v="ORD-2024-788105"/>
    <d v="2024-11-30T00:00:00"/>
    <d v="2024-12-30T00:00:00"/>
    <d v="2024-12-30T00:00:00"/>
    <n v="30"/>
    <x v="3"/>
    <x v="7"/>
    <x v="11"/>
    <x v="3"/>
    <x v="2"/>
    <x v="9"/>
    <s v="Printers"/>
    <s v="PRN-4170"/>
    <n v="117.64"/>
    <n v="175.67"/>
    <n v="175.67"/>
    <n v="0"/>
    <n v="0"/>
    <n v="10"/>
  </r>
  <r>
    <s v="ORD-2024-855073"/>
    <d v="2024-07-19T00:00:00"/>
    <d v="2024-07-19T00:00:00"/>
    <d v="2024-07-19T00:00:00"/>
    <n v="0"/>
    <x v="0"/>
    <x v="0"/>
    <x v="0"/>
    <x v="4"/>
    <x v="0"/>
    <x v="8"/>
    <s v="Phones"/>
    <s v="PHN-6854"/>
    <n v="857.24"/>
    <n v="758.23"/>
    <n v="758.23"/>
    <n v="0.125"/>
    <n v="0.125"/>
    <n v="6"/>
  </r>
  <r>
    <s v="ORD-2023-897079"/>
    <d v="2023-04-14T00:00:00"/>
    <d v="2023-05-14T00:00:00"/>
    <d v="2023-05-14T00:00:00"/>
    <n v="30"/>
    <x v="0"/>
    <x v="0"/>
    <x v="16"/>
    <x v="3"/>
    <x v="2"/>
    <x v="12"/>
    <s v="Phones"/>
    <s v="PHN-1784"/>
    <n v="209.25"/>
    <n v="434.8"/>
    <n v="434.8"/>
    <n v="0"/>
    <n v="0"/>
    <n v="9"/>
  </r>
  <r>
    <s v="ORD-2025-548982"/>
    <d v="2025-04-07T00:00:00"/>
    <d v="2025-04-11T00:00:00"/>
    <d v="2025-04-11T00:00:00"/>
    <n v="4"/>
    <x v="3"/>
    <x v="7"/>
    <x v="17"/>
    <x v="1"/>
    <x v="0"/>
    <x v="6"/>
    <s v="Networking"/>
    <s v="NET-9716"/>
    <n v="754.77"/>
    <n v="1666.18"/>
    <n v="1666.18"/>
    <n v="0.13900000000000001"/>
    <n v="0.13900000000000001"/>
    <n v="14"/>
  </r>
  <r>
    <s v="ORD-2024-170313"/>
    <d v="2024-12-27T00:00:00"/>
    <d v="2025-01-15T00:00:00"/>
    <d v="2025-01-15T00:00:00"/>
    <n v="19"/>
    <x v="1"/>
    <x v="4"/>
    <x v="18"/>
    <x v="2"/>
    <x v="3"/>
    <x v="3"/>
    <s v="Components"/>
    <s v="CMP-6919"/>
    <n v="495.59"/>
    <n v="631.78"/>
    <n v="631.78"/>
    <n v="8.6999999999999994E-2"/>
    <n v="8.6999999999999994E-2"/>
    <n v="17"/>
  </r>
  <r>
    <s v="ORD-2023-562894"/>
    <d v="2023-02-23T00:00:00"/>
    <d v="2023-03-25T00:00:00"/>
    <d v="2023-03-25T00:00:00"/>
    <n v="30"/>
    <x v="2"/>
    <x v="3"/>
    <x v="19"/>
    <x v="5"/>
    <x v="1"/>
    <x v="14"/>
    <s v="Phones"/>
    <s v="PHN-4854"/>
    <n v="1242.6600000000001"/>
    <n v="1794.07"/>
    <n v="1794.07"/>
    <n v="8.8999999999999996E-2"/>
    <n v="8.8999999999999996E-2"/>
    <n v="16"/>
  </r>
  <r>
    <s v="ORD-2025-474710"/>
    <d v="2025-07-24T00:00:00"/>
    <d v="2025-08-06T00:00:00"/>
    <d v="2025-08-06T00:00:00"/>
    <n v="13"/>
    <x v="0"/>
    <x v="11"/>
    <x v="20"/>
    <x v="1"/>
    <x v="2"/>
    <x v="14"/>
    <s v="Networking"/>
    <s v="NET-7966"/>
    <n v="1463.9"/>
    <n v="2633.02"/>
    <n v="2633.02"/>
    <n v="8.4000000000000005E-2"/>
    <n v="8.4000000000000005E-2"/>
    <n v="4"/>
  </r>
  <r>
    <s v="ORD-2024-629525"/>
    <d v="2024-04-18T00:00:00"/>
    <d v="2024-05-08T00:00:00"/>
    <d v="2024-05-08T00:00:00"/>
    <n v="20"/>
    <x v="3"/>
    <x v="8"/>
    <x v="21"/>
    <x v="2"/>
    <x v="4"/>
    <x v="14"/>
    <s v="Laptops"/>
    <s v="LAP-9932"/>
    <n v="645.33000000000004"/>
    <n v="1321.85"/>
    <n v="1321.85"/>
    <n v="0"/>
    <n v="0"/>
    <n v="10"/>
  </r>
  <r>
    <s v="ORD-2024-167215"/>
    <d v="2024-08-23T00:00:00"/>
    <d v="2024-08-21T00:00:00"/>
    <d v="2024-08-21T00:00:00"/>
    <n v="-2"/>
    <x v="0"/>
    <x v="11"/>
    <x v="20"/>
    <x v="1"/>
    <x v="0"/>
    <x v="6"/>
    <s v="Components"/>
    <s v="CMP-1559"/>
    <n v="1432.52"/>
    <n v="3036.87"/>
    <n v="3036.87"/>
    <n v="0"/>
    <n v="0"/>
    <n v="9"/>
  </r>
  <r>
    <s v="ORD-2023-864121"/>
    <d v="2023-03-27T00:00:00"/>
    <d v="2023-04-22T00:00:00"/>
    <d v="2023-04-22T00:00:00"/>
    <n v="26"/>
    <x v="1"/>
    <x v="4"/>
    <x v="18"/>
    <x v="2"/>
    <x v="2"/>
    <x v="1"/>
    <s v="Printers"/>
    <s v="PRN-4506"/>
    <n v="178.53"/>
    <n v="199.37"/>
    <n v="199.37"/>
    <n v="0.10100000000000001"/>
    <n v="0.10100000000000001"/>
    <n v="37"/>
  </r>
  <r>
    <s v="ORD-2024-692673"/>
    <d v="2024-03-07T00:00:00"/>
    <d v="2024-03-25T00:00:00"/>
    <d v="2024-03-25T00:00:00"/>
    <n v="18"/>
    <x v="3"/>
    <x v="6"/>
    <x v="22"/>
    <x v="0"/>
    <x v="1"/>
    <x v="5"/>
    <s v="Components"/>
    <s v="CMP-7617"/>
    <n v="712.84"/>
    <n v="927.51"/>
    <n v="927.51"/>
    <n v="0.24299999999999999"/>
    <n v="0.24299999999999999"/>
    <n v="27"/>
  </r>
  <r>
    <s v="ORD-2025-718992"/>
    <d v="2025-06-24T00:00:00"/>
    <d v="2025-07-10T00:00:00"/>
    <d v="2025-07-10T00:00:00"/>
    <n v="16"/>
    <x v="1"/>
    <x v="9"/>
    <x v="23"/>
    <x v="5"/>
    <x v="4"/>
    <x v="13"/>
    <s v="Components"/>
    <s v="CMP-8390"/>
    <n v="757.19"/>
    <n v="1735.41"/>
    <n v="1735.41"/>
    <n v="0.13600000000000001"/>
    <n v="0.13600000000000001"/>
    <n v="8"/>
  </r>
  <r>
    <s v="ORD-2024-599522"/>
    <d v="2024-04-19T00:00:00"/>
    <d v="2024-05-06T00:00:00"/>
    <d v="2024-05-06T00:00:00"/>
    <n v="17"/>
    <x v="0"/>
    <x v="1"/>
    <x v="1"/>
    <x v="2"/>
    <x v="1"/>
    <x v="8"/>
    <s v="Printers"/>
    <s v="PRN-7303"/>
    <n v="865.33"/>
    <n v="1395.64"/>
    <n v="1395.64"/>
    <n v="0.17499999999999999"/>
    <n v="0.17499999999999999"/>
    <n v="13"/>
  </r>
  <r>
    <s v="ORD-2023-651638"/>
    <d v="2023-06-17T00:00:00"/>
    <d v="2023-06-24T00:00:00"/>
    <d v="2023-06-24T00:00:00"/>
    <n v="7"/>
    <x v="2"/>
    <x v="10"/>
    <x v="24"/>
    <x v="0"/>
    <x v="0"/>
    <x v="2"/>
    <s v="Printers"/>
    <s v="PRN-6536"/>
    <n v="313.99"/>
    <n v="454.42"/>
    <n v="454.42"/>
    <n v="0.129"/>
    <n v="0.129"/>
    <n v="9"/>
  </r>
  <r>
    <s v="ORD-2024-635626"/>
    <d v="2024-08-27T00:00:00"/>
    <d v="2024-09-19T00:00:00"/>
    <d v="2024-09-19T00:00:00"/>
    <n v="23"/>
    <x v="3"/>
    <x v="6"/>
    <x v="9"/>
    <x v="4"/>
    <x v="4"/>
    <x v="14"/>
    <s v="Monitors"/>
    <s v="MON-9967"/>
    <n v="1024.01"/>
    <n v="1580.97"/>
    <n v="1580.97"/>
    <n v="3.6999999999999998E-2"/>
    <n v="3.6999999999999998E-2"/>
    <n v="27"/>
  </r>
  <r>
    <s v="ORD-2024-296582"/>
    <d v="2024-01-11T00:00:00"/>
    <d v="2024-02-02T00:00:00"/>
    <d v="2024-02-02T00:00:00"/>
    <n v="22"/>
    <x v="0"/>
    <x v="11"/>
    <x v="25"/>
    <x v="3"/>
    <x v="1"/>
    <x v="11"/>
    <s v="Networking"/>
    <s v="NET-1412"/>
    <n v="1206.2"/>
    <n v="1759.79"/>
    <n v="1759.79"/>
    <n v="0"/>
    <n v="0"/>
    <n v="6"/>
  </r>
  <r>
    <s v="ORD-2024-998320"/>
    <d v="2024-10-25T00:00:00"/>
    <d v="2024-11-14T00:00:00"/>
    <d v="2024-11-14T00:00:00"/>
    <n v="20"/>
    <x v="0"/>
    <x v="0"/>
    <x v="13"/>
    <x v="0"/>
    <x v="4"/>
    <x v="10"/>
    <s v="Printers"/>
    <s v="PRN-3143"/>
    <n v="1396.48"/>
    <n v="3204.5"/>
    <n v="3204.5"/>
    <n v="0.318"/>
    <n v="0.11861439999999995"/>
    <n v="14"/>
  </r>
  <r>
    <s v="ORD-2025-820255"/>
    <d v="2025-05-29T00:00:00"/>
    <d v="2025-06-20T00:00:00"/>
    <d v="2025-06-20T00:00:00"/>
    <n v="22"/>
    <x v="3"/>
    <x v="6"/>
    <x v="9"/>
    <x v="0"/>
    <x v="4"/>
    <x v="8"/>
    <s v="Printers"/>
    <s v="PRN-9787"/>
    <n v="483.47"/>
    <n v="1135.43"/>
    <n v="1135.43"/>
    <n v="0.14599999999999999"/>
    <n v="0.14599999999999999"/>
    <n v="11"/>
  </r>
  <r>
    <s v="ORD-2024-389336"/>
    <d v="2024-05-20T00:00:00"/>
    <d v="2024-06-02T00:00:00"/>
    <d v="2024-06-02T00:00:00"/>
    <n v="13"/>
    <x v="2"/>
    <x v="3"/>
    <x v="26"/>
    <x v="5"/>
    <x v="2"/>
    <x v="11"/>
    <s v="Components"/>
    <s v="CMP-5946"/>
    <n v="675.43"/>
    <n v="996.36"/>
    <n v="996.36"/>
    <n v="0.182"/>
    <n v="0.182"/>
    <n v="22"/>
  </r>
  <r>
    <s v="ORD-2023-308124"/>
    <d v="2023-04-19T00:00:00"/>
    <d v="2023-04-30T00:00:00"/>
    <d v="2023-04-30T00:00:00"/>
    <n v="11"/>
    <x v="1"/>
    <x v="4"/>
    <x v="18"/>
    <x v="4"/>
    <x v="0"/>
    <x v="8"/>
    <s v="Networking"/>
    <s v="NET-2062"/>
    <n v="826.55"/>
    <n v="1397.05"/>
    <n v="1397.05"/>
    <n v="0.16900000000000001"/>
    <n v="0.16900000000000001"/>
    <n v="28"/>
  </r>
  <r>
    <s v="ORD-2023-128295"/>
    <d v="2023-06-23T00:00:00"/>
    <d v="2023-07-03T00:00:00"/>
    <d v="2023-07-03T00:00:00"/>
    <n v="10"/>
    <x v="0"/>
    <x v="1"/>
    <x v="7"/>
    <x v="3"/>
    <x v="1"/>
    <x v="1"/>
    <s v="Printers"/>
    <s v="PRN-2542"/>
    <n v="337.75"/>
    <n v="548.89"/>
    <n v="548.89"/>
    <n v="0"/>
    <n v="0"/>
    <n v="13"/>
  </r>
  <r>
    <s v="ORD-2024-548345"/>
    <d v="2024-05-14T00:00:00"/>
    <d v="2024-05-28T00:00:00"/>
    <d v="2024-05-28T00:00:00"/>
    <n v="14"/>
    <x v="3"/>
    <x v="8"/>
    <x v="12"/>
    <x v="3"/>
    <x v="0"/>
    <x v="5"/>
    <s v="Networking"/>
    <s v="NET-2365"/>
    <n v="1421.14"/>
    <n v="3524"/>
    <n v="3524"/>
    <n v="0"/>
    <n v="0"/>
    <n v="31"/>
  </r>
  <r>
    <s v="ORD-2024-966651"/>
    <d v="2024-10-14T00:00:00"/>
    <d v="2024-11-08T00:00:00"/>
    <d v="2024-11-08T00:00:00"/>
    <n v="25"/>
    <x v="0"/>
    <x v="1"/>
    <x v="3"/>
    <x v="5"/>
    <x v="1"/>
    <x v="7"/>
    <s v="Networking"/>
    <s v="NET-5268"/>
    <n v="859.35"/>
    <n v="1825.61"/>
    <n v="1825.61"/>
    <n v="0.187"/>
    <n v="0.187"/>
    <n v="24"/>
  </r>
  <r>
    <s v="ORD-2023-292714"/>
    <d v="2023-07-10T00:00:00"/>
    <d v="2023-08-01T00:00:00"/>
    <d v="2023-08-01T00:00:00"/>
    <n v="22"/>
    <x v="3"/>
    <x v="7"/>
    <x v="11"/>
    <x v="3"/>
    <x v="2"/>
    <x v="5"/>
    <s v="Printers"/>
    <s v="PRN-1504"/>
    <n v="1303.56"/>
    <n v="1791.37"/>
    <n v="1791.37"/>
    <n v="0.126"/>
    <n v="0.126"/>
    <n v="22"/>
  </r>
  <r>
    <s v="ORD-2024-468501"/>
    <d v="2024-11-06T00:00:00"/>
    <d v="2024-11-22T00:00:00"/>
    <d v="2024-11-22T00:00:00"/>
    <n v="16"/>
    <x v="2"/>
    <x v="3"/>
    <x v="5"/>
    <x v="2"/>
    <x v="3"/>
    <x v="14"/>
    <s v="Accessories"/>
    <s v="ACC-6348"/>
    <n v="1454.11"/>
    <n v="2629.75"/>
    <n v="2629.75"/>
    <n v="0.29199999999999998"/>
    <n v="0.29199999999999998"/>
    <n v="8"/>
  </r>
  <r>
    <s v="ORD-2024-260775"/>
    <d v="2024-10-17T00:00:00"/>
    <d v="2024-11-06T00:00:00"/>
    <d v="2024-11-06T00:00:00"/>
    <n v="20"/>
    <x v="1"/>
    <x v="4"/>
    <x v="6"/>
    <x v="5"/>
    <x v="3"/>
    <x v="7"/>
    <s v="Monitors"/>
    <s v="MON-4330"/>
    <n v="72.94"/>
    <n v="106.3"/>
    <n v="106.3"/>
    <n v="0.29499999999999998"/>
    <n v="0.29499999999999998"/>
    <n v="8"/>
  </r>
  <r>
    <s v="ORD-2023-419187"/>
    <d v="2023-03-31T00:00:00"/>
    <d v="2023-04-05T00:00:00"/>
    <d v="2023-04-05T00:00:00"/>
    <n v="5"/>
    <x v="0"/>
    <x v="0"/>
    <x v="16"/>
    <x v="1"/>
    <x v="2"/>
    <x v="5"/>
    <s v="Laptops"/>
    <s v="LAP-7819"/>
    <n v="533.26"/>
    <n v="385.72"/>
    <n v="385.72"/>
    <n v="0"/>
    <n v="0"/>
    <n v="15"/>
  </r>
  <r>
    <s v="ORD-2025-578007"/>
    <d v="2025-01-21T00:00:00"/>
    <d v="2025-02-16T00:00:00"/>
    <d v="2025-02-16T00:00:00"/>
    <n v="26"/>
    <x v="3"/>
    <x v="7"/>
    <x v="17"/>
    <x v="0"/>
    <x v="3"/>
    <x v="7"/>
    <s v="Laptops"/>
    <s v="LAP-3779"/>
    <n v="204.11"/>
    <n v="236.87"/>
    <n v="236.87"/>
    <n v="0.182"/>
    <n v="0.182"/>
    <n v="13"/>
  </r>
  <r>
    <s v="ORD-2023-235230"/>
    <d v="2023-08-30T00:00:00"/>
    <d v="2023-09-01T00:00:00"/>
    <d v="2023-09-01T00:00:00"/>
    <n v="2"/>
    <x v="3"/>
    <x v="6"/>
    <x v="22"/>
    <x v="0"/>
    <x v="4"/>
    <x v="13"/>
    <s v="Networking"/>
    <s v="NET-9989"/>
    <n v="44.42"/>
    <n v="41.9"/>
    <n v="41.9"/>
    <n v="0.14399999999999999"/>
    <n v="0.14399999999999999"/>
    <n v="6"/>
  </r>
  <r>
    <s v="ORD-2025-765220"/>
    <d v="2025-04-06T00:00:00"/>
    <d v="2025-04-30T00:00:00"/>
    <d v="2025-04-30T00:00:00"/>
    <n v="24"/>
    <x v="2"/>
    <x v="5"/>
    <x v="10"/>
    <x v="1"/>
    <x v="1"/>
    <x v="11"/>
    <s v="Monitors"/>
    <s v="MON-4925"/>
    <n v="855.78"/>
    <n v="977.38"/>
    <n v="977.38"/>
    <n v="0.14699999999999999"/>
    <n v="0.14699999999999999"/>
    <n v="38"/>
  </r>
  <r>
    <s v="ORD-2025-931538"/>
    <d v="2025-02-09T00:00:00"/>
    <d v="2025-03-01T00:00:00"/>
    <d v="2025-03-01T00:00:00"/>
    <n v="20"/>
    <x v="2"/>
    <x v="5"/>
    <x v="8"/>
    <x v="0"/>
    <x v="3"/>
    <x v="5"/>
    <s v="Laptops"/>
    <s v="LAP-6989"/>
    <n v="1154.6400000000001"/>
    <n v="2794.13"/>
    <n v="2794.13"/>
    <n v="3.5000000000000003E-2"/>
    <n v="3.5000000000000003E-2"/>
    <n v="11"/>
  </r>
  <r>
    <s v="ORD-2024-289089"/>
    <d v="2024-12-17T00:00:00"/>
    <d v="2024-12-18T00:00:00"/>
    <d v="2024-12-18T00:00:00"/>
    <n v="1"/>
    <x v="3"/>
    <x v="6"/>
    <x v="22"/>
    <x v="1"/>
    <x v="0"/>
    <x v="4"/>
    <s v="Accessories"/>
    <s v="ACC-5780"/>
    <n v="346.82"/>
    <n v="701.95"/>
    <n v="701.95"/>
    <n v="0.14699999999999999"/>
    <n v="0.14699999999999999"/>
    <n v="8"/>
  </r>
  <r>
    <s v="ORD-2025-639542"/>
    <d v="2025-06-09T00:00:00"/>
    <d v="2025-06-18T00:00:00"/>
    <d v="2025-06-18T00:00:00"/>
    <n v="9"/>
    <x v="3"/>
    <x v="7"/>
    <x v="11"/>
    <x v="4"/>
    <x v="2"/>
    <x v="10"/>
    <s v="Accessories"/>
    <s v="ACC-1770"/>
    <n v="1225.5"/>
    <n v="-5.27"/>
    <n v="5.27"/>
    <n v="7.4999999999999997E-2"/>
    <n v="7.4999999999999997E-2"/>
    <n v="56"/>
  </r>
  <r>
    <s v="ORD-2025-762301"/>
    <d v="2025-05-02T00:00:00"/>
    <d v="2025-05-13T00:00:00"/>
    <d v="2025-05-13T00:00:00"/>
    <n v="11"/>
    <x v="0"/>
    <x v="0"/>
    <x v="16"/>
    <x v="4"/>
    <x v="1"/>
    <x v="8"/>
    <s v="Accessories"/>
    <s v="ACC-2252"/>
    <n v="1057.5999999999999"/>
    <n v="1437.06"/>
    <n v="1437.06"/>
    <n v="0.20499999999999999"/>
    <n v="0.20499999999999999"/>
    <n v="4"/>
  </r>
  <r>
    <s v="ORD-2024-906395"/>
    <d v="2024-03-10T00:00:00"/>
    <d v="2024-04-09T00:00:00"/>
    <d v="2024-04-09T00:00:00"/>
    <n v="30"/>
    <x v="3"/>
    <x v="7"/>
    <x v="17"/>
    <x v="0"/>
    <x v="4"/>
    <x v="2"/>
    <s v="Components"/>
    <s v="CMP-8002"/>
    <n v="1176.56"/>
    <n v="1911.89"/>
    <n v="1911.89"/>
    <n v="0.11899999999999999"/>
    <n v="0.11899999999999999"/>
    <n v="20"/>
  </r>
  <r>
    <s v="ORD-2025-779574"/>
    <d v="2025-09-10T00:00:00"/>
    <d v="2025-09-12T00:00:00"/>
    <d v="2025-09-12T00:00:00"/>
    <n v="2"/>
    <x v="1"/>
    <x v="2"/>
    <x v="27"/>
    <x v="3"/>
    <x v="1"/>
    <x v="7"/>
    <s v="Components"/>
    <s v="CMP-6971"/>
    <n v="1470.15"/>
    <n v="2593.7800000000002"/>
    <n v="2593.7800000000002"/>
    <n v="0.11"/>
    <n v="0.11"/>
    <n v="12"/>
  </r>
  <r>
    <s v="ORD-2025-526650"/>
    <d v="2025-04-27T00:00:00"/>
    <d v="2025-05-25T00:00:00"/>
    <d v="2025-05-25T00:00:00"/>
    <n v="28"/>
    <x v="3"/>
    <x v="7"/>
    <x v="28"/>
    <x v="4"/>
    <x v="2"/>
    <x v="2"/>
    <s v="Phones"/>
    <s v="PHN-8350"/>
    <n v="603.45000000000005"/>
    <n v="1244.08"/>
    <n v="1244.08"/>
    <n v="0.2"/>
    <n v="0.2"/>
    <n v="11"/>
  </r>
  <r>
    <s v="ORD-2024-247979"/>
    <d v="2024-11-02T00:00:00"/>
    <d v="2024-11-18T00:00:00"/>
    <d v="2024-11-18T00:00:00"/>
    <n v="16"/>
    <x v="1"/>
    <x v="4"/>
    <x v="29"/>
    <x v="4"/>
    <x v="3"/>
    <x v="7"/>
    <s v="Monitors"/>
    <s v="MON-5188"/>
    <n v="1233.58"/>
    <n v="1912.51"/>
    <n v="1912.51"/>
    <n v="0.255"/>
    <n v="0.255"/>
    <n v="51"/>
  </r>
  <r>
    <s v="ORD-2023-480975"/>
    <d v="2023-02-15T00:00:00"/>
    <d v="2023-02-26T00:00:00"/>
    <d v="2023-02-26T00:00:00"/>
    <n v="11"/>
    <x v="0"/>
    <x v="11"/>
    <x v="20"/>
    <x v="2"/>
    <x v="0"/>
    <x v="11"/>
    <s v="Laptops"/>
    <s v="LAP-3393"/>
    <n v="498.5"/>
    <n v="755.87"/>
    <n v="755.87"/>
    <n v="0.13"/>
    <n v="0.13"/>
    <n v="40"/>
  </r>
  <r>
    <s v="ORD-2023-239789"/>
    <d v="2023-12-03T00:00:00"/>
    <d v="2023-12-26T00:00:00"/>
    <d v="2023-12-26T00:00:00"/>
    <n v="23"/>
    <x v="2"/>
    <x v="5"/>
    <x v="30"/>
    <x v="1"/>
    <x v="0"/>
    <x v="7"/>
    <s v="Phones"/>
    <s v="PHN-4644"/>
    <n v="1303.1099999999999"/>
    <n v="1145.67"/>
    <n v="1145.67"/>
    <n v="0.184"/>
    <n v="0.184"/>
    <n v="13"/>
  </r>
  <r>
    <s v="ORD-2023-548874"/>
    <d v="2023-03-19T00:00:00"/>
    <d v="2023-04-09T00:00:00"/>
    <d v="2023-04-09T00:00:00"/>
    <n v="21"/>
    <x v="3"/>
    <x v="8"/>
    <x v="31"/>
    <x v="3"/>
    <x v="0"/>
    <x v="4"/>
    <s v="Accessories"/>
    <s v="ACC-9150"/>
    <n v="1082.17"/>
    <n v="1234.0999999999999"/>
    <n v="1234.0999999999999"/>
    <n v="0.189"/>
    <n v="0.189"/>
    <n v="16"/>
  </r>
  <r>
    <s v="ORD-2024-347736"/>
    <d v="2024-05-22T00:00:00"/>
    <d v="2024-06-06T00:00:00"/>
    <d v="2024-06-06T00:00:00"/>
    <n v="15"/>
    <x v="1"/>
    <x v="2"/>
    <x v="32"/>
    <x v="0"/>
    <x v="3"/>
    <x v="0"/>
    <s v="Monitors"/>
    <s v="MON-6870"/>
    <n v="673.88"/>
    <n v="1228.01"/>
    <n v="1228.01"/>
    <n v="0.105"/>
    <n v="0.105"/>
    <n v="13"/>
  </r>
  <r>
    <s v="ORD-2023-749324"/>
    <d v="2023-08-19T00:00:00"/>
    <d v="2023-09-07T00:00:00"/>
    <d v="2023-09-07T00:00:00"/>
    <n v="19"/>
    <x v="0"/>
    <x v="11"/>
    <x v="20"/>
    <x v="5"/>
    <x v="0"/>
    <x v="14"/>
    <s v="Monitors"/>
    <s v="MON-2296"/>
    <n v="494.61"/>
    <n v="605.23"/>
    <n v="605.23"/>
    <n v="0.20399999999999999"/>
    <n v="0.20399999999999999"/>
    <n v="18"/>
  </r>
  <r>
    <s v="ORD-2023-809913"/>
    <d v="2023-04-21T00:00:00"/>
    <d v="2023-05-10T00:00:00"/>
    <d v="2023-05-10T00:00:00"/>
    <n v="19"/>
    <x v="1"/>
    <x v="9"/>
    <x v="23"/>
    <x v="0"/>
    <x v="0"/>
    <x v="8"/>
    <s v="Components"/>
    <s v="CMP-7371"/>
    <n v="882.33"/>
    <n v="1880.15"/>
    <n v="1880.15"/>
    <n v="0.05"/>
    <n v="0.05"/>
    <n v="5"/>
  </r>
  <r>
    <s v="ORD-2024-287210"/>
    <d v="2024-03-18T00:00:00"/>
    <d v="2024-03-21T00:00:00"/>
    <d v="2024-03-21T00:00:00"/>
    <n v="3"/>
    <x v="3"/>
    <x v="6"/>
    <x v="22"/>
    <x v="4"/>
    <x v="1"/>
    <x v="12"/>
    <s v="Accessories"/>
    <s v="ACC-2761"/>
    <n v="910.63"/>
    <n v="1269.4000000000001"/>
    <n v="1269.4000000000001"/>
    <n v="6.8000000000000005E-2"/>
    <n v="6.8000000000000005E-2"/>
    <n v="9"/>
  </r>
  <r>
    <s v="ORD-2025-640677"/>
    <d v="2025-04-09T00:00:00"/>
    <d v="2025-05-06T00:00:00"/>
    <d v="2025-05-06T00:00:00"/>
    <n v="27"/>
    <x v="2"/>
    <x v="5"/>
    <x v="10"/>
    <x v="5"/>
    <x v="2"/>
    <x v="9"/>
    <s v="Laptops"/>
    <s v="LAP-4517"/>
    <n v="264.19"/>
    <n v="620.92999999999995"/>
    <n v="620.92999999999995"/>
    <n v="0.14199999999999999"/>
    <n v="0.14199999999999999"/>
    <n v="12"/>
  </r>
  <r>
    <s v="ORD-2024-939873"/>
    <d v="2024-04-12T00:00:00"/>
    <d v="2024-05-07T00:00:00"/>
    <d v="2024-05-07T00:00:00"/>
    <n v="25"/>
    <x v="0"/>
    <x v="11"/>
    <x v="20"/>
    <x v="1"/>
    <x v="3"/>
    <x v="8"/>
    <s v="Laptops"/>
    <s v="LAP-8489"/>
    <n v="1376.51"/>
    <n v="1455.91"/>
    <n v="1455.91"/>
    <n v="0.185"/>
    <n v="0.185"/>
    <n v="17"/>
  </r>
  <r>
    <s v="ORD-2024-800947"/>
    <d v="2024-12-15T00:00:00"/>
    <d v="2024-12-20T00:00:00"/>
    <d v="2024-12-20T00:00:00"/>
    <n v="5"/>
    <x v="1"/>
    <x v="9"/>
    <x v="14"/>
    <x v="4"/>
    <x v="4"/>
    <x v="1"/>
    <s v="Networking"/>
    <s v="NET-1846"/>
    <n v="717.55"/>
    <n v="546.42999999999995"/>
    <n v="546.42999999999995"/>
    <n v="4.7E-2"/>
    <n v="4.7E-2"/>
    <n v="18"/>
  </r>
  <r>
    <s v="ORD-2023-382272"/>
    <d v="2023-05-20T00:00:00"/>
    <d v="2023-05-18T00:00:00"/>
    <d v="2023-05-18T00:00:00"/>
    <n v="-2"/>
    <x v="0"/>
    <x v="11"/>
    <x v="25"/>
    <x v="0"/>
    <x v="3"/>
    <x v="8"/>
    <s v="Components"/>
    <s v="CMP-5208"/>
    <n v="917.88"/>
    <n v="1347.92"/>
    <n v="1347.92"/>
    <n v="0.34300000000000003"/>
    <n v="0.11861439999999995"/>
    <n v="5"/>
  </r>
  <r>
    <s v="ORD-2023-722117"/>
    <d v="2023-09-18T00:00:00"/>
    <d v="2023-10-08T00:00:00"/>
    <d v="2023-10-08T00:00:00"/>
    <n v="20"/>
    <x v="1"/>
    <x v="4"/>
    <x v="18"/>
    <x v="4"/>
    <x v="4"/>
    <x v="5"/>
    <s v="Components"/>
    <s v="CMP-1009"/>
    <n v="825.64"/>
    <n v="1108.43"/>
    <n v="1108.43"/>
    <n v="0.114"/>
    <n v="0.114"/>
    <n v="7"/>
  </r>
  <r>
    <s v="ORD-2024-446699"/>
    <d v="2024-08-28T00:00:00"/>
    <d v="2024-09-25T00:00:00"/>
    <d v="2024-09-25T00:00:00"/>
    <n v="28"/>
    <x v="2"/>
    <x v="5"/>
    <x v="30"/>
    <x v="2"/>
    <x v="1"/>
    <x v="12"/>
    <s v="Accessories"/>
    <s v="ACC-4490"/>
    <n v="1394.65"/>
    <n v="3144.1"/>
    <n v="3144.1"/>
    <n v="0.13400000000000001"/>
    <n v="0.13400000000000001"/>
    <n v="13"/>
  </r>
  <r>
    <s v="ORD-2024-451005"/>
    <d v="2024-06-30T00:00:00"/>
    <d v="2024-06-28T00:00:00"/>
    <d v="2024-06-28T00:00:00"/>
    <n v="-2"/>
    <x v="2"/>
    <x v="5"/>
    <x v="30"/>
    <x v="4"/>
    <x v="4"/>
    <x v="4"/>
    <s v="Accessories"/>
    <s v="ACC-9162"/>
    <n v="1112.98"/>
    <n v="2095.73"/>
    <n v="2095.73"/>
    <n v="7.1999999999999995E-2"/>
    <n v="7.1999999999999995E-2"/>
    <n v="17"/>
  </r>
  <r>
    <s v="ORD-2023-290279"/>
    <d v="2023-06-14T00:00:00"/>
    <d v="2023-06-16T00:00:00"/>
    <d v="2023-06-16T00:00:00"/>
    <n v="2"/>
    <x v="3"/>
    <x v="8"/>
    <x v="31"/>
    <x v="2"/>
    <x v="4"/>
    <x v="11"/>
    <s v="Components"/>
    <s v="CMP-5820"/>
    <n v="357.36"/>
    <n v="703.62"/>
    <n v="703.62"/>
    <n v="0.25700000000000001"/>
    <n v="0.25700000000000001"/>
    <n v="20"/>
  </r>
  <r>
    <s v="ORD-2024-192263"/>
    <d v="2024-11-21T00:00:00"/>
    <d v="2024-12-21T00:00:00"/>
    <d v="2024-12-21T00:00:00"/>
    <n v="30"/>
    <x v="3"/>
    <x v="7"/>
    <x v="11"/>
    <x v="4"/>
    <x v="4"/>
    <x v="2"/>
    <s v="Monitors"/>
    <s v="MON-7943"/>
    <n v="1122.68"/>
    <n v="1997.19"/>
    <n v="1997.19"/>
    <n v="0.186"/>
    <n v="0.186"/>
    <n v="3"/>
  </r>
  <r>
    <s v="ORD-2023-159379"/>
    <d v="2023-02-08T00:00:00"/>
    <d v="2023-02-11T00:00:00"/>
    <d v="2023-02-11T00:00:00"/>
    <n v="3"/>
    <x v="0"/>
    <x v="11"/>
    <x v="33"/>
    <x v="0"/>
    <x v="4"/>
    <x v="12"/>
    <s v="Networking"/>
    <s v="NET-5018"/>
    <n v="1410.05"/>
    <n v="2763.95"/>
    <n v="2763.95"/>
    <n v="0.161"/>
    <n v="0.161"/>
    <n v="26"/>
  </r>
  <r>
    <s v="ORD-2023-343322"/>
    <d v="2023-08-19T00:00:00"/>
    <d v="2023-09-12T00:00:00"/>
    <d v="2023-09-12T00:00:00"/>
    <n v="24"/>
    <x v="2"/>
    <x v="3"/>
    <x v="26"/>
    <x v="5"/>
    <x v="0"/>
    <x v="2"/>
    <s v="Printers"/>
    <s v="PRN-9669"/>
    <n v="1183.95"/>
    <n v="1503.53"/>
    <n v="1503.53"/>
    <n v="0.24099999999999999"/>
    <n v="0.24099999999999999"/>
    <n v="16"/>
  </r>
  <r>
    <s v="ORD-2025-114382"/>
    <d v="2025-05-14T00:00:00"/>
    <d v="2025-05-24T00:00:00"/>
    <d v="2025-05-24T00:00:00"/>
    <n v="10"/>
    <x v="3"/>
    <x v="7"/>
    <x v="28"/>
    <x v="4"/>
    <x v="2"/>
    <x v="11"/>
    <s v="Components"/>
    <s v="CMP-2865"/>
    <n v="170.39"/>
    <n v="388.04"/>
    <n v="388.04"/>
    <n v="8.4000000000000005E-2"/>
    <n v="8.4000000000000005E-2"/>
    <n v="15"/>
  </r>
  <r>
    <s v="ORD-2025-488349"/>
    <d v="2025-04-23T00:00:00"/>
    <d v="2025-04-22T00:00:00"/>
    <d v="2025-04-22T00:00:00"/>
    <n v="-1"/>
    <x v="2"/>
    <x v="10"/>
    <x v="24"/>
    <x v="2"/>
    <x v="3"/>
    <x v="14"/>
    <s v="Monitors"/>
    <s v="MON-3371"/>
    <n v="23.24"/>
    <n v="44.57"/>
    <n v="44.57"/>
    <n v="0.215"/>
    <n v="0.215"/>
    <n v="15"/>
  </r>
  <r>
    <s v="ORD-2025-330203"/>
    <d v="2025-03-25T00:00:00"/>
    <d v="2025-04-17T00:00:00"/>
    <d v="2025-04-17T00:00:00"/>
    <n v="23"/>
    <x v="3"/>
    <x v="8"/>
    <x v="21"/>
    <x v="3"/>
    <x v="0"/>
    <x v="10"/>
    <s v="Networking"/>
    <s v="NET-7166"/>
    <n v="1421.19"/>
    <n v="1808.26"/>
    <n v="1808.26"/>
    <n v="0.104"/>
    <n v="0.104"/>
    <n v="13"/>
  </r>
  <r>
    <s v="ORD-2023-841426"/>
    <d v="2023-12-22T00:00:00"/>
    <d v="2023-12-23T00:00:00"/>
    <d v="2023-12-23T00:00:00"/>
    <n v="1"/>
    <x v="0"/>
    <x v="11"/>
    <x v="33"/>
    <x v="2"/>
    <x v="2"/>
    <x v="14"/>
    <s v="Components"/>
    <s v="CMP-4531"/>
    <n v="1186.18"/>
    <n v="1285.0899999999999"/>
    <n v="1285.0899999999999"/>
    <n v="7.0000000000000007E-2"/>
    <n v="7.0000000000000007E-2"/>
    <n v="11"/>
  </r>
  <r>
    <s v="ORD-2024-594592"/>
    <d v="2024-04-06T00:00:00"/>
    <d v="2024-04-25T00:00:00"/>
    <d v="2024-04-25T00:00:00"/>
    <n v="19"/>
    <x v="1"/>
    <x v="9"/>
    <x v="23"/>
    <x v="0"/>
    <x v="0"/>
    <x v="11"/>
    <s v="Components"/>
    <s v="CMP-8196"/>
    <n v="1366.48"/>
    <n v="1678.14"/>
    <n v="1678.14"/>
    <n v="0.154"/>
    <n v="0.154"/>
    <n v="10"/>
  </r>
  <r>
    <s v="ORD-2025-863978"/>
    <d v="2025-08-07T00:00:00"/>
    <d v="2025-08-19T00:00:00"/>
    <d v="2025-08-19T00:00:00"/>
    <n v="12"/>
    <x v="0"/>
    <x v="0"/>
    <x v="16"/>
    <x v="0"/>
    <x v="4"/>
    <x v="12"/>
    <s v="Components"/>
    <s v="CMP-2854"/>
    <n v="601.51"/>
    <n v="679.35"/>
    <n v="679.35"/>
    <n v="0.188"/>
    <n v="0.188"/>
    <n v="3"/>
  </r>
  <r>
    <s v="ORD-2024-604471"/>
    <d v="2024-01-21T00:00:00"/>
    <d v="2024-01-25T00:00:00"/>
    <d v="2024-01-25T00:00:00"/>
    <n v="4"/>
    <x v="1"/>
    <x v="4"/>
    <x v="18"/>
    <x v="3"/>
    <x v="4"/>
    <x v="0"/>
    <s v="Monitors"/>
    <s v="MON-8973"/>
    <n v="523.70000000000005"/>
    <n v="1109.92"/>
    <n v="1109.92"/>
    <n v="0.03"/>
    <n v="0.03"/>
    <n v="11"/>
  </r>
  <r>
    <s v="ORD-2023-258768"/>
    <d v="2023-06-29T00:00:00"/>
    <d v="2023-07-02T00:00:00"/>
    <d v="2023-07-02T00:00:00"/>
    <n v="3"/>
    <x v="1"/>
    <x v="2"/>
    <x v="32"/>
    <x v="1"/>
    <x v="2"/>
    <x v="9"/>
    <s v="Monitors"/>
    <s v="MON-2990"/>
    <n v="55.65"/>
    <n v="83.57"/>
    <n v="83.57"/>
    <n v="6.6000000000000003E-2"/>
    <n v="6.6000000000000003E-2"/>
    <n v="8"/>
  </r>
  <r>
    <s v="ORD-2025-626047"/>
    <d v="2025-04-28T00:00:00"/>
    <d v="2025-05-15T00:00:00"/>
    <d v="2025-05-15T00:00:00"/>
    <n v="17"/>
    <x v="1"/>
    <x v="2"/>
    <x v="32"/>
    <x v="1"/>
    <x v="4"/>
    <x v="13"/>
    <s v="Networking"/>
    <s v="NET-1966"/>
    <n v="691.19"/>
    <n v="1284.3"/>
    <n v="1284.3"/>
    <n v="7.3999999999999996E-2"/>
    <n v="7.3999999999999996E-2"/>
    <n v="7"/>
  </r>
  <r>
    <s v="ORD-2025-526752"/>
    <d v="2025-06-09T00:00:00"/>
    <d v="2025-06-25T00:00:00"/>
    <d v="2025-06-25T00:00:00"/>
    <n v="16"/>
    <x v="1"/>
    <x v="4"/>
    <x v="34"/>
    <x v="5"/>
    <x v="3"/>
    <x v="12"/>
    <s v="Phones"/>
    <s v="PHN-3482"/>
    <n v="527.33000000000004"/>
    <n v="911.72"/>
    <n v="911.72"/>
    <n v="0.14399999999999999"/>
    <n v="0.14399999999999999"/>
    <n v="25"/>
  </r>
  <r>
    <s v="ORD-2023-374486"/>
    <d v="2023-06-24T00:00:00"/>
    <d v="2023-06-23T00:00:00"/>
    <d v="2023-06-23T00:00:00"/>
    <n v="-1"/>
    <x v="2"/>
    <x v="5"/>
    <x v="30"/>
    <x v="2"/>
    <x v="0"/>
    <x v="6"/>
    <s v="Printers"/>
    <s v="PRN-6490"/>
    <n v="804.01"/>
    <n v="1405.07"/>
    <n v="1405.07"/>
    <n v="9.6000000000000002E-2"/>
    <n v="9.6000000000000002E-2"/>
    <n v="8"/>
  </r>
  <r>
    <s v="ORD-2024-997336"/>
    <d v="2024-10-04T00:00:00"/>
    <d v="2024-11-02T00:00:00"/>
    <d v="2024-11-02T00:00:00"/>
    <n v="29"/>
    <x v="0"/>
    <x v="1"/>
    <x v="7"/>
    <x v="0"/>
    <x v="3"/>
    <x v="9"/>
    <s v="Accessories"/>
    <s v="ACC-9038"/>
    <n v="412.09"/>
    <n v="968.94"/>
    <n v="968.94"/>
    <n v="9.9000000000000005E-2"/>
    <n v="9.9000000000000005E-2"/>
    <n v="23"/>
  </r>
  <r>
    <s v="ORD-2025-725646"/>
    <d v="2025-09-10T00:00:00"/>
    <d v="2025-09-30T00:00:00"/>
    <d v="2025-09-30T00:00:00"/>
    <n v="20"/>
    <x v="0"/>
    <x v="0"/>
    <x v="13"/>
    <x v="0"/>
    <x v="4"/>
    <x v="4"/>
    <s v="Phones"/>
    <s v="PHN-6954"/>
    <n v="1009.48"/>
    <n v="1088.81"/>
    <n v="1088.81"/>
    <n v="0.16"/>
    <n v="0.16"/>
    <n v="6"/>
  </r>
  <r>
    <s v="ORD-2023-868734"/>
    <d v="2023-04-06T00:00:00"/>
    <d v="2023-04-27T00:00:00"/>
    <d v="2023-04-27T00:00:00"/>
    <n v="21"/>
    <x v="3"/>
    <x v="8"/>
    <x v="31"/>
    <x v="5"/>
    <x v="3"/>
    <x v="2"/>
    <s v="Printers"/>
    <s v="PRN-8970"/>
    <n v="1084.79"/>
    <n v="2484.9899999999998"/>
    <n v="2484.9899999999998"/>
    <n v="3.4000000000000002E-2"/>
    <n v="3.4000000000000002E-2"/>
    <n v="18"/>
  </r>
  <r>
    <s v="ORD-2025-262491"/>
    <d v="2025-08-01T00:00:00"/>
    <d v="2025-08-16T00:00:00"/>
    <d v="2025-08-16T00:00:00"/>
    <n v="15"/>
    <x v="1"/>
    <x v="4"/>
    <x v="18"/>
    <x v="5"/>
    <x v="4"/>
    <x v="7"/>
    <s v="Monitors"/>
    <s v="MON-1822"/>
    <n v="24.44"/>
    <n v="28.69"/>
    <n v="28.69"/>
    <n v="0.14599999999999999"/>
    <n v="0.14599999999999999"/>
    <n v="6"/>
  </r>
  <r>
    <s v="ORD-2024-638884"/>
    <d v="2024-05-28T00:00:00"/>
    <d v="2024-05-26T00:00:00"/>
    <d v="2024-05-26T00:00:00"/>
    <n v="-2"/>
    <x v="0"/>
    <x v="1"/>
    <x v="7"/>
    <x v="5"/>
    <x v="1"/>
    <x v="9"/>
    <s v="Accessories"/>
    <s v="ACC-5177"/>
    <n v="1227.08"/>
    <n v="1896.62"/>
    <n v="1896.62"/>
    <n v="0"/>
    <n v="0"/>
    <n v="18"/>
  </r>
  <r>
    <s v="ORD-2025-541501"/>
    <d v="2025-07-22T00:00:00"/>
    <d v="2025-08-18T00:00:00"/>
    <d v="2025-08-18T00:00:00"/>
    <n v="27"/>
    <x v="1"/>
    <x v="9"/>
    <x v="14"/>
    <x v="2"/>
    <x v="2"/>
    <x v="12"/>
    <s v="Networking"/>
    <s v="NET-1804"/>
    <n v="547.32000000000005"/>
    <n v="419.17"/>
    <n v="419.17"/>
    <n v="9.1999999999999998E-2"/>
    <n v="9.1999999999999998E-2"/>
    <n v="14"/>
  </r>
  <r>
    <s v="ORD-2023-422918"/>
    <d v="2023-02-28T00:00:00"/>
    <d v="2023-03-20T00:00:00"/>
    <d v="2023-03-20T00:00:00"/>
    <n v="20"/>
    <x v="3"/>
    <x v="6"/>
    <x v="9"/>
    <x v="4"/>
    <x v="4"/>
    <x v="10"/>
    <s v="Laptops"/>
    <s v="LAP-3679"/>
    <n v="1200.78"/>
    <n v="2001.17"/>
    <n v="2001.17"/>
    <n v="0.29199999999999998"/>
    <n v="0.29199999999999998"/>
    <n v="18"/>
  </r>
  <r>
    <s v="ORD-2025-328504"/>
    <d v="2025-01-27T00:00:00"/>
    <d v="2025-02-15T00:00:00"/>
    <d v="2025-02-15T00:00:00"/>
    <n v="19"/>
    <x v="1"/>
    <x v="9"/>
    <x v="14"/>
    <x v="2"/>
    <x v="4"/>
    <x v="4"/>
    <s v="Phones"/>
    <s v="PHN-8368"/>
    <n v="1253.22"/>
    <n v="3104.71"/>
    <n v="3104.71"/>
    <n v="0"/>
    <n v="0"/>
    <n v="17"/>
  </r>
  <r>
    <s v="ORD-2024-851883"/>
    <d v="2024-01-13T00:00:00"/>
    <d v="2024-01-22T00:00:00"/>
    <d v="2024-01-22T00:00:00"/>
    <n v="9"/>
    <x v="1"/>
    <x v="4"/>
    <x v="29"/>
    <x v="5"/>
    <x v="2"/>
    <x v="1"/>
    <s v="Components"/>
    <s v="CMP-8141"/>
    <n v="313.60000000000002"/>
    <n v="334.28"/>
    <n v="334.28"/>
    <n v="0.14000000000000001"/>
    <n v="0.14000000000000001"/>
    <n v="22"/>
  </r>
  <r>
    <s v="ORD-2025-662997"/>
    <d v="2025-03-31T00:00:00"/>
    <d v="2025-04-04T00:00:00"/>
    <d v="2025-04-04T00:00:00"/>
    <n v="4"/>
    <x v="0"/>
    <x v="0"/>
    <x v="16"/>
    <x v="0"/>
    <x v="4"/>
    <x v="0"/>
    <s v="Laptops"/>
    <s v="LAP-7136"/>
    <n v="862.08"/>
    <n v="1952.83"/>
    <n v="1952.83"/>
    <n v="0"/>
    <n v="0"/>
    <n v="7"/>
  </r>
  <r>
    <s v="ORD-2024-478165"/>
    <d v="2024-12-05T00:00:00"/>
    <d v="2024-12-28T00:00:00"/>
    <d v="2024-12-28T00:00:00"/>
    <n v="23"/>
    <x v="2"/>
    <x v="3"/>
    <x v="26"/>
    <x v="0"/>
    <x v="4"/>
    <x v="9"/>
    <s v="Accessories"/>
    <s v="ACC-2386"/>
    <n v="107.03"/>
    <n v="242.29"/>
    <n v="242.29"/>
    <n v="0.18"/>
    <n v="0.18"/>
    <n v="30"/>
  </r>
  <r>
    <s v="ORD-2024-771210"/>
    <d v="2024-09-14T00:00:00"/>
    <d v="2024-10-05T00:00:00"/>
    <d v="2024-10-05T00:00:00"/>
    <n v="21"/>
    <x v="1"/>
    <x v="9"/>
    <x v="23"/>
    <x v="4"/>
    <x v="1"/>
    <x v="10"/>
    <s v="Laptops"/>
    <s v="LAP-5150"/>
    <n v="1405.56"/>
    <n v="2968.87"/>
    <n v="2968.87"/>
    <n v="0.16900000000000001"/>
    <n v="0.16900000000000001"/>
    <n v="5"/>
  </r>
  <r>
    <s v="ORD-2024-155337"/>
    <d v="2024-05-21T00:00:00"/>
    <d v="2024-05-27T00:00:00"/>
    <d v="2024-05-27T00:00:00"/>
    <n v="6"/>
    <x v="0"/>
    <x v="11"/>
    <x v="20"/>
    <x v="2"/>
    <x v="1"/>
    <x v="12"/>
    <s v="Components"/>
    <s v="CMP-8101"/>
    <n v="1157.51"/>
    <n v="1394.3"/>
    <n v="1394.3"/>
    <n v="0.27800000000000002"/>
    <n v="0.27800000000000002"/>
    <n v="12"/>
  </r>
  <r>
    <s v="ORD-2023-251563"/>
    <d v="2023-05-11T00:00:00"/>
    <d v="2023-06-07T00:00:00"/>
    <d v="2023-06-07T00:00:00"/>
    <n v="27"/>
    <x v="0"/>
    <x v="0"/>
    <x v="13"/>
    <x v="0"/>
    <x v="1"/>
    <x v="1"/>
    <s v="Phones"/>
    <s v="PHN-8970"/>
    <n v="12.85"/>
    <n v="15.41"/>
    <n v="15.41"/>
    <n v="0.13700000000000001"/>
    <n v="0.13700000000000001"/>
    <n v="39"/>
  </r>
  <r>
    <s v="ORD-2024-286833"/>
    <d v="2024-08-14T00:00:00"/>
    <d v="2024-09-04T00:00:00"/>
    <d v="2024-09-04T00:00:00"/>
    <n v="21"/>
    <x v="3"/>
    <x v="8"/>
    <x v="31"/>
    <x v="2"/>
    <x v="1"/>
    <x v="1"/>
    <s v="Phones"/>
    <s v="PHN-2341"/>
    <n v="1138.8"/>
    <n v="2250.81"/>
    <n v="2250.81"/>
    <n v="0.123"/>
    <n v="0.123"/>
    <n v="12"/>
  </r>
  <r>
    <s v="ORD-2024-792558"/>
    <d v="2024-10-16T00:00:00"/>
    <d v="2024-11-08T00:00:00"/>
    <d v="2024-11-08T00:00:00"/>
    <n v="23"/>
    <x v="1"/>
    <x v="2"/>
    <x v="4"/>
    <x v="4"/>
    <x v="0"/>
    <x v="1"/>
    <s v="Networking"/>
    <s v="NET-6387"/>
    <n v="82.14"/>
    <n v="166.04"/>
    <n v="166.04"/>
    <n v="0"/>
    <n v="0"/>
    <n v="10"/>
  </r>
  <r>
    <s v="ORD-2024-166150"/>
    <d v="2024-06-02T00:00:00"/>
    <d v="2024-06-08T00:00:00"/>
    <d v="2024-06-08T00:00:00"/>
    <n v="6"/>
    <x v="0"/>
    <x v="0"/>
    <x v="0"/>
    <x v="3"/>
    <x v="2"/>
    <x v="8"/>
    <s v="Accessories"/>
    <s v="ACC-9820"/>
    <n v="292.94"/>
    <n v="356.55"/>
    <n v="356.55"/>
    <n v="0.22900000000000001"/>
    <n v="0.22900000000000001"/>
    <n v="2"/>
  </r>
  <r>
    <s v="ORD-2024-909942"/>
    <d v="2024-06-09T00:00:00"/>
    <d v="2024-07-07T00:00:00"/>
    <d v="2024-07-07T00:00:00"/>
    <n v="28"/>
    <x v="1"/>
    <x v="9"/>
    <x v="14"/>
    <x v="0"/>
    <x v="1"/>
    <x v="1"/>
    <s v="Components"/>
    <s v="CMP-6392"/>
    <n v="550.22"/>
    <n v="1025.05"/>
    <n v="1025.05"/>
    <n v="0"/>
    <n v="0"/>
    <n v="27"/>
  </r>
  <r>
    <s v="ORD-2024-223618"/>
    <d v="2024-06-10T00:00:00"/>
    <d v="2024-06-11T00:00:00"/>
    <d v="2024-06-11T00:00:00"/>
    <n v="1"/>
    <x v="3"/>
    <x v="8"/>
    <x v="12"/>
    <x v="4"/>
    <x v="2"/>
    <x v="12"/>
    <s v="Laptops"/>
    <s v="LAP-9230"/>
    <n v="1187.1300000000001"/>
    <n v="1795.17"/>
    <n v="1795.17"/>
    <n v="1.2E-2"/>
    <n v="1.2E-2"/>
    <n v="17"/>
  </r>
  <r>
    <s v="ORD-2024-919471"/>
    <d v="2024-06-29T00:00:00"/>
    <d v="2024-07-26T00:00:00"/>
    <d v="2024-07-26T00:00:00"/>
    <n v="27"/>
    <x v="0"/>
    <x v="11"/>
    <x v="25"/>
    <x v="5"/>
    <x v="3"/>
    <x v="5"/>
    <s v="Networking"/>
    <s v="NET-4241"/>
    <n v="5.36"/>
    <n v="4.37"/>
    <n v="4.37"/>
    <n v="0.11799999999999999"/>
    <n v="0.11799999999999999"/>
    <n v="9"/>
  </r>
  <r>
    <s v="ORD-2025-649239"/>
    <d v="2025-01-17T00:00:00"/>
    <d v="2025-01-24T00:00:00"/>
    <d v="2025-01-24T00:00:00"/>
    <n v="7"/>
    <x v="2"/>
    <x v="10"/>
    <x v="35"/>
    <x v="5"/>
    <x v="1"/>
    <x v="3"/>
    <s v="Accessories"/>
    <s v="ACC-4511"/>
    <n v="142.09"/>
    <n v="218.5"/>
    <n v="218.5"/>
    <n v="0.11899999999999999"/>
    <n v="0.11899999999999999"/>
    <n v="11"/>
  </r>
  <r>
    <s v="ORD-2023-975863"/>
    <d v="2023-11-20T00:00:00"/>
    <d v="2023-12-05T00:00:00"/>
    <d v="2023-12-05T00:00:00"/>
    <n v="15"/>
    <x v="1"/>
    <x v="2"/>
    <x v="27"/>
    <x v="5"/>
    <x v="0"/>
    <x v="4"/>
    <s v="Networking"/>
    <s v="NET-3033"/>
    <n v="354.24"/>
    <n v="249.87"/>
    <n v="249.87"/>
    <n v="0"/>
    <n v="0"/>
    <n v="6"/>
  </r>
  <r>
    <s v="ORD-2023-869884"/>
    <d v="2023-03-02T00:00:00"/>
    <d v="2023-03-05T00:00:00"/>
    <d v="2023-03-05T00:00:00"/>
    <n v="3"/>
    <x v="2"/>
    <x v="5"/>
    <x v="10"/>
    <x v="5"/>
    <x v="4"/>
    <x v="3"/>
    <s v="Monitors"/>
    <s v="MON-2828"/>
    <n v="1473.58"/>
    <n v="3436.52"/>
    <n v="3436.52"/>
    <n v="0.108"/>
    <n v="0.108"/>
    <n v="8"/>
  </r>
  <r>
    <s v="ORD-2025-698069"/>
    <d v="2025-06-03T00:00:00"/>
    <d v="2025-06-10T00:00:00"/>
    <d v="2025-06-10T00:00:00"/>
    <n v="7"/>
    <x v="2"/>
    <x v="3"/>
    <x v="5"/>
    <x v="3"/>
    <x v="3"/>
    <x v="7"/>
    <s v="Printers"/>
    <s v="PRN-6429"/>
    <n v="75.180000000000007"/>
    <n v="53.45"/>
    <n v="53.45"/>
    <n v="0.157"/>
    <n v="0.157"/>
    <n v="17"/>
  </r>
  <r>
    <s v="ORD-2024-474999"/>
    <d v="2024-12-27T00:00:00"/>
    <d v="2025-01-02T00:00:00"/>
    <d v="2025-01-02T00:00:00"/>
    <n v="6"/>
    <x v="3"/>
    <x v="6"/>
    <x v="36"/>
    <x v="1"/>
    <x v="4"/>
    <x v="9"/>
    <s v="Laptops"/>
    <s v="LAP-8214"/>
    <n v="1391.99"/>
    <n v="3469.7"/>
    <n v="3469.7"/>
    <n v="0.184"/>
    <n v="0.184"/>
    <n v="23"/>
  </r>
  <r>
    <s v="ORD-2023-427304"/>
    <d v="2023-06-09T00:00:00"/>
    <d v="2023-06-19T00:00:00"/>
    <d v="2023-06-19T00:00:00"/>
    <n v="10"/>
    <x v="1"/>
    <x v="9"/>
    <x v="37"/>
    <x v="5"/>
    <x v="0"/>
    <x v="9"/>
    <s v="Monitors"/>
    <s v="MON-9194"/>
    <n v="339.61"/>
    <n v="621.02"/>
    <n v="621.02"/>
    <n v="7.0999999999999994E-2"/>
    <n v="7.0999999999999994E-2"/>
    <n v="10"/>
  </r>
  <r>
    <s v="ORD-2025-956101"/>
    <d v="2025-07-09T00:00:00"/>
    <d v="2025-07-18T00:00:00"/>
    <d v="2025-07-18T00:00:00"/>
    <n v="9"/>
    <x v="2"/>
    <x v="3"/>
    <x v="26"/>
    <x v="1"/>
    <x v="3"/>
    <x v="2"/>
    <s v="Laptops"/>
    <s v="LAP-2218"/>
    <n v="57.96"/>
    <n v="88.51"/>
    <n v="88.51"/>
    <n v="4.2999999999999997E-2"/>
    <n v="4.2999999999999997E-2"/>
    <n v="7"/>
  </r>
  <r>
    <s v="ORD-2025-184082"/>
    <d v="2025-06-19T00:00:00"/>
    <d v="2025-07-12T00:00:00"/>
    <d v="2025-07-12T00:00:00"/>
    <n v="23"/>
    <x v="3"/>
    <x v="8"/>
    <x v="21"/>
    <x v="2"/>
    <x v="4"/>
    <x v="14"/>
    <s v="Networking"/>
    <s v="NET-6370"/>
    <n v="801.24"/>
    <n v="1959.09"/>
    <n v="1959.09"/>
    <n v="0.123"/>
    <n v="0.123"/>
    <n v="23"/>
  </r>
  <r>
    <s v="ORD-2023-576840"/>
    <d v="2023-11-19T00:00:00"/>
    <d v="2023-12-13T00:00:00"/>
    <d v="2023-12-13T00:00:00"/>
    <n v="24"/>
    <x v="3"/>
    <x v="7"/>
    <x v="17"/>
    <x v="2"/>
    <x v="4"/>
    <x v="10"/>
    <s v="Monitors"/>
    <s v="MON-3745"/>
    <n v="1297.42"/>
    <n v="2742.97"/>
    <n v="2742.97"/>
    <n v="6.9000000000000006E-2"/>
    <n v="6.9000000000000006E-2"/>
    <n v="9"/>
  </r>
  <r>
    <s v="ORD-2023-178249"/>
    <d v="2023-12-29T00:00:00"/>
    <d v="2024-01-20T00:00:00"/>
    <d v="2024-01-20T00:00:00"/>
    <n v="22"/>
    <x v="0"/>
    <x v="0"/>
    <x v="0"/>
    <x v="0"/>
    <x v="4"/>
    <x v="4"/>
    <s v="Phones"/>
    <s v="PHN-7924"/>
    <n v="1395.49"/>
    <n v="1679.42"/>
    <n v="1679.42"/>
    <n v="0.20300000000000001"/>
    <n v="0.20300000000000001"/>
    <n v="12"/>
  </r>
  <r>
    <s v="ORD-2024-588972"/>
    <d v="2024-11-02T00:00:00"/>
    <d v="2024-11-29T00:00:00"/>
    <d v="2024-11-29T00:00:00"/>
    <n v="27"/>
    <x v="2"/>
    <x v="5"/>
    <x v="10"/>
    <x v="4"/>
    <x v="4"/>
    <x v="2"/>
    <s v="Networking"/>
    <s v="NET-8561"/>
    <n v="1363.51"/>
    <n v="1433.9"/>
    <n v="1433.9"/>
    <n v="5.7000000000000002E-2"/>
    <n v="5.7000000000000002E-2"/>
    <n v="8"/>
  </r>
  <r>
    <s v="ORD-2023-603238"/>
    <d v="2023-08-21T00:00:00"/>
    <d v="2023-09-04T00:00:00"/>
    <d v="2023-09-04T00:00:00"/>
    <n v="14"/>
    <x v="2"/>
    <x v="3"/>
    <x v="19"/>
    <x v="1"/>
    <x v="3"/>
    <x v="9"/>
    <s v="Components"/>
    <s v="CMP-2136"/>
    <n v="178.19"/>
    <n v="284.43"/>
    <n v="284.43"/>
    <n v="8.8999999999999996E-2"/>
    <n v="8.8999999999999996E-2"/>
    <n v="8"/>
  </r>
  <r>
    <s v="ORD-2023-883066"/>
    <d v="2023-08-12T00:00:00"/>
    <d v="2023-09-06T00:00:00"/>
    <d v="2023-09-06T00:00:00"/>
    <n v="25"/>
    <x v="1"/>
    <x v="9"/>
    <x v="23"/>
    <x v="4"/>
    <x v="0"/>
    <x v="5"/>
    <s v="Components"/>
    <s v="CMP-6352"/>
    <n v="950.77"/>
    <n v="694.78"/>
    <n v="694.78"/>
    <n v="8.4000000000000005E-2"/>
    <n v="8.4000000000000005E-2"/>
    <n v="14"/>
  </r>
  <r>
    <s v="ORD-2024-584090"/>
    <d v="2024-06-07T00:00:00"/>
    <d v="2024-06-26T00:00:00"/>
    <d v="2024-06-26T00:00:00"/>
    <n v="19"/>
    <x v="3"/>
    <x v="6"/>
    <x v="9"/>
    <x v="2"/>
    <x v="2"/>
    <x v="12"/>
    <s v="Components"/>
    <s v="CMP-2040"/>
    <n v="1064.32"/>
    <n v="1848.39"/>
    <n v="1848.39"/>
    <n v="7.2999999999999995E-2"/>
    <n v="7.2999999999999995E-2"/>
    <n v="38"/>
  </r>
  <r>
    <s v="ORD-2025-537785"/>
    <d v="2025-08-05T00:00:00"/>
    <d v="2025-08-14T00:00:00"/>
    <d v="2025-08-14T00:00:00"/>
    <n v="9"/>
    <x v="3"/>
    <x v="8"/>
    <x v="21"/>
    <x v="2"/>
    <x v="4"/>
    <x v="6"/>
    <s v="Components"/>
    <s v="CMP-6346"/>
    <n v="41.76"/>
    <n v="45.19"/>
    <n v="45.19"/>
    <n v="0.17899999999999999"/>
    <n v="0.17899999999999999"/>
    <n v="23"/>
  </r>
  <r>
    <s v="ORD-2024-605518"/>
    <d v="2024-05-30T00:00:00"/>
    <d v="2024-06-13T00:00:00"/>
    <d v="2024-06-13T00:00:00"/>
    <n v="14"/>
    <x v="2"/>
    <x v="10"/>
    <x v="24"/>
    <x v="4"/>
    <x v="0"/>
    <x v="9"/>
    <s v="Phones"/>
    <s v="PHN-4356"/>
    <n v="157.78"/>
    <n v="361.1"/>
    <n v="361.1"/>
    <n v="0.187"/>
    <n v="0.187"/>
    <n v="9"/>
  </r>
  <r>
    <s v="ORD-2023-521818"/>
    <d v="2023-01-22T00:00:00"/>
    <d v="2023-01-30T00:00:00"/>
    <d v="2023-01-30T00:00:00"/>
    <n v="8"/>
    <x v="2"/>
    <x v="10"/>
    <x v="24"/>
    <x v="4"/>
    <x v="1"/>
    <x v="8"/>
    <s v="Networking"/>
    <s v="NET-4155"/>
    <n v="413.52"/>
    <n v="1004.34"/>
    <n v="1004.34"/>
    <n v="0.111"/>
    <n v="0.111"/>
    <n v="18"/>
  </r>
  <r>
    <s v="ORD-2025-650719"/>
    <d v="2025-02-12T00:00:00"/>
    <d v="2025-02-28T00:00:00"/>
    <d v="2025-02-28T00:00:00"/>
    <n v="16"/>
    <x v="2"/>
    <x v="5"/>
    <x v="8"/>
    <x v="2"/>
    <x v="4"/>
    <x v="5"/>
    <s v="Monitors"/>
    <s v="MON-5179"/>
    <n v="414.95"/>
    <n v="1027.73"/>
    <n v="1027.73"/>
    <n v="6.3E-2"/>
    <n v="6.3E-2"/>
    <n v="8"/>
  </r>
  <r>
    <s v="ORD-2025-501927"/>
    <d v="2025-03-03T00:00:00"/>
    <d v="2025-03-24T00:00:00"/>
    <d v="2025-03-24T00:00:00"/>
    <n v="21"/>
    <x v="0"/>
    <x v="1"/>
    <x v="7"/>
    <x v="5"/>
    <x v="4"/>
    <x v="10"/>
    <s v="Accessories"/>
    <s v="ACC-4056"/>
    <n v="555.95000000000005"/>
    <n v="468.09"/>
    <n v="468.09"/>
    <n v="0.14199999999999999"/>
    <n v="0.14199999999999999"/>
    <n v="11"/>
  </r>
  <r>
    <s v="ORD-2023-430904"/>
    <d v="2023-01-27T00:00:00"/>
    <d v="2023-01-31T00:00:00"/>
    <d v="2023-01-31T00:00:00"/>
    <n v="4"/>
    <x v="3"/>
    <x v="8"/>
    <x v="31"/>
    <x v="5"/>
    <x v="1"/>
    <x v="13"/>
    <s v="Laptops"/>
    <s v="LAP-9782"/>
    <n v="941.2"/>
    <n v="668.02"/>
    <n v="668.02"/>
    <n v="0.22"/>
    <n v="0.22"/>
    <n v="16"/>
  </r>
  <r>
    <s v="ORD-2025-354346"/>
    <d v="2025-01-09T00:00:00"/>
    <d v="2025-01-15T00:00:00"/>
    <d v="2025-01-15T00:00:00"/>
    <n v="6"/>
    <x v="1"/>
    <x v="9"/>
    <x v="37"/>
    <x v="1"/>
    <x v="1"/>
    <x v="0"/>
    <s v="Phones"/>
    <s v="PHN-2875"/>
    <n v="304.77999999999997"/>
    <n v="537.27"/>
    <n v="537.27"/>
    <n v="0.187"/>
    <n v="0.187"/>
    <n v="8"/>
  </r>
  <r>
    <s v="ORD-2024-164288"/>
    <d v="2024-12-21T00:00:00"/>
    <d v="2024-12-26T00:00:00"/>
    <d v="2024-12-26T00:00:00"/>
    <n v="5"/>
    <x v="2"/>
    <x v="10"/>
    <x v="24"/>
    <x v="3"/>
    <x v="2"/>
    <x v="12"/>
    <s v="Printers"/>
    <s v="PRN-4788"/>
    <n v="699.57"/>
    <n v="572.71"/>
    <n v="572.71"/>
    <n v="0.192"/>
    <n v="0.192"/>
    <n v="26"/>
  </r>
  <r>
    <s v="ORD-2023-867285"/>
    <d v="2023-04-12T00:00:00"/>
    <d v="2023-04-17T00:00:00"/>
    <d v="2023-04-17T00:00:00"/>
    <n v="5"/>
    <x v="3"/>
    <x v="7"/>
    <x v="17"/>
    <x v="5"/>
    <x v="4"/>
    <x v="6"/>
    <s v="Monitors"/>
    <s v="MON-3043"/>
    <n v="1087.81"/>
    <n v="2323.87"/>
    <n v="2323.87"/>
    <n v="9.4E-2"/>
    <n v="9.4E-2"/>
    <n v="13"/>
  </r>
  <r>
    <s v="ORD-2024-836421"/>
    <d v="2024-12-14T00:00:00"/>
    <d v="2025-01-12T00:00:00"/>
    <d v="2025-01-12T00:00:00"/>
    <n v="29"/>
    <x v="1"/>
    <x v="9"/>
    <x v="14"/>
    <x v="1"/>
    <x v="1"/>
    <x v="1"/>
    <s v="Components"/>
    <s v="CMP-3720"/>
    <n v="1412.15"/>
    <n v="1631.04"/>
    <n v="1631.04"/>
    <n v="8.9999999999999993E-3"/>
    <n v="8.9999999999999993E-3"/>
    <n v="6"/>
  </r>
  <r>
    <s v="ORD-2023-613287"/>
    <d v="2023-03-31T00:00:00"/>
    <d v="2023-04-12T00:00:00"/>
    <d v="2023-04-12T00:00:00"/>
    <n v="12"/>
    <x v="0"/>
    <x v="0"/>
    <x v="13"/>
    <x v="4"/>
    <x v="1"/>
    <x v="0"/>
    <s v="Phones"/>
    <s v="PHN-8014"/>
    <n v="304.22000000000003"/>
    <n v="393.31"/>
    <n v="393.31"/>
    <n v="0.26500000000000001"/>
    <n v="0.26500000000000001"/>
    <n v="15"/>
  </r>
  <r>
    <s v="ORD-2024-783321"/>
    <d v="2024-11-20T00:00:00"/>
    <d v="2024-12-15T00:00:00"/>
    <d v="2024-12-15T00:00:00"/>
    <n v="25"/>
    <x v="3"/>
    <x v="7"/>
    <x v="28"/>
    <x v="0"/>
    <x v="1"/>
    <x v="3"/>
    <s v="Printers"/>
    <s v="PRN-4911"/>
    <n v="1203.58"/>
    <n v="1856.16"/>
    <n v="1856.16"/>
    <n v="0.129"/>
    <n v="0.129"/>
    <n v="22"/>
  </r>
  <r>
    <s v="ORD-2024-232632"/>
    <d v="2024-02-14T00:00:00"/>
    <d v="2024-02-14T00:00:00"/>
    <d v="2024-02-14T00:00:00"/>
    <n v="0"/>
    <x v="1"/>
    <x v="9"/>
    <x v="37"/>
    <x v="0"/>
    <x v="3"/>
    <x v="4"/>
    <s v="Accessories"/>
    <s v="ACC-1021"/>
    <n v="65.930000000000007"/>
    <n v="84.9"/>
    <n v="84.9"/>
    <n v="0.25900000000000001"/>
    <n v="0.25900000000000001"/>
    <n v="23"/>
  </r>
  <r>
    <s v="ORD-2023-906481"/>
    <d v="2023-05-02T00:00:00"/>
    <d v="2023-05-18T00:00:00"/>
    <d v="2023-05-18T00:00:00"/>
    <n v="16"/>
    <x v="1"/>
    <x v="4"/>
    <x v="18"/>
    <x v="4"/>
    <x v="2"/>
    <x v="11"/>
    <s v="Monitors"/>
    <s v="MON-2266"/>
    <n v="1463.92"/>
    <n v="2252.2399999999998"/>
    <n v="2252.2399999999998"/>
    <n v="0.11799999999999999"/>
    <n v="0.11799999999999999"/>
    <n v="44"/>
  </r>
  <r>
    <s v="ORD-2024-902741"/>
    <d v="2024-12-23T00:00:00"/>
    <d v="2025-01-11T00:00:00"/>
    <d v="2025-01-11T00:00:00"/>
    <n v="19"/>
    <x v="3"/>
    <x v="6"/>
    <x v="9"/>
    <x v="1"/>
    <x v="0"/>
    <x v="11"/>
    <s v="Phones"/>
    <s v="PHN-8057"/>
    <n v="501.81"/>
    <n v="921.62"/>
    <n v="921.62"/>
    <n v="0.01"/>
    <n v="0.01"/>
    <n v="9"/>
  </r>
  <r>
    <s v="ORD-2023-912395"/>
    <d v="2023-07-26T00:00:00"/>
    <d v="2023-08-25T00:00:00"/>
    <d v="2023-08-25T00:00:00"/>
    <n v="30"/>
    <x v="2"/>
    <x v="10"/>
    <x v="38"/>
    <x v="3"/>
    <x v="0"/>
    <x v="12"/>
    <s v="Accessories"/>
    <s v="ACC-7078"/>
    <n v="1261.48"/>
    <n v="1643.18"/>
    <n v="1643.18"/>
    <n v="0.151"/>
    <n v="0.151"/>
    <n v="23"/>
  </r>
  <r>
    <s v="ORD-2024-389102"/>
    <d v="2024-06-15T00:00:00"/>
    <d v="2024-07-06T00:00:00"/>
    <d v="2024-07-06T00:00:00"/>
    <n v="21"/>
    <x v="2"/>
    <x v="3"/>
    <x v="5"/>
    <x v="5"/>
    <x v="3"/>
    <x v="4"/>
    <s v="Printers"/>
    <s v="PRN-4453"/>
    <n v="817.23"/>
    <n v="1467.17"/>
    <n v="1467.17"/>
    <n v="0.245"/>
    <n v="0.245"/>
    <n v="9"/>
  </r>
  <r>
    <s v="ORD-2023-309373"/>
    <d v="2023-07-05T00:00:00"/>
    <d v="2023-07-14T00:00:00"/>
    <d v="2023-07-14T00:00:00"/>
    <n v="9"/>
    <x v="2"/>
    <x v="5"/>
    <x v="10"/>
    <x v="5"/>
    <x v="4"/>
    <x v="5"/>
    <s v="Networking"/>
    <s v="NET-2394"/>
    <n v="578.85"/>
    <n v="998.76"/>
    <n v="998.76"/>
    <n v="8.2000000000000003E-2"/>
    <n v="8.2000000000000003E-2"/>
    <n v="28"/>
  </r>
  <r>
    <s v="ORD-2023-825495"/>
    <d v="2023-11-30T00:00:00"/>
    <d v="2023-11-29T00:00:00"/>
    <d v="2023-11-29T00:00:00"/>
    <n v="-1"/>
    <x v="0"/>
    <x v="11"/>
    <x v="25"/>
    <x v="4"/>
    <x v="2"/>
    <x v="6"/>
    <s v="Laptops"/>
    <s v="LAP-1525"/>
    <n v="275.56"/>
    <n v="630.72"/>
    <n v="630.72"/>
    <n v="0.107"/>
    <n v="0.107"/>
    <n v="23"/>
  </r>
  <r>
    <s v="ORD-2025-244832"/>
    <d v="2025-09-11T00:00:00"/>
    <d v="2025-09-28T00:00:00"/>
    <d v="2025-09-28T00:00:00"/>
    <n v="17"/>
    <x v="0"/>
    <x v="0"/>
    <x v="2"/>
    <x v="2"/>
    <x v="3"/>
    <x v="1"/>
    <s v="Laptops"/>
    <s v="LAP-3278"/>
    <n v="891.46"/>
    <n v="728.61"/>
    <n v="728.61"/>
    <n v="0.185"/>
    <n v="0.185"/>
    <n v="6"/>
  </r>
  <r>
    <s v="ORD-2024-211453"/>
    <d v="2024-04-04T00:00:00"/>
    <d v="2024-04-24T00:00:00"/>
    <d v="2024-04-24T00:00:00"/>
    <n v="20"/>
    <x v="3"/>
    <x v="6"/>
    <x v="36"/>
    <x v="2"/>
    <x v="4"/>
    <x v="7"/>
    <s v="Accessories"/>
    <s v="ACC-6543"/>
    <n v="683.42"/>
    <n v="951.51"/>
    <n v="951.51"/>
    <n v="0"/>
    <n v="0"/>
    <n v="14"/>
  </r>
  <r>
    <s v="ORD-2023-192324"/>
    <d v="2023-09-14T00:00:00"/>
    <d v="2023-09-16T00:00:00"/>
    <d v="2023-09-16T00:00:00"/>
    <n v="2"/>
    <x v="3"/>
    <x v="7"/>
    <x v="17"/>
    <x v="2"/>
    <x v="4"/>
    <x v="5"/>
    <s v="Printers"/>
    <s v="PRN-4432"/>
    <n v="376.83"/>
    <n v="732.88"/>
    <n v="732.88"/>
    <n v="0.188"/>
    <n v="0.188"/>
    <n v="25"/>
  </r>
  <r>
    <s v="ORD-2024-438404"/>
    <d v="2024-09-23T00:00:00"/>
    <d v="2024-10-18T00:00:00"/>
    <d v="2024-10-18T00:00:00"/>
    <n v="25"/>
    <x v="2"/>
    <x v="3"/>
    <x v="26"/>
    <x v="4"/>
    <x v="1"/>
    <x v="13"/>
    <s v="Phones"/>
    <s v="PHN-4568"/>
    <n v="1297"/>
    <n v="2411.52"/>
    <n v="2411.52"/>
    <n v="2.1000000000000001E-2"/>
    <n v="2.1000000000000001E-2"/>
    <n v="18"/>
  </r>
  <r>
    <s v="ORD-2025-246470"/>
    <d v="2025-04-16T00:00:00"/>
    <d v="2025-05-16T00:00:00"/>
    <d v="2025-05-16T00:00:00"/>
    <n v="30"/>
    <x v="2"/>
    <x v="3"/>
    <x v="19"/>
    <x v="5"/>
    <x v="3"/>
    <x v="11"/>
    <s v="Printers"/>
    <s v="PRN-6178"/>
    <n v="763.32"/>
    <n v="568.29"/>
    <n v="568.29"/>
    <n v="0.13100000000000001"/>
    <n v="0.13100000000000001"/>
    <n v="16"/>
  </r>
  <r>
    <s v="ORD-2023-497686"/>
    <d v="2023-07-03T00:00:00"/>
    <d v="2023-07-23T00:00:00"/>
    <d v="2023-07-23T00:00:00"/>
    <n v="20"/>
    <x v="0"/>
    <x v="11"/>
    <x v="20"/>
    <x v="4"/>
    <x v="3"/>
    <x v="9"/>
    <s v="Laptops"/>
    <s v="LAP-6342"/>
    <n v="1001.96"/>
    <n v="1254.95"/>
    <n v="1254.95"/>
    <n v="4.4999999999999998E-2"/>
    <n v="4.4999999999999998E-2"/>
    <n v="18"/>
  </r>
  <r>
    <s v="ORD-2023-596758"/>
    <d v="2023-12-07T00:00:00"/>
    <d v="2023-12-05T00:00:00"/>
    <d v="2023-12-05T00:00:00"/>
    <n v="-2"/>
    <x v="1"/>
    <x v="2"/>
    <x v="27"/>
    <x v="2"/>
    <x v="2"/>
    <x v="10"/>
    <s v="Printers"/>
    <s v="PRN-8175"/>
    <n v="1097.5899999999999"/>
    <n v="845.55"/>
    <n v="845.55"/>
    <n v="0.184"/>
    <n v="0.184"/>
    <n v="6"/>
  </r>
  <r>
    <s v="ORD-2024-201376"/>
    <d v="2024-02-18T00:00:00"/>
    <d v="2024-03-04T00:00:00"/>
    <d v="2024-03-04T00:00:00"/>
    <n v="15"/>
    <x v="0"/>
    <x v="0"/>
    <x v="0"/>
    <x v="1"/>
    <x v="4"/>
    <x v="11"/>
    <s v="Printers"/>
    <s v="PRN-7089"/>
    <n v="928.68"/>
    <n v="2145.17"/>
    <n v="2145.17"/>
    <n v="0.13600000000000001"/>
    <n v="0.13600000000000001"/>
    <n v="16"/>
  </r>
  <r>
    <s v="ORD-2023-842488"/>
    <d v="2023-10-31T00:00:00"/>
    <d v="2023-11-02T00:00:00"/>
    <d v="2023-11-02T00:00:00"/>
    <n v="2"/>
    <x v="0"/>
    <x v="0"/>
    <x v="0"/>
    <x v="1"/>
    <x v="0"/>
    <x v="7"/>
    <s v="Accessories"/>
    <s v="ACC-4124"/>
    <n v="867.89"/>
    <n v="1349.94"/>
    <n v="1349.94"/>
    <n v="0.184"/>
    <n v="0.184"/>
    <n v="10"/>
  </r>
  <r>
    <s v="ORD-2024-136321"/>
    <d v="2024-08-07T00:00:00"/>
    <d v="2024-08-17T00:00:00"/>
    <d v="2024-08-17T00:00:00"/>
    <n v="10"/>
    <x v="1"/>
    <x v="2"/>
    <x v="4"/>
    <x v="3"/>
    <x v="1"/>
    <x v="11"/>
    <s v="Networking"/>
    <s v="NET-7924"/>
    <n v="436.58"/>
    <n v="527.48"/>
    <n v="527.48"/>
    <n v="0.111"/>
    <n v="0.111"/>
    <n v="19"/>
  </r>
  <r>
    <s v="ORD-2024-764468"/>
    <d v="2024-02-01T00:00:00"/>
    <d v="2024-02-21T00:00:00"/>
    <d v="2024-02-21T00:00:00"/>
    <n v="20"/>
    <x v="3"/>
    <x v="7"/>
    <x v="28"/>
    <x v="4"/>
    <x v="2"/>
    <x v="8"/>
    <s v="Networking"/>
    <s v="NET-8761"/>
    <n v="656.2"/>
    <n v="1467.17"/>
    <n v="1467.17"/>
    <n v="1.7999999999999999E-2"/>
    <n v="1.7999999999999999E-2"/>
    <n v="5"/>
  </r>
  <r>
    <s v="ORD-2024-553449"/>
    <d v="2024-08-27T00:00:00"/>
    <d v="2024-09-18T00:00:00"/>
    <d v="2024-09-18T00:00:00"/>
    <n v="22"/>
    <x v="1"/>
    <x v="4"/>
    <x v="18"/>
    <x v="3"/>
    <x v="4"/>
    <x v="5"/>
    <s v="Components"/>
    <s v="CMP-3875"/>
    <n v="896.75"/>
    <n v="1651.14"/>
    <n v="1651.14"/>
    <n v="2.5000000000000001E-2"/>
    <n v="2.5000000000000001E-2"/>
    <n v="15"/>
  </r>
  <r>
    <s v="ORD-2025-766923"/>
    <d v="2025-02-15T00:00:00"/>
    <d v="2025-02-15T00:00:00"/>
    <d v="2025-02-15T00:00:00"/>
    <n v="0"/>
    <x v="3"/>
    <x v="6"/>
    <x v="36"/>
    <x v="4"/>
    <x v="2"/>
    <x v="4"/>
    <s v="Accessories"/>
    <s v="ACC-3989"/>
    <n v="815.83"/>
    <n v="1982.18"/>
    <n v="1982.18"/>
    <n v="0.127"/>
    <n v="0.127"/>
    <n v="6"/>
  </r>
  <r>
    <s v="ORD-2025-418232"/>
    <d v="2025-08-01T00:00:00"/>
    <d v="2025-08-21T00:00:00"/>
    <d v="2025-08-21T00:00:00"/>
    <n v="20"/>
    <x v="1"/>
    <x v="9"/>
    <x v="23"/>
    <x v="0"/>
    <x v="4"/>
    <x v="2"/>
    <s v="Phones"/>
    <s v="PHN-9234"/>
    <n v="1220.4100000000001"/>
    <n v="2552.2199999999998"/>
    <n v="2552.2199999999998"/>
    <n v="0.18099999999999999"/>
    <n v="0.18099999999999999"/>
    <n v="14"/>
  </r>
  <r>
    <s v="ORD-2023-848013"/>
    <d v="2023-02-20T00:00:00"/>
    <d v="2023-03-04T00:00:00"/>
    <d v="2023-03-04T00:00:00"/>
    <n v="12"/>
    <x v="1"/>
    <x v="4"/>
    <x v="18"/>
    <x v="3"/>
    <x v="3"/>
    <x v="12"/>
    <s v="Monitors"/>
    <s v="MON-9906"/>
    <n v="299.75"/>
    <n v="523.01"/>
    <n v="523.01"/>
    <n v="0.157"/>
    <n v="0.157"/>
    <n v="50"/>
  </r>
  <r>
    <s v="ORD-2024-357368"/>
    <d v="2024-10-30T00:00:00"/>
    <d v="2024-11-24T00:00:00"/>
    <d v="2024-11-24T00:00:00"/>
    <n v="25"/>
    <x v="1"/>
    <x v="9"/>
    <x v="14"/>
    <x v="4"/>
    <x v="1"/>
    <x v="6"/>
    <s v="Components"/>
    <s v="CMP-4610"/>
    <n v="811.05"/>
    <n v="1217.71"/>
    <n v="1217.71"/>
    <n v="7.1999999999999995E-2"/>
    <n v="7.1999999999999995E-2"/>
    <n v="5"/>
  </r>
  <r>
    <s v="ORD-2024-219735"/>
    <d v="2024-04-03T00:00:00"/>
    <d v="2024-04-07T00:00:00"/>
    <d v="2024-04-07T00:00:00"/>
    <n v="4"/>
    <x v="2"/>
    <x v="5"/>
    <x v="10"/>
    <x v="2"/>
    <x v="4"/>
    <x v="13"/>
    <s v="Phones"/>
    <s v="PHN-5445"/>
    <n v="1023.27"/>
    <n v="1343.64"/>
    <n v="1343.64"/>
    <n v="0.13300000000000001"/>
    <n v="0.13300000000000001"/>
    <n v="7"/>
  </r>
  <r>
    <s v="ORD-2023-240507"/>
    <d v="2023-03-25T00:00:00"/>
    <d v="2023-03-26T00:00:00"/>
    <d v="2023-03-26T00:00:00"/>
    <n v="1"/>
    <x v="1"/>
    <x v="2"/>
    <x v="4"/>
    <x v="4"/>
    <x v="3"/>
    <x v="2"/>
    <s v="Monitors"/>
    <s v="MON-9227"/>
    <n v="135.12"/>
    <n v="301.7"/>
    <n v="301.7"/>
    <n v="0.14000000000000001"/>
    <n v="0.14000000000000001"/>
    <n v="47"/>
  </r>
  <r>
    <s v="ORD-2024-134084"/>
    <d v="2024-06-04T00:00:00"/>
    <d v="2024-06-16T00:00:00"/>
    <d v="2024-06-16T00:00:00"/>
    <n v="12"/>
    <x v="1"/>
    <x v="9"/>
    <x v="23"/>
    <x v="0"/>
    <x v="0"/>
    <x v="1"/>
    <s v="Printers"/>
    <s v="PRN-4097"/>
    <n v="918.42"/>
    <n v="1511.71"/>
    <n v="1511.71"/>
    <n v="0.02"/>
    <n v="0.02"/>
    <n v="8"/>
  </r>
  <r>
    <s v="ORD-2023-884625"/>
    <d v="2023-02-19T00:00:00"/>
    <d v="2023-03-12T00:00:00"/>
    <d v="2023-03-12T00:00:00"/>
    <n v="21"/>
    <x v="3"/>
    <x v="6"/>
    <x v="9"/>
    <x v="4"/>
    <x v="4"/>
    <x v="4"/>
    <s v="Monitors"/>
    <s v="MON-6699"/>
    <n v="1234.81"/>
    <n v="2055.2399999999998"/>
    <n v="2055.2399999999998"/>
    <n v="5.2999999999999999E-2"/>
    <n v="5.2999999999999999E-2"/>
    <n v="44"/>
  </r>
  <r>
    <s v="ORD-2023-157993"/>
    <d v="2023-04-18T00:00:00"/>
    <d v="2023-05-18T00:00:00"/>
    <d v="2023-05-18T00:00:00"/>
    <n v="30"/>
    <x v="1"/>
    <x v="9"/>
    <x v="14"/>
    <x v="2"/>
    <x v="0"/>
    <x v="10"/>
    <s v="Laptops"/>
    <s v="LAP-1482"/>
    <n v="329.03"/>
    <n v="391.15"/>
    <n v="391.15"/>
    <n v="0.19700000000000001"/>
    <n v="0.19700000000000001"/>
    <n v="46"/>
  </r>
  <r>
    <s v="ORD-2024-329104"/>
    <d v="2024-05-23T00:00:00"/>
    <d v="2024-06-14T00:00:00"/>
    <d v="2024-06-14T00:00:00"/>
    <n v="22"/>
    <x v="3"/>
    <x v="7"/>
    <x v="11"/>
    <x v="4"/>
    <x v="1"/>
    <x v="13"/>
    <s v="Monitors"/>
    <s v="MON-2100"/>
    <n v="1481.74"/>
    <n v="1848.97"/>
    <n v="1848.97"/>
    <n v="0.254"/>
    <n v="0.254"/>
    <n v="9"/>
  </r>
  <r>
    <s v="ORD-2023-304451"/>
    <d v="2023-10-07T00:00:00"/>
    <d v="2023-10-23T00:00:00"/>
    <d v="2023-10-23T00:00:00"/>
    <n v="16"/>
    <x v="1"/>
    <x v="4"/>
    <x v="34"/>
    <x v="3"/>
    <x v="0"/>
    <x v="3"/>
    <s v="Monitors"/>
    <s v="MON-7602"/>
    <n v="906.81"/>
    <n v="1395.56"/>
    <n v="1395.56"/>
    <n v="0.185"/>
    <n v="0.185"/>
    <n v="6"/>
  </r>
  <r>
    <s v="ORD-2024-942981"/>
    <d v="2024-10-09T00:00:00"/>
    <d v="2024-11-08T00:00:00"/>
    <d v="2024-11-08T00:00:00"/>
    <n v="30"/>
    <x v="3"/>
    <x v="8"/>
    <x v="31"/>
    <x v="4"/>
    <x v="3"/>
    <x v="1"/>
    <s v="Components"/>
    <s v="CMP-1072"/>
    <n v="343.85"/>
    <n v="538.04"/>
    <n v="538.04"/>
    <n v="0.13900000000000001"/>
    <n v="0.13900000000000001"/>
    <n v="5"/>
  </r>
  <r>
    <s v="ORD-2024-605629"/>
    <d v="2024-07-15T00:00:00"/>
    <d v="2024-07-15T00:00:00"/>
    <d v="2024-07-15T00:00:00"/>
    <n v="0"/>
    <x v="1"/>
    <x v="2"/>
    <x v="27"/>
    <x v="4"/>
    <x v="2"/>
    <x v="3"/>
    <s v="Accessories"/>
    <s v="ACC-2735"/>
    <n v="801.77"/>
    <n v="1218.92"/>
    <n v="1218.92"/>
    <n v="0.254"/>
    <n v="0.254"/>
    <n v="16"/>
  </r>
  <r>
    <s v="ORD-2023-450877"/>
    <d v="2023-09-21T00:00:00"/>
    <d v="2023-10-10T00:00:00"/>
    <d v="2023-10-10T00:00:00"/>
    <n v="19"/>
    <x v="1"/>
    <x v="2"/>
    <x v="27"/>
    <x v="1"/>
    <x v="1"/>
    <x v="14"/>
    <s v="Components"/>
    <s v="CMP-5211"/>
    <n v="845.63"/>
    <n v="2062.12"/>
    <n v="2062.12"/>
    <n v="0.13400000000000001"/>
    <n v="0.13400000000000001"/>
    <n v="5"/>
  </r>
  <r>
    <s v="ORD-2023-286994"/>
    <d v="2023-02-24T00:00:00"/>
    <d v="2023-03-09T00:00:00"/>
    <d v="2023-03-09T00:00:00"/>
    <n v="13"/>
    <x v="2"/>
    <x v="10"/>
    <x v="38"/>
    <x v="5"/>
    <x v="1"/>
    <x v="12"/>
    <s v="Components"/>
    <s v="CMP-1632"/>
    <n v="6.85"/>
    <n v="10.18"/>
    <n v="10.18"/>
    <n v="4.7E-2"/>
    <n v="4.7E-2"/>
    <n v="10"/>
  </r>
  <r>
    <s v="ORD-2025-700847"/>
    <d v="2025-05-21T00:00:00"/>
    <d v="2025-05-19T00:00:00"/>
    <d v="2025-05-19T00:00:00"/>
    <n v="-2"/>
    <x v="0"/>
    <x v="11"/>
    <x v="20"/>
    <x v="2"/>
    <x v="3"/>
    <x v="7"/>
    <s v="Laptops"/>
    <s v="LAP-7099"/>
    <n v="1263.8399999999999"/>
    <n v="2281.7199999999998"/>
    <n v="2281.7199999999998"/>
    <n v="7.8E-2"/>
    <n v="7.8E-2"/>
    <n v="15"/>
  </r>
  <r>
    <s v="ORD-2024-970848"/>
    <d v="2024-05-23T00:00:00"/>
    <d v="2024-06-03T00:00:00"/>
    <d v="2024-06-03T00:00:00"/>
    <n v="11"/>
    <x v="0"/>
    <x v="11"/>
    <x v="20"/>
    <x v="4"/>
    <x v="3"/>
    <x v="9"/>
    <s v="Printers"/>
    <s v="PRN-3785"/>
    <n v="180.89"/>
    <n v="249.57"/>
    <n v="249.57"/>
    <n v="2.1999999999999999E-2"/>
    <n v="2.1999999999999999E-2"/>
    <n v="8"/>
  </r>
  <r>
    <s v="ORD-2025-845715"/>
    <d v="2025-04-14T00:00:00"/>
    <d v="2025-05-04T00:00:00"/>
    <d v="2025-05-04T00:00:00"/>
    <n v="20"/>
    <x v="3"/>
    <x v="8"/>
    <x v="12"/>
    <x v="5"/>
    <x v="2"/>
    <x v="11"/>
    <s v="Monitors"/>
    <s v="MON-6962"/>
    <n v="1413.87"/>
    <n v="3275"/>
    <n v="3275"/>
    <n v="0.255"/>
    <n v="0.255"/>
    <n v="38"/>
  </r>
  <r>
    <s v="ORD-2023-664749"/>
    <d v="2023-08-27T00:00:00"/>
    <d v="2023-09-11T00:00:00"/>
    <d v="2023-09-11T00:00:00"/>
    <n v="15"/>
    <x v="3"/>
    <x v="8"/>
    <x v="21"/>
    <x v="3"/>
    <x v="2"/>
    <x v="13"/>
    <s v="Printers"/>
    <s v="PRN-5107"/>
    <n v="943.79"/>
    <n v="1913.76"/>
    <n v="1913.76"/>
    <n v="9.0999999999999998E-2"/>
    <n v="9.0999999999999998E-2"/>
    <n v="9"/>
  </r>
  <r>
    <s v="ORD-2024-960952"/>
    <d v="2024-02-03T00:00:00"/>
    <d v="2024-02-21T00:00:00"/>
    <d v="2024-02-21T00:00:00"/>
    <n v="18"/>
    <x v="3"/>
    <x v="6"/>
    <x v="36"/>
    <x v="0"/>
    <x v="0"/>
    <x v="10"/>
    <s v="Components"/>
    <s v="CMP-9264"/>
    <n v="39.229999999999997"/>
    <n v="30.09"/>
    <n v="30.09"/>
    <n v="0.17699999999999999"/>
    <n v="0.17699999999999999"/>
    <n v="13"/>
  </r>
  <r>
    <s v="ORD-2023-987700"/>
    <d v="2023-04-05T00:00:00"/>
    <d v="2023-04-16T00:00:00"/>
    <d v="2023-04-16T00:00:00"/>
    <n v="11"/>
    <x v="2"/>
    <x v="3"/>
    <x v="26"/>
    <x v="2"/>
    <x v="1"/>
    <x v="7"/>
    <s v="Monitors"/>
    <s v="MON-5259"/>
    <n v="213.1"/>
    <n v="501.31"/>
    <n v="501.31"/>
    <n v="5.6000000000000001E-2"/>
    <n v="5.6000000000000001E-2"/>
    <n v="15"/>
  </r>
  <r>
    <s v="ORD-2025-652467"/>
    <d v="2025-08-21T00:00:00"/>
    <d v="2025-09-12T00:00:00"/>
    <d v="2025-09-12T00:00:00"/>
    <n v="22"/>
    <x v="1"/>
    <x v="9"/>
    <x v="14"/>
    <x v="1"/>
    <x v="0"/>
    <x v="5"/>
    <s v="Printers"/>
    <s v="PRN-8137"/>
    <n v="352.66"/>
    <n v="411.18"/>
    <n v="411.18"/>
    <n v="0.17299999999999999"/>
    <n v="0.17299999999999999"/>
    <n v="13"/>
  </r>
  <r>
    <s v="ORD-2025-667201"/>
    <d v="2025-09-15T00:00:00"/>
    <d v="2025-09-18T00:00:00"/>
    <d v="2025-09-18T00:00:00"/>
    <n v="3"/>
    <x v="2"/>
    <x v="5"/>
    <x v="30"/>
    <x v="2"/>
    <x v="4"/>
    <x v="4"/>
    <s v="Accessories"/>
    <s v="ACC-6777"/>
    <n v="5.5"/>
    <n v="5.92"/>
    <n v="5.92"/>
    <n v="0.21199999999999999"/>
    <n v="0.21199999999999999"/>
    <n v="4"/>
  </r>
  <r>
    <s v="ORD-2024-237478"/>
    <d v="2024-10-03T00:00:00"/>
    <d v="2024-10-11T00:00:00"/>
    <d v="2024-10-11T00:00:00"/>
    <n v="8"/>
    <x v="1"/>
    <x v="9"/>
    <x v="37"/>
    <x v="5"/>
    <x v="4"/>
    <x v="5"/>
    <s v="Phones"/>
    <s v="PHN-7488"/>
    <n v="1132.6099999999999"/>
    <n v="2206.63"/>
    <n v="2206.63"/>
    <n v="6.3E-2"/>
    <n v="6.3E-2"/>
    <n v="20"/>
  </r>
  <r>
    <s v="ORD-2025-898843"/>
    <d v="2025-02-02T00:00:00"/>
    <d v="2025-03-04T00:00:00"/>
    <d v="2025-03-04T00:00:00"/>
    <n v="30"/>
    <x v="1"/>
    <x v="2"/>
    <x v="4"/>
    <x v="1"/>
    <x v="3"/>
    <x v="4"/>
    <s v="Accessories"/>
    <s v="ACC-9591"/>
    <n v="766.59"/>
    <n v="1912.8"/>
    <n v="1912.8"/>
    <n v="0.19600000000000001"/>
    <n v="0.19600000000000001"/>
    <n v="5"/>
  </r>
  <r>
    <s v="ORD-2023-334213"/>
    <d v="2023-08-19T00:00:00"/>
    <d v="2023-08-23T00:00:00"/>
    <d v="2023-08-23T00:00:00"/>
    <n v="4"/>
    <x v="0"/>
    <x v="1"/>
    <x v="7"/>
    <x v="4"/>
    <x v="1"/>
    <x v="1"/>
    <s v="Monitors"/>
    <s v="MON-5517"/>
    <n v="790.63"/>
    <n v="1382.31"/>
    <n v="1382.31"/>
    <n v="0.10100000000000001"/>
    <n v="0.10100000000000001"/>
    <n v="7"/>
  </r>
  <r>
    <s v="ORD-2024-640340"/>
    <d v="2024-10-22T00:00:00"/>
    <d v="2024-10-29T00:00:00"/>
    <d v="2024-10-29T00:00:00"/>
    <n v="7"/>
    <x v="0"/>
    <x v="1"/>
    <x v="1"/>
    <x v="5"/>
    <x v="3"/>
    <x v="12"/>
    <s v="Monitors"/>
    <s v="MON-8758"/>
    <n v="1023.06"/>
    <n v="1355.61"/>
    <n v="1355.61"/>
    <n v="0.153"/>
    <n v="0.153"/>
    <n v="23"/>
  </r>
  <r>
    <s v="ORD-2023-399631"/>
    <d v="2023-06-22T00:00:00"/>
    <d v="2023-07-21T00:00:00"/>
    <d v="2023-07-21T00:00:00"/>
    <n v="29"/>
    <x v="3"/>
    <x v="7"/>
    <x v="17"/>
    <x v="0"/>
    <x v="0"/>
    <x v="1"/>
    <s v="Accessories"/>
    <s v="ACC-3385"/>
    <n v="734.34"/>
    <n v="887.9"/>
    <n v="887.9"/>
    <n v="2.5000000000000001E-2"/>
    <n v="2.5000000000000001E-2"/>
    <n v="12"/>
  </r>
  <r>
    <s v="ORD-2025-542939"/>
    <d v="2025-01-13T00:00:00"/>
    <d v="2025-02-08T00:00:00"/>
    <d v="2025-02-08T00:00:00"/>
    <n v="26"/>
    <x v="3"/>
    <x v="7"/>
    <x v="28"/>
    <x v="2"/>
    <x v="4"/>
    <x v="6"/>
    <s v="Monitors"/>
    <s v="MON-1593"/>
    <n v="594.74"/>
    <n v="1020.69"/>
    <n v="1020.69"/>
    <n v="0.21099999999999999"/>
    <n v="0.21099999999999999"/>
    <n v="6"/>
  </r>
  <r>
    <s v="ORD-2023-521818"/>
    <d v="2023-01-29T00:00:00"/>
    <d v="2023-02-28T00:00:00"/>
    <d v="2023-02-28T00:00:00"/>
    <n v="30"/>
    <x v="1"/>
    <x v="4"/>
    <x v="6"/>
    <x v="2"/>
    <x v="0"/>
    <x v="5"/>
    <s v="Accessories"/>
    <s v="ACC-4631"/>
    <n v="1262.0999999999999"/>
    <n v="1395.53"/>
    <n v="1395.53"/>
    <n v="0.23300000000000001"/>
    <n v="0.23300000000000001"/>
    <n v="25"/>
  </r>
  <r>
    <s v="ORD-2023-825836"/>
    <d v="2023-07-19T00:00:00"/>
    <d v="2023-07-31T00:00:00"/>
    <d v="2023-07-31T00:00:00"/>
    <n v="12"/>
    <x v="2"/>
    <x v="5"/>
    <x v="30"/>
    <x v="0"/>
    <x v="0"/>
    <x v="0"/>
    <s v="Monitors"/>
    <s v="MON-7869"/>
    <n v="1334.64"/>
    <n v="2273.42"/>
    <n v="2273.42"/>
    <n v="0.11799999999999999"/>
    <n v="0.11799999999999999"/>
    <n v="14"/>
  </r>
  <r>
    <s v="ORD-2024-503082"/>
    <d v="2024-05-19T00:00:00"/>
    <d v="2024-06-08T00:00:00"/>
    <d v="2024-06-08T00:00:00"/>
    <n v="20"/>
    <x v="2"/>
    <x v="5"/>
    <x v="10"/>
    <x v="4"/>
    <x v="0"/>
    <x v="6"/>
    <s v="Monitors"/>
    <s v="MON-4271"/>
    <n v="1075.9000000000001"/>
    <n v="1242.1500000000001"/>
    <n v="1242.1500000000001"/>
    <n v="1.2E-2"/>
    <n v="1.2E-2"/>
    <n v="7"/>
  </r>
  <r>
    <s v="ORD-2024-760799"/>
    <d v="2024-02-03T00:00:00"/>
    <d v="2024-02-19T00:00:00"/>
    <d v="2024-02-19T00:00:00"/>
    <n v="16"/>
    <x v="1"/>
    <x v="9"/>
    <x v="14"/>
    <x v="4"/>
    <x v="1"/>
    <x v="10"/>
    <s v="Laptops"/>
    <s v="LAP-5531"/>
    <n v="993.75"/>
    <n v="1310.29"/>
    <n v="1310.29"/>
    <n v="0.215"/>
    <n v="0.215"/>
    <n v="19"/>
  </r>
  <r>
    <s v="ORD-2023-197661"/>
    <d v="2023-08-08T00:00:00"/>
    <d v="2023-08-22T00:00:00"/>
    <d v="2023-08-22T00:00:00"/>
    <n v="14"/>
    <x v="3"/>
    <x v="8"/>
    <x v="12"/>
    <x v="2"/>
    <x v="4"/>
    <x v="13"/>
    <s v="Monitors"/>
    <s v="MON-7511"/>
    <n v="446.69"/>
    <n v="967.25"/>
    <n v="967.25"/>
    <n v="9.4E-2"/>
    <n v="9.4E-2"/>
    <n v="10"/>
  </r>
  <r>
    <s v="ORD-2024-212990"/>
    <d v="2024-08-12T00:00:00"/>
    <d v="2024-09-03T00:00:00"/>
    <d v="2024-09-03T00:00:00"/>
    <n v="22"/>
    <x v="2"/>
    <x v="10"/>
    <x v="35"/>
    <x v="3"/>
    <x v="3"/>
    <x v="2"/>
    <s v="Laptops"/>
    <s v="LAP-7979"/>
    <n v="797.8"/>
    <n v="886.22"/>
    <n v="886.22"/>
    <n v="0.23599999999999999"/>
    <n v="0.23599999999999999"/>
    <n v="36"/>
  </r>
  <r>
    <s v="ORD-2023-925146"/>
    <d v="2023-10-15T00:00:00"/>
    <d v="2023-11-13T00:00:00"/>
    <d v="2023-11-13T00:00:00"/>
    <n v="29"/>
    <x v="1"/>
    <x v="9"/>
    <x v="14"/>
    <x v="2"/>
    <x v="3"/>
    <x v="1"/>
    <s v="Printers"/>
    <s v="PRN-4983"/>
    <n v="986.44"/>
    <n v="790.61"/>
    <n v="790.61"/>
    <n v="7.1999999999999995E-2"/>
    <n v="7.1999999999999995E-2"/>
    <n v="6"/>
  </r>
  <r>
    <s v="ORD-2023-177794"/>
    <d v="2023-05-04T00:00:00"/>
    <d v="2023-05-26T00:00:00"/>
    <d v="2023-05-26T00:00:00"/>
    <n v="22"/>
    <x v="2"/>
    <x v="10"/>
    <x v="24"/>
    <x v="5"/>
    <x v="1"/>
    <x v="1"/>
    <s v="Networking"/>
    <s v="NET-5941"/>
    <n v="249.71"/>
    <n v="361.33"/>
    <n v="361.33"/>
    <n v="9.4E-2"/>
    <n v="9.4E-2"/>
    <n v="12"/>
  </r>
  <r>
    <s v="ORD-2024-444710"/>
    <d v="2024-09-22T00:00:00"/>
    <d v="2024-10-01T00:00:00"/>
    <d v="2024-10-01T00:00:00"/>
    <n v="9"/>
    <x v="2"/>
    <x v="5"/>
    <x v="8"/>
    <x v="2"/>
    <x v="1"/>
    <x v="11"/>
    <s v="Monitors"/>
    <s v="MON-6341"/>
    <n v="1378.8"/>
    <n v="1952.04"/>
    <n v="1952.04"/>
    <n v="0.159"/>
    <n v="0.159"/>
    <n v="19"/>
  </r>
  <r>
    <s v="ORD-2024-668926"/>
    <d v="2024-10-23T00:00:00"/>
    <d v="2024-11-14T00:00:00"/>
    <d v="2024-11-14T00:00:00"/>
    <n v="22"/>
    <x v="1"/>
    <x v="2"/>
    <x v="4"/>
    <x v="2"/>
    <x v="4"/>
    <x v="5"/>
    <s v="Phones"/>
    <s v="PHN-9789"/>
    <n v="1406.4"/>
    <n v="1564.76"/>
    <n v="1564.76"/>
    <n v="0.185"/>
    <n v="0.185"/>
    <n v="17"/>
  </r>
  <r>
    <s v="ORD-2024-968374"/>
    <d v="2024-02-11T00:00:00"/>
    <d v="2024-03-03T00:00:00"/>
    <d v="2024-03-03T00:00:00"/>
    <n v="21"/>
    <x v="0"/>
    <x v="0"/>
    <x v="0"/>
    <x v="5"/>
    <x v="1"/>
    <x v="5"/>
    <s v="Phones"/>
    <s v="PHN-5082"/>
    <n v="516.86"/>
    <n v="852.54"/>
    <n v="852.54"/>
    <n v="5.0999999999999997E-2"/>
    <n v="5.0999999999999997E-2"/>
    <n v="14"/>
  </r>
  <r>
    <s v="ORD-2023-575584"/>
    <d v="2023-01-30T00:00:00"/>
    <d v="2023-02-21T00:00:00"/>
    <d v="2023-02-21T00:00:00"/>
    <n v="22"/>
    <x v="3"/>
    <x v="6"/>
    <x v="22"/>
    <x v="4"/>
    <x v="2"/>
    <x v="3"/>
    <s v="Networking"/>
    <s v="NET-3460"/>
    <n v="1142.8800000000001"/>
    <n v="1465.29"/>
    <n v="1465.29"/>
    <n v="0.186"/>
    <n v="0.186"/>
    <n v="7"/>
  </r>
  <r>
    <s v="ORD-2023-701153"/>
    <d v="2023-04-14T00:00:00"/>
    <d v="2023-05-13T00:00:00"/>
    <d v="2023-05-13T00:00:00"/>
    <n v="29"/>
    <x v="3"/>
    <x v="6"/>
    <x v="36"/>
    <x v="3"/>
    <x v="4"/>
    <x v="1"/>
    <s v="Printers"/>
    <s v="PRN-7019"/>
    <n v="1320.33"/>
    <n v="2645.23"/>
    <n v="2645.23"/>
    <n v="0.155"/>
    <n v="0.155"/>
    <n v="25"/>
  </r>
  <r>
    <s v="ORD-2023-382017"/>
    <d v="2023-01-13T00:00:00"/>
    <d v="2023-01-19T00:00:00"/>
    <d v="2023-01-19T00:00:00"/>
    <n v="6"/>
    <x v="2"/>
    <x v="10"/>
    <x v="15"/>
    <x v="0"/>
    <x v="4"/>
    <x v="10"/>
    <s v="Phones"/>
    <s v="PHN-3159"/>
    <n v="833.57"/>
    <n v="881.57"/>
    <n v="881.57"/>
    <n v="5.7000000000000002E-2"/>
    <n v="5.7000000000000002E-2"/>
    <n v="18"/>
  </r>
  <r>
    <s v="ORD-2024-999607"/>
    <d v="2024-01-12T00:00:00"/>
    <d v="2024-01-29T00:00:00"/>
    <d v="2024-01-29T00:00:00"/>
    <n v="17"/>
    <x v="2"/>
    <x v="10"/>
    <x v="15"/>
    <x v="1"/>
    <x v="3"/>
    <x v="8"/>
    <s v="Printers"/>
    <s v="PRN-8604"/>
    <n v="493.76"/>
    <n v="625.04"/>
    <n v="625.04"/>
    <n v="0.25800000000000001"/>
    <n v="0.25800000000000001"/>
    <n v="10"/>
  </r>
  <r>
    <s v="ORD-2023-133848"/>
    <d v="2023-08-15T00:00:00"/>
    <d v="2023-09-07T00:00:00"/>
    <d v="2023-09-07T00:00:00"/>
    <n v="23"/>
    <x v="2"/>
    <x v="10"/>
    <x v="38"/>
    <x v="5"/>
    <x v="1"/>
    <x v="11"/>
    <s v="Phones"/>
    <s v="PHN-2013"/>
    <n v="590.33000000000004"/>
    <n v="973.04"/>
    <n v="973.04"/>
    <n v="0"/>
    <n v="0"/>
    <n v="26"/>
  </r>
  <r>
    <s v="ORD-2023-586275"/>
    <d v="2023-01-20T00:00:00"/>
    <d v="2023-02-03T00:00:00"/>
    <d v="2023-02-03T00:00:00"/>
    <n v="14"/>
    <x v="0"/>
    <x v="0"/>
    <x v="0"/>
    <x v="0"/>
    <x v="0"/>
    <x v="12"/>
    <s v="Networking"/>
    <s v="NET-6036"/>
    <n v="884.36"/>
    <n v="1545.34"/>
    <n v="1545.34"/>
    <n v="0.24299999999999999"/>
    <n v="0.24299999999999999"/>
    <n v="41"/>
  </r>
  <r>
    <s v="ORD-2025-964661"/>
    <d v="2025-02-04T00:00:00"/>
    <d v="2025-02-25T00:00:00"/>
    <d v="2025-02-25T00:00:00"/>
    <n v="21"/>
    <x v="3"/>
    <x v="8"/>
    <x v="12"/>
    <x v="0"/>
    <x v="2"/>
    <x v="14"/>
    <s v="Monitors"/>
    <s v="MON-4959"/>
    <n v="1016.32"/>
    <n v="2253.42"/>
    <n v="2253.42"/>
    <n v="5.5E-2"/>
    <n v="5.5E-2"/>
    <n v="12"/>
  </r>
  <r>
    <s v="ORD-2023-390998"/>
    <d v="2023-04-19T00:00:00"/>
    <d v="2023-04-28T00:00:00"/>
    <d v="2023-04-28T00:00:00"/>
    <n v="9"/>
    <x v="3"/>
    <x v="6"/>
    <x v="9"/>
    <x v="1"/>
    <x v="1"/>
    <x v="6"/>
    <s v="Monitors"/>
    <s v="MON-1663"/>
    <n v="1178.42"/>
    <n v="2446.56"/>
    <n v="2446.56"/>
    <n v="2.9000000000000001E-2"/>
    <n v="2.9000000000000001E-2"/>
    <n v="11"/>
  </r>
  <r>
    <s v="ORD-2023-920483"/>
    <d v="2023-07-02T00:00:00"/>
    <d v="2023-08-01T00:00:00"/>
    <d v="2023-08-01T00:00:00"/>
    <n v="30"/>
    <x v="3"/>
    <x v="8"/>
    <x v="12"/>
    <x v="4"/>
    <x v="0"/>
    <x v="5"/>
    <s v="Components"/>
    <s v="CMP-7256"/>
    <n v="137.46"/>
    <n v="188.3"/>
    <n v="188.3"/>
    <n v="3.7999999999999999E-2"/>
    <n v="3.7999999999999999E-2"/>
    <n v="37"/>
  </r>
  <r>
    <s v="ORD-2025-146850"/>
    <d v="2025-01-21T00:00:00"/>
    <d v="2025-02-14T00:00:00"/>
    <d v="2025-02-14T00:00:00"/>
    <n v="24"/>
    <x v="0"/>
    <x v="0"/>
    <x v="2"/>
    <x v="4"/>
    <x v="0"/>
    <x v="1"/>
    <s v="Accessories"/>
    <s v="ACC-1659"/>
    <n v="1030.44"/>
    <n v="2562.84"/>
    <n v="2562.84"/>
    <n v="0.14799999999999999"/>
    <n v="0.14799999999999999"/>
    <n v="13"/>
  </r>
  <r>
    <s v="ORD-2024-687100"/>
    <d v="2024-09-10T00:00:00"/>
    <d v="2024-10-07T00:00:00"/>
    <d v="2024-10-07T00:00:00"/>
    <n v="27"/>
    <x v="0"/>
    <x v="0"/>
    <x v="0"/>
    <x v="3"/>
    <x v="0"/>
    <x v="4"/>
    <s v="Printers"/>
    <s v="PRN-6068"/>
    <n v="1248.3900000000001"/>
    <n v="1805.11"/>
    <n v="1805.11"/>
    <n v="0.20300000000000001"/>
    <n v="0.20300000000000001"/>
    <n v="11"/>
  </r>
  <r>
    <s v="ORD-2025-629393"/>
    <d v="2025-07-21T00:00:00"/>
    <d v="2025-08-07T00:00:00"/>
    <d v="2025-08-07T00:00:00"/>
    <n v="17"/>
    <x v="0"/>
    <x v="1"/>
    <x v="3"/>
    <x v="5"/>
    <x v="4"/>
    <x v="12"/>
    <s v="Accessories"/>
    <s v="ACC-8999"/>
    <n v="1204.95"/>
    <n v="2065.73"/>
    <n v="2065.73"/>
    <n v="0.13600000000000001"/>
    <n v="0.13600000000000001"/>
    <n v="10"/>
  </r>
  <r>
    <s v="ORD-2024-686712"/>
    <d v="2024-10-02T00:00:00"/>
    <d v="2024-10-23T00:00:00"/>
    <d v="2024-10-23T00:00:00"/>
    <n v="21"/>
    <x v="0"/>
    <x v="11"/>
    <x v="25"/>
    <x v="0"/>
    <x v="2"/>
    <x v="8"/>
    <s v="Components"/>
    <s v="CMP-3978"/>
    <n v="1095.6099999999999"/>
    <n v="2366.5100000000002"/>
    <n v="2366.5100000000002"/>
    <n v="0.152"/>
    <n v="0.152"/>
    <n v="9"/>
  </r>
  <r>
    <s v="ORD-2025-586799"/>
    <d v="2025-07-14T00:00:00"/>
    <d v="2025-08-04T00:00:00"/>
    <d v="2025-08-04T00:00:00"/>
    <n v="21"/>
    <x v="2"/>
    <x v="3"/>
    <x v="19"/>
    <x v="3"/>
    <x v="1"/>
    <x v="10"/>
    <s v="Monitors"/>
    <s v="MON-7868"/>
    <n v="90.3"/>
    <n v="131.76"/>
    <n v="131.76"/>
    <n v="0.10199999999999999"/>
    <n v="0.10199999999999999"/>
    <n v="15"/>
  </r>
  <r>
    <s v="ORD-2024-988736"/>
    <d v="2024-09-09T00:00:00"/>
    <d v="2024-10-01T00:00:00"/>
    <d v="2024-10-01T00:00:00"/>
    <n v="22"/>
    <x v="1"/>
    <x v="9"/>
    <x v="14"/>
    <x v="3"/>
    <x v="4"/>
    <x v="4"/>
    <s v="Printers"/>
    <s v="PRN-3014"/>
    <n v="1166.18"/>
    <n v="1335.02"/>
    <n v="1335.02"/>
    <n v="0.128"/>
    <n v="0.128"/>
    <n v="6"/>
  </r>
  <r>
    <s v="ORD-2025-564184"/>
    <d v="2025-01-29T00:00:00"/>
    <d v="2025-02-06T00:00:00"/>
    <d v="2025-02-06T00:00:00"/>
    <n v="8"/>
    <x v="0"/>
    <x v="0"/>
    <x v="0"/>
    <x v="1"/>
    <x v="0"/>
    <x v="5"/>
    <s v="Phones"/>
    <s v="PHN-1671"/>
    <n v="1445.27"/>
    <n v="2691.45"/>
    <n v="2691.45"/>
    <n v="0"/>
    <n v="0"/>
    <n v="9"/>
  </r>
  <r>
    <s v="ORD-2023-653343"/>
    <d v="2023-11-10T00:00:00"/>
    <d v="2023-11-28T00:00:00"/>
    <d v="2023-11-28T00:00:00"/>
    <n v="18"/>
    <x v="2"/>
    <x v="5"/>
    <x v="10"/>
    <x v="1"/>
    <x v="2"/>
    <x v="4"/>
    <s v="Accessories"/>
    <s v="ACC-5260"/>
    <n v="388.51"/>
    <n v="776.46"/>
    <n v="776.46"/>
    <n v="0.157"/>
    <n v="0.157"/>
    <n v="12"/>
  </r>
  <r>
    <s v="ORD-2024-197852"/>
    <d v="2024-02-29T00:00:00"/>
    <d v="2024-03-30T00:00:00"/>
    <d v="2024-03-30T00:00:00"/>
    <n v="30"/>
    <x v="1"/>
    <x v="2"/>
    <x v="32"/>
    <x v="4"/>
    <x v="4"/>
    <x v="2"/>
    <s v="Networking"/>
    <s v="NET-7588"/>
    <n v="231.11"/>
    <n v="318.17"/>
    <n v="318.17"/>
    <n v="0.20100000000000001"/>
    <n v="0.20100000000000001"/>
    <n v="60"/>
  </r>
  <r>
    <s v="ORD-2023-431328"/>
    <d v="2023-12-20T00:00:00"/>
    <d v="2024-01-14T00:00:00"/>
    <d v="2024-01-14T00:00:00"/>
    <n v="25"/>
    <x v="1"/>
    <x v="4"/>
    <x v="29"/>
    <x v="2"/>
    <x v="2"/>
    <x v="4"/>
    <s v="Monitors"/>
    <s v="MON-1572"/>
    <n v="1085.6099999999999"/>
    <n v="1246.4100000000001"/>
    <n v="1246.4100000000001"/>
    <n v="0.113"/>
    <n v="0.113"/>
    <n v="7"/>
  </r>
  <r>
    <s v="ORD-2023-613317"/>
    <d v="2023-01-22T00:00:00"/>
    <d v="2023-01-21T00:00:00"/>
    <d v="2023-01-21T00:00:00"/>
    <n v="-1"/>
    <x v="3"/>
    <x v="6"/>
    <x v="22"/>
    <x v="0"/>
    <x v="4"/>
    <x v="9"/>
    <s v="Monitors"/>
    <s v="MON-2537"/>
    <n v="150.86000000000001"/>
    <n v="346.96"/>
    <n v="346.96"/>
    <n v="0.19600000000000001"/>
    <n v="0.19600000000000001"/>
    <n v="8"/>
  </r>
  <r>
    <s v="ORD-2024-720756"/>
    <d v="2024-10-11T00:00:00"/>
    <d v="2024-11-09T00:00:00"/>
    <d v="2024-11-09T00:00:00"/>
    <n v="29"/>
    <x v="1"/>
    <x v="9"/>
    <x v="23"/>
    <x v="2"/>
    <x v="1"/>
    <x v="9"/>
    <s v="Printers"/>
    <s v="PRN-5666"/>
    <n v="391.64"/>
    <n v="504.76"/>
    <n v="504.76"/>
    <n v="4.0000000000000001E-3"/>
    <n v="4.0000000000000001E-3"/>
    <n v="13"/>
  </r>
  <r>
    <s v="ORD-2024-777623"/>
    <d v="2024-09-19T00:00:00"/>
    <d v="2024-10-14T00:00:00"/>
    <d v="2024-10-14T00:00:00"/>
    <n v="25"/>
    <x v="2"/>
    <x v="5"/>
    <x v="30"/>
    <x v="4"/>
    <x v="0"/>
    <x v="11"/>
    <s v="Printers"/>
    <s v="PRN-2749"/>
    <n v="386.96"/>
    <n v="937.46"/>
    <n v="937.46"/>
    <n v="0.26600000000000001"/>
    <n v="0.26600000000000001"/>
    <n v="41"/>
  </r>
  <r>
    <s v="ORD-2025-762212"/>
    <d v="2025-08-25T00:00:00"/>
    <d v="2025-09-24T00:00:00"/>
    <d v="2025-09-24T00:00:00"/>
    <n v="30"/>
    <x v="0"/>
    <x v="0"/>
    <x v="2"/>
    <x v="3"/>
    <x v="4"/>
    <x v="5"/>
    <s v="Components"/>
    <s v="CMP-4970"/>
    <n v="589.14"/>
    <n v="1300.58"/>
    <n v="1300.58"/>
    <n v="5.5E-2"/>
    <n v="5.5E-2"/>
    <n v="11"/>
  </r>
  <r>
    <s v="ORD-2023-271918"/>
    <d v="2023-09-25T00:00:00"/>
    <d v="2023-10-02T00:00:00"/>
    <d v="2023-10-02T00:00:00"/>
    <n v="7"/>
    <x v="2"/>
    <x v="10"/>
    <x v="38"/>
    <x v="1"/>
    <x v="2"/>
    <x v="2"/>
    <s v="Accessories"/>
    <s v="ACC-3551"/>
    <n v="145.58000000000001"/>
    <n v="228.15"/>
    <n v="228.15"/>
    <n v="0.20399999999999999"/>
    <n v="0.20399999999999999"/>
    <n v="5"/>
  </r>
  <r>
    <s v="ORD-2023-713375"/>
    <d v="2023-08-26T00:00:00"/>
    <d v="2023-09-10T00:00:00"/>
    <d v="2023-09-10T00:00:00"/>
    <n v="15"/>
    <x v="0"/>
    <x v="11"/>
    <x v="33"/>
    <x v="2"/>
    <x v="4"/>
    <x v="13"/>
    <s v="Components"/>
    <s v="CMP-7063"/>
    <n v="241.14"/>
    <n v="496.52"/>
    <n v="496.52"/>
    <n v="9.2999999999999999E-2"/>
    <n v="9.2999999999999999E-2"/>
    <n v="10"/>
  </r>
  <r>
    <s v="ORD-2025-678688"/>
    <d v="2025-07-16T00:00:00"/>
    <d v="2025-07-17T00:00:00"/>
    <d v="2025-07-17T00:00:00"/>
    <n v="1"/>
    <x v="0"/>
    <x v="11"/>
    <x v="25"/>
    <x v="4"/>
    <x v="3"/>
    <x v="5"/>
    <s v="Networking"/>
    <s v="NET-1612"/>
    <n v="1198.9000000000001"/>
    <n v="2941.2"/>
    <n v="2941.2"/>
    <n v="5.0999999999999997E-2"/>
    <n v="5.0999999999999997E-2"/>
    <n v="24"/>
  </r>
  <r>
    <s v="ORD-2023-501220"/>
    <d v="2023-04-19T00:00:00"/>
    <d v="2023-05-07T00:00:00"/>
    <d v="2023-05-07T00:00:00"/>
    <n v="18"/>
    <x v="3"/>
    <x v="8"/>
    <x v="12"/>
    <x v="5"/>
    <x v="0"/>
    <x v="13"/>
    <s v="Laptops"/>
    <s v="LAP-9766"/>
    <n v="1089.1500000000001"/>
    <n v="1088.2"/>
    <n v="1088.2"/>
    <n v="5.0999999999999997E-2"/>
    <n v="5.0999999999999997E-2"/>
    <n v="15"/>
  </r>
  <r>
    <s v="ORD-2023-195665"/>
    <d v="2023-12-19T00:00:00"/>
    <d v="2023-12-20T00:00:00"/>
    <d v="2023-12-20T00:00:00"/>
    <n v="1"/>
    <x v="2"/>
    <x v="5"/>
    <x v="30"/>
    <x v="3"/>
    <x v="3"/>
    <x v="1"/>
    <s v="Phones"/>
    <s v="PHN-7274"/>
    <n v="1080.43"/>
    <n v="2529.15"/>
    <n v="2529.15"/>
    <n v="0.14699999999999999"/>
    <n v="0.14699999999999999"/>
    <n v="10"/>
  </r>
  <r>
    <s v="ORD-2023-290237"/>
    <d v="2023-07-30T00:00:00"/>
    <d v="2023-08-07T00:00:00"/>
    <d v="2023-08-07T00:00:00"/>
    <n v="8"/>
    <x v="1"/>
    <x v="2"/>
    <x v="32"/>
    <x v="1"/>
    <x v="2"/>
    <x v="8"/>
    <s v="Networking"/>
    <s v="NET-1645"/>
    <n v="1352.44"/>
    <n v="2698.01"/>
    <n v="2698.01"/>
    <n v="0.13100000000000001"/>
    <n v="0.13100000000000001"/>
    <n v="13"/>
  </r>
  <r>
    <s v="ORD-2023-302041"/>
    <d v="2023-10-04T00:00:00"/>
    <d v="2023-10-29T00:00:00"/>
    <d v="2023-10-29T00:00:00"/>
    <n v="25"/>
    <x v="2"/>
    <x v="10"/>
    <x v="24"/>
    <x v="4"/>
    <x v="3"/>
    <x v="7"/>
    <s v="Accessories"/>
    <s v="ACC-5079"/>
    <n v="1239.8399999999999"/>
    <n v="1482.75"/>
    <n v="1482.75"/>
    <n v="6.7000000000000004E-2"/>
    <n v="6.7000000000000004E-2"/>
    <n v="4"/>
  </r>
  <r>
    <s v="ORD-2025-289139"/>
    <d v="2025-08-10T00:00:00"/>
    <d v="2025-08-30T00:00:00"/>
    <d v="2025-08-30T00:00:00"/>
    <n v="20"/>
    <x v="2"/>
    <x v="10"/>
    <x v="24"/>
    <x v="0"/>
    <x v="2"/>
    <x v="11"/>
    <s v="Printers"/>
    <s v="PRN-2098"/>
    <n v="933.29"/>
    <n v="1456.81"/>
    <n v="1456.81"/>
    <n v="0.123"/>
    <n v="0.123"/>
    <n v="13"/>
  </r>
  <r>
    <s v="ORD-2023-949710"/>
    <d v="2023-03-07T00:00:00"/>
    <d v="2023-04-01T00:00:00"/>
    <d v="2023-04-01T00:00:00"/>
    <n v="25"/>
    <x v="0"/>
    <x v="0"/>
    <x v="2"/>
    <x v="3"/>
    <x v="2"/>
    <x v="14"/>
    <s v="Printers"/>
    <s v="PRN-7049"/>
    <n v="1024.0999999999999"/>
    <n v="918.19"/>
    <n v="918.19"/>
    <n v="0.189"/>
    <n v="0.189"/>
    <n v="10"/>
  </r>
  <r>
    <s v="ORD-2023-603650"/>
    <d v="2023-05-23T00:00:00"/>
    <d v="2023-06-10T00:00:00"/>
    <d v="2023-06-10T00:00:00"/>
    <n v="18"/>
    <x v="1"/>
    <x v="9"/>
    <x v="23"/>
    <x v="0"/>
    <x v="3"/>
    <x v="6"/>
    <s v="Components"/>
    <s v="CMP-6925"/>
    <n v="54.62"/>
    <n v="48.94"/>
    <n v="48.94"/>
    <n v="0.14799999999999999"/>
    <n v="0.14799999999999999"/>
    <n v="16"/>
  </r>
  <r>
    <s v="ORD-2025-757957"/>
    <d v="2025-04-24T00:00:00"/>
    <d v="2025-05-06T00:00:00"/>
    <d v="2025-05-06T00:00:00"/>
    <n v="12"/>
    <x v="2"/>
    <x v="5"/>
    <x v="10"/>
    <x v="3"/>
    <x v="1"/>
    <x v="0"/>
    <s v="Phones"/>
    <s v="PHN-2787"/>
    <n v="394.13"/>
    <n v="932.29"/>
    <n v="932.29"/>
    <n v="0.109"/>
    <n v="0.109"/>
    <n v="7"/>
  </r>
  <r>
    <s v="ORD-2024-423853"/>
    <d v="2024-09-03T00:00:00"/>
    <d v="2024-09-08T00:00:00"/>
    <d v="2024-09-08T00:00:00"/>
    <n v="5"/>
    <x v="0"/>
    <x v="1"/>
    <x v="3"/>
    <x v="4"/>
    <x v="4"/>
    <x v="11"/>
    <s v="Printers"/>
    <s v="PRN-1141"/>
    <n v="197.63"/>
    <n v="325.79000000000002"/>
    <n v="325.79000000000002"/>
    <n v="0.11600000000000001"/>
    <n v="0.11600000000000001"/>
    <n v="10"/>
  </r>
  <r>
    <s v="ORD-2024-569164"/>
    <d v="2024-09-05T00:00:00"/>
    <d v="2024-09-25T00:00:00"/>
    <d v="2024-09-25T00:00:00"/>
    <n v="20"/>
    <x v="1"/>
    <x v="2"/>
    <x v="4"/>
    <x v="5"/>
    <x v="3"/>
    <x v="14"/>
    <s v="Monitors"/>
    <s v="MON-5249"/>
    <n v="195.54"/>
    <n v="405.97"/>
    <n v="405.97"/>
    <n v="0.187"/>
    <n v="0.187"/>
    <n v="16"/>
  </r>
  <r>
    <s v="ORD-2023-946143"/>
    <d v="2023-03-14T00:00:00"/>
    <d v="2023-03-30T00:00:00"/>
    <d v="2023-03-30T00:00:00"/>
    <n v="16"/>
    <x v="0"/>
    <x v="11"/>
    <x v="33"/>
    <x v="3"/>
    <x v="3"/>
    <x v="11"/>
    <s v="Components"/>
    <s v="CMP-8230"/>
    <n v="1309.77"/>
    <n v="1589.07"/>
    <n v="1589.07"/>
    <n v="0.10199999999999999"/>
    <n v="0.10199999999999999"/>
    <n v="10"/>
  </r>
  <r>
    <s v="ORD-2024-281211"/>
    <d v="2024-01-11T00:00:00"/>
    <d v="2024-02-02T00:00:00"/>
    <d v="2024-02-02T00:00:00"/>
    <n v="22"/>
    <x v="1"/>
    <x v="2"/>
    <x v="32"/>
    <x v="4"/>
    <x v="1"/>
    <x v="5"/>
    <s v="Printers"/>
    <s v="PRN-7816"/>
    <n v="1237.68"/>
    <n v="1432.8"/>
    <n v="1432.8"/>
    <n v="6.8000000000000005E-2"/>
    <n v="6.8000000000000005E-2"/>
    <n v="13"/>
  </r>
  <r>
    <s v="ORD-2024-805860"/>
    <d v="2024-09-13T00:00:00"/>
    <d v="2024-10-02T00:00:00"/>
    <d v="2024-10-02T00:00:00"/>
    <n v="19"/>
    <x v="0"/>
    <x v="0"/>
    <x v="13"/>
    <x v="4"/>
    <x v="0"/>
    <x v="12"/>
    <s v="Phones"/>
    <s v="PHN-8804"/>
    <n v="1338.99"/>
    <n v="1765.76"/>
    <n v="1765.76"/>
    <n v="0.126"/>
    <n v="0.126"/>
    <n v="24"/>
  </r>
  <r>
    <s v="ORD-2025-132174"/>
    <d v="2025-07-17T00:00:00"/>
    <d v="2025-07-23T00:00:00"/>
    <d v="2025-07-23T00:00:00"/>
    <n v="6"/>
    <x v="2"/>
    <x v="3"/>
    <x v="26"/>
    <x v="3"/>
    <x v="1"/>
    <x v="10"/>
    <s v="Components"/>
    <s v="CMP-8851"/>
    <n v="1364.89"/>
    <n v="2757.54"/>
    <n v="2757.54"/>
    <n v="0.17199999999999999"/>
    <n v="0.17199999999999999"/>
    <n v="61"/>
  </r>
  <r>
    <s v="ORD-2023-964434"/>
    <d v="2023-11-28T00:00:00"/>
    <d v="2023-12-07T00:00:00"/>
    <d v="2023-12-07T00:00:00"/>
    <n v="9"/>
    <x v="1"/>
    <x v="4"/>
    <x v="18"/>
    <x v="5"/>
    <x v="2"/>
    <x v="4"/>
    <s v="Phones"/>
    <s v="PHN-2447"/>
    <n v="699.33"/>
    <n v="873.75"/>
    <n v="873.75"/>
    <n v="0.23499999999999999"/>
    <n v="0.23499999999999999"/>
    <n v="10"/>
  </r>
  <r>
    <s v="ORD-2024-897622"/>
    <d v="2024-03-30T00:00:00"/>
    <d v="2024-04-24T00:00:00"/>
    <d v="2024-04-24T00:00:00"/>
    <n v="25"/>
    <x v="2"/>
    <x v="10"/>
    <x v="35"/>
    <x v="2"/>
    <x v="1"/>
    <x v="3"/>
    <s v="Laptops"/>
    <s v="LAP-2846"/>
    <n v="160.82"/>
    <n v="258.52"/>
    <n v="258.52"/>
    <n v="0.13"/>
    <n v="0.13"/>
    <n v="17"/>
  </r>
  <r>
    <s v="ORD-2023-517216"/>
    <d v="2023-09-19T00:00:00"/>
    <d v="2023-10-08T00:00:00"/>
    <d v="2023-10-08T00:00:00"/>
    <n v="19"/>
    <x v="1"/>
    <x v="4"/>
    <x v="6"/>
    <x v="1"/>
    <x v="4"/>
    <x v="1"/>
    <s v="Printers"/>
    <s v="PRN-5005"/>
    <n v="385.32"/>
    <n v="606.76"/>
    <n v="606.76"/>
    <n v="8.5999999999999993E-2"/>
    <n v="8.5999999999999993E-2"/>
    <n v="8"/>
  </r>
  <r>
    <s v="ORD-2025-509940"/>
    <d v="2025-05-16T00:00:00"/>
    <d v="2025-05-27T00:00:00"/>
    <d v="2025-05-27T00:00:00"/>
    <n v="11"/>
    <x v="1"/>
    <x v="9"/>
    <x v="37"/>
    <x v="5"/>
    <x v="1"/>
    <x v="9"/>
    <s v="Phones"/>
    <s v="PHN-3800"/>
    <n v="918.12"/>
    <n v="1337.69"/>
    <n v="1337.69"/>
    <n v="9.5000000000000001E-2"/>
    <n v="9.5000000000000001E-2"/>
    <n v="8"/>
  </r>
  <r>
    <s v="ORD-2025-646342"/>
    <d v="2025-08-02T00:00:00"/>
    <d v="2025-08-08T00:00:00"/>
    <d v="2025-08-08T00:00:00"/>
    <n v="6"/>
    <x v="1"/>
    <x v="2"/>
    <x v="4"/>
    <x v="3"/>
    <x v="4"/>
    <x v="13"/>
    <s v="Laptops"/>
    <s v="LAP-4828"/>
    <n v="1225.94"/>
    <n v="1793.08"/>
    <n v="1793.08"/>
    <n v="0.13600000000000001"/>
    <n v="0.13600000000000001"/>
    <n v="22"/>
  </r>
  <r>
    <s v="ORD-2024-866535"/>
    <d v="2024-12-04T00:00:00"/>
    <d v="2024-12-12T00:00:00"/>
    <d v="2024-12-12T00:00:00"/>
    <n v="8"/>
    <x v="3"/>
    <x v="6"/>
    <x v="36"/>
    <x v="5"/>
    <x v="2"/>
    <x v="5"/>
    <s v="Printers"/>
    <s v="PRN-5492"/>
    <n v="72.06"/>
    <n v="122.74"/>
    <n v="122.74"/>
    <n v="0.23799999999999999"/>
    <n v="0.23799999999999999"/>
    <n v="8"/>
  </r>
  <r>
    <s v="ORD-2023-747341"/>
    <d v="2023-04-19T00:00:00"/>
    <d v="2023-04-28T00:00:00"/>
    <d v="2023-04-28T00:00:00"/>
    <n v="9"/>
    <x v="2"/>
    <x v="5"/>
    <x v="30"/>
    <x v="0"/>
    <x v="3"/>
    <x v="12"/>
    <s v="Phones"/>
    <s v="PHN-7132"/>
    <n v="1013.54"/>
    <n v="927.93"/>
    <n v="927.93"/>
    <n v="0.17499999999999999"/>
    <n v="0.17499999999999999"/>
    <n v="16"/>
  </r>
  <r>
    <s v="ORD-2024-853298"/>
    <d v="2024-03-06T00:00:00"/>
    <d v="2024-03-26T00:00:00"/>
    <d v="2024-03-26T00:00:00"/>
    <n v="20"/>
    <x v="0"/>
    <x v="1"/>
    <x v="1"/>
    <x v="3"/>
    <x v="2"/>
    <x v="2"/>
    <s v="Phones"/>
    <s v="PHN-4741"/>
    <n v="65.64"/>
    <n v="151.88"/>
    <n v="151.88"/>
    <n v="0.16700000000000001"/>
    <n v="0.16700000000000001"/>
    <n v="23"/>
  </r>
  <r>
    <s v="ORD-2024-544865"/>
    <d v="2024-02-16T00:00:00"/>
    <d v="2024-03-04T00:00:00"/>
    <d v="2024-03-04T00:00:00"/>
    <n v="17"/>
    <x v="2"/>
    <x v="3"/>
    <x v="19"/>
    <x v="2"/>
    <x v="0"/>
    <x v="14"/>
    <s v="Laptops"/>
    <s v="LAP-2774"/>
    <n v="1350.98"/>
    <n v="2210.4"/>
    <n v="2210.4"/>
    <n v="0.26300000000000001"/>
    <n v="0.26300000000000001"/>
    <n v="6"/>
  </r>
  <r>
    <s v="ORD-2025-946490"/>
    <d v="2025-04-22T00:00:00"/>
    <d v="2025-05-02T00:00:00"/>
    <d v="2025-05-02T00:00:00"/>
    <n v="10"/>
    <x v="3"/>
    <x v="6"/>
    <x v="9"/>
    <x v="0"/>
    <x v="2"/>
    <x v="0"/>
    <s v="Monitors"/>
    <s v="MON-2842"/>
    <n v="20.149999999999999"/>
    <n v="39.74"/>
    <n v="39.74"/>
    <n v="0.151"/>
    <n v="0.151"/>
    <n v="18"/>
  </r>
  <r>
    <s v="ORD-2024-320972"/>
    <d v="2024-11-08T00:00:00"/>
    <d v="2024-11-08T00:00:00"/>
    <d v="2024-11-08T00:00:00"/>
    <n v="0"/>
    <x v="0"/>
    <x v="0"/>
    <x v="16"/>
    <x v="5"/>
    <x v="2"/>
    <x v="12"/>
    <s v="Networking"/>
    <s v="NET-2628"/>
    <n v="803.28"/>
    <n v="1009"/>
    <n v="1009"/>
    <n v="0.11"/>
    <n v="0.11"/>
    <n v="4"/>
  </r>
  <r>
    <s v="ORD-2025-248586"/>
    <d v="2025-09-12T00:00:00"/>
    <d v="2025-09-30T00:00:00"/>
    <d v="2025-09-30T00:00:00"/>
    <n v="18"/>
    <x v="1"/>
    <x v="2"/>
    <x v="32"/>
    <x v="2"/>
    <x v="2"/>
    <x v="9"/>
    <s v="Monitors"/>
    <s v="MON-2998"/>
    <n v="1212.99"/>
    <n v="1653.64"/>
    <n v="1653.64"/>
    <n v="0.107"/>
    <n v="0.107"/>
    <n v="8"/>
  </r>
  <r>
    <s v="ORD-2024-664046"/>
    <d v="2024-09-02T00:00:00"/>
    <d v="2024-09-08T00:00:00"/>
    <d v="2024-09-08T00:00:00"/>
    <n v="6"/>
    <x v="2"/>
    <x v="10"/>
    <x v="35"/>
    <x v="3"/>
    <x v="4"/>
    <x v="10"/>
    <s v="Components"/>
    <s v="CMP-7563"/>
    <n v="462.94"/>
    <n v="1015.7"/>
    <n v="1015.7"/>
    <n v="0.14299999999999999"/>
    <n v="0.14299999999999999"/>
    <n v="14"/>
  </r>
  <r>
    <s v="ORD-2023-276806"/>
    <d v="2023-03-04T00:00:00"/>
    <d v="2023-03-24T00:00:00"/>
    <d v="2023-03-24T00:00:00"/>
    <n v="20"/>
    <x v="2"/>
    <x v="3"/>
    <x v="19"/>
    <x v="3"/>
    <x v="3"/>
    <x v="2"/>
    <s v="Laptops"/>
    <s v="LAP-6160"/>
    <n v="481.71"/>
    <n v="912.45"/>
    <n v="912.45"/>
    <n v="0.20300000000000001"/>
    <n v="0.20300000000000001"/>
    <n v="24"/>
  </r>
  <r>
    <s v="ORD-2024-220234"/>
    <d v="2024-03-15T00:00:00"/>
    <d v="2024-04-09T00:00:00"/>
    <d v="2024-04-09T00:00:00"/>
    <n v="25"/>
    <x v="2"/>
    <x v="3"/>
    <x v="26"/>
    <x v="3"/>
    <x v="1"/>
    <x v="9"/>
    <s v="Monitors"/>
    <s v="MON-4361"/>
    <n v="648.64"/>
    <n v="815.19"/>
    <n v="815.19"/>
    <n v="0.22500000000000001"/>
    <n v="0.22500000000000001"/>
    <n v="28"/>
  </r>
  <r>
    <s v="ORD-2024-301260"/>
    <d v="2024-07-29T00:00:00"/>
    <d v="2024-07-31T00:00:00"/>
    <d v="2024-07-31T00:00:00"/>
    <n v="2"/>
    <x v="2"/>
    <x v="10"/>
    <x v="38"/>
    <x v="1"/>
    <x v="2"/>
    <x v="2"/>
    <s v="Printers"/>
    <s v="PRN-2829"/>
    <n v="798.97"/>
    <n v="1814.06"/>
    <n v="1814.06"/>
    <n v="0.122"/>
    <n v="0.122"/>
    <n v="16"/>
  </r>
  <r>
    <s v="ORD-2024-350100"/>
    <d v="2024-10-27T00:00:00"/>
    <d v="2024-11-20T00:00:00"/>
    <d v="2024-11-20T00:00:00"/>
    <n v="24"/>
    <x v="1"/>
    <x v="2"/>
    <x v="32"/>
    <x v="2"/>
    <x v="1"/>
    <x v="10"/>
    <s v="Monitors"/>
    <s v="MON-8939"/>
    <n v="317.25"/>
    <n v="758.92"/>
    <n v="758.92"/>
    <n v="5.2999999999999999E-2"/>
    <n v="5.2999999999999999E-2"/>
    <n v="9"/>
  </r>
  <r>
    <s v="ORD-2024-855600"/>
    <d v="2024-04-29T00:00:00"/>
    <d v="2024-05-19T00:00:00"/>
    <d v="2024-05-19T00:00:00"/>
    <n v="20"/>
    <x v="3"/>
    <x v="6"/>
    <x v="36"/>
    <x v="5"/>
    <x v="2"/>
    <x v="0"/>
    <s v="Laptops"/>
    <s v="LAP-5009"/>
    <n v="668.97"/>
    <n v="1667.44"/>
    <n v="1667.44"/>
    <n v="3.4000000000000002E-2"/>
    <n v="3.4000000000000002E-2"/>
    <n v="15"/>
  </r>
  <r>
    <s v="ORD-2023-474313"/>
    <d v="2023-10-05T00:00:00"/>
    <d v="2023-10-06T00:00:00"/>
    <d v="2023-10-06T00:00:00"/>
    <n v="1"/>
    <x v="1"/>
    <x v="4"/>
    <x v="6"/>
    <x v="2"/>
    <x v="1"/>
    <x v="2"/>
    <s v="Components"/>
    <s v="CMP-4807"/>
    <n v="1470.26"/>
    <n v="2562.5500000000002"/>
    <n v="2562.5500000000002"/>
    <n v="0.17299999999999999"/>
    <n v="0.17299999999999999"/>
    <n v="9"/>
  </r>
  <r>
    <s v="ORD-2023-256951"/>
    <d v="2023-04-19T00:00:00"/>
    <d v="2023-05-07T00:00:00"/>
    <d v="2023-05-07T00:00:00"/>
    <n v="18"/>
    <x v="3"/>
    <x v="8"/>
    <x v="21"/>
    <x v="2"/>
    <x v="4"/>
    <x v="10"/>
    <s v="Networking"/>
    <s v="NET-2439"/>
    <n v="516.96"/>
    <n v="745.38"/>
    <n v="745.38"/>
    <n v="0.19700000000000001"/>
    <n v="0.19700000000000001"/>
    <n v="4"/>
  </r>
  <r>
    <s v="ORD-2025-184754"/>
    <d v="2025-06-27T00:00:00"/>
    <d v="2025-07-05T00:00:00"/>
    <d v="2025-07-05T00:00:00"/>
    <n v="8"/>
    <x v="3"/>
    <x v="6"/>
    <x v="22"/>
    <x v="4"/>
    <x v="4"/>
    <x v="3"/>
    <s v="Monitors"/>
    <s v="MON-7626"/>
    <n v="314.93"/>
    <n v="687.95"/>
    <n v="687.95"/>
    <n v="0.20499999999999999"/>
    <n v="0.20499999999999999"/>
    <n v="8"/>
  </r>
  <r>
    <s v="ORD-2023-888140"/>
    <d v="2023-10-11T00:00:00"/>
    <d v="2023-10-13T00:00:00"/>
    <d v="2023-10-13T00:00:00"/>
    <n v="2"/>
    <x v="2"/>
    <x v="5"/>
    <x v="10"/>
    <x v="3"/>
    <x v="3"/>
    <x v="9"/>
    <s v="Accessories"/>
    <s v="ACC-3567"/>
    <n v="715.94"/>
    <n v="550.07000000000005"/>
    <n v="550.07000000000005"/>
    <n v="0.14000000000000001"/>
    <n v="0.14000000000000001"/>
    <n v="16"/>
  </r>
  <r>
    <s v="ORD-2023-638181"/>
    <d v="2023-05-20T00:00:00"/>
    <d v="2023-06-07T00:00:00"/>
    <d v="2023-06-07T00:00:00"/>
    <n v="18"/>
    <x v="0"/>
    <x v="1"/>
    <x v="1"/>
    <x v="5"/>
    <x v="3"/>
    <x v="6"/>
    <s v="Components"/>
    <s v="CMP-4630"/>
    <n v="1120.06"/>
    <n v="2068.21"/>
    <n v="2068.21"/>
    <n v="7.8E-2"/>
    <n v="7.8E-2"/>
    <n v="12"/>
  </r>
  <r>
    <s v="ORD-2023-521280"/>
    <d v="2023-05-27T00:00:00"/>
    <d v="2023-06-19T00:00:00"/>
    <d v="2023-06-19T00:00:00"/>
    <n v="23"/>
    <x v="3"/>
    <x v="6"/>
    <x v="9"/>
    <x v="1"/>
    <x v="0"/>
    <x v="7"/>
    <s v="Accessories"/>
    <s v="ACC-1882"/>
    <n v="1471.58"/>
    <n v="2576.65"/>
    <n v="2576.65"/>
    <n v="4.0000000000000001E-3"/>
    <n v="4.0000000000000001E-3"/>
    <n v="7"/>
  </r>
  <r>
    <s v="ORD-2023-630430"/>
    <d v="2023-08-04T00:00:00"/>
    <d v="2023-08-24T00:00:00"/>
    <d v="2023-08-24T00:00:00"/>
    <n v="20"/>
    <x v="2"/>
    <x v="5"/>
    <x v="10"/>
    <x v="2"/>
    <x v="4"/>
    <x v="9"/>
    <s v="Networking"/>
    <s v="NET-9125"/>
    <n v="582.88"/>
    <n v="1044.1400000000001"/>
    <n v="1044.1400000000001"/>
    <n v="0.216"/>
    <n v="0.216"/>
    <n v="10"/>
  </r>
  <r>
    <s v="ORD-2025-908258"/>
    <d v="2025-06-21T00:00:00"/>
    <d v="2025-06-27T00:00:00"/>
    <d v="2025-06-27T00:00:00"/>
    <n v="6"/>
    <x v="0"/>
    <x v="11"/>
    <x v="25"/>
    <x v="5"/>
    <x v="3"/>
    <x v="13"/>
    <s v="Phones"/>
    <s v="PHN-3819"/>
    <n v="93.91"/>
    <n v="99.04"/>
    <n v="99.04"/>
    <n v="5.7000000000000002E-2"/>
    <n v="5.7000000000000002E-2"/>
    <n v="6"/>
  </r>
  <r>
    <s v="ORD-2025-440093"/>
    <d v="2025-04-16T00:00:00"/>
    <d v="2025-04-26T00:00:00"/>
    <d v="2025-04-26T00:00:00"/>
    <n v="10"/>
    <x v="0"/>
    <x v="1"/>
    <x v="1"/>
    <x v="5"/>
    <x v="2"/>
    <x v="9"/>
    <s v="Laptops"/>
    <s v="LAP-3490"/>
    <n v="1457.44"/>
    <n v="1996.81"/>
    <n v="1996.81"/>
    <n v="0.126"/>
    <n v="0.126"/>
    <n v="23"/>
  </r>
  <r>
    <s v="ORD-2025-898022"/>
    <d v="2025-09-02T00:00:00"/>
    <d v="2025-09-11T00:00:00"/>
    <d v="2025-09-11T00:00:00"/>
    <n v="9"/>
    <x v="2"/>
    <x v="3"/>
    <x v="5"/>
    <x v="0"/>
    <x v="3"/>
    <x v="12"/>
    <s v="Printers"/>
    <s v="PRN-1276"/>
    <n v="1207.6300000000001"/>
    <n v="921.68"/>
    <n v="921.68"/>
    <n v="0.19600000000000001"/>
    <n v="0.19600000000000001"/>
    <n v="17"/>
  </r>
  <r>
    <s v="ORD-2024-500511"/>
    <d v="2024-10-08T00:00:00"/>
    <d v="2024-10-08T00:00:00"/>
    <d v="2024-10-08T00:00:00"/>
    <n v="0"/>
    <x v="3"/>
    <x v="8"/>
    <x v="21"/>
    <x v="0"/>
    <x v="1"/>
    <x v="6"/>
    <s v="Monitors"/>
    <s v="MON-9733"/>
    <n v="1108.1099999999999"/>
    <n v="2503.79"/>
    <n v="2503.79"/>
    <n v="0.184"/>
    <n v="0.184"/>
    <n v="19"/>
  </r>
  <r>
    <s v="ORD-2023-632893"/>
    <d v="2023-05-07T00:00:00"/>
    <d v="2023-05-05T00:00:00"/>
    <d v="2023-05-05T00:00:00"/>
    <n v="-2"/>
    <x v="0"/>
    <x v="1"/>
    <x v="1"/>
    <x v="2"/>
    <x v="2"/>
    <x v="8"/>
    <s v="Components"/>
    <s v="CMP-9392"/>
    <n v="1269.6500000000001"/>
    <n v="2462.77"/>
    <n v="2462.77"/>
    <n v="0.107"/>
    <n v="0.107"/>
    <n v="8"/>
  </r>
  <r>
    <s v="ORD-2023-967239"/>
    <d v="2023-12-24T00:00:00"/>
    <d v="2024-01-01T00:00:00"/>
    <d v="2024-01-01T00:00:00"/>
    <n v="8"/>
    <x v="2"/>
    <x v="5"/>
    <x v="8"/>
    <x v="1"/>
    <x v="4"/>
    <x v="0"/>
    <s v="Phones"/>
    <s v="PHN-3014"/>
    <n v="526.49"/>
    <n v="496.2"/>
    <n v="496.2"/>
    <n v="0"/>
    <n v="0"/>
    <n v="14"/>
  </r>
  <r>
    <s v="ORD-2024-885858"/>
    <d v="2024-01-10T00:00:00"/>
    <d v="2024-01-23T00:00:00"/>
    <d v="2024-01-23T00:00:00"/>
    <n v="13"/>
    <x v="3"/>
    <x v="7"/>
    <x v="11"/>
    <x v="0"/>
    <x v="4"/>
    <x v="8"/>
    <s v="Printers"/>
    <s v="PRN-6776"/>
    <n v="720"/>
    <n v="907.59"/>
    <n v="907.59"/>
    <n v="0.154"/>
    <n v="0.154"/>
    <n v="10"/>
  </r>
  <r>
    <s v="ORD-2023-253245"/>
    <d v="2023-08-03T00:00:00"/>
    <d v="2023-08-14T00:00:00"/>
    <d v="2023-08-14T00:00:00"/>
    <n v="11"/>
    <x v="2"/>
    <x v="5"/>
    <x v="10"/>
    <x v="0"/>
    <x v="4"/>
    <x v="1"/>
    <s v="Accessories"/>
    <s v="ACC-3951"/>
    <n v="232.73"/>
    <n v="334.19"/>
    <n v="334.19"/>
    <n v="0.13400000000000001"/>
    <n v="0.13400000000000001"/>
    <n v="25"/>
  </r>
  <r>
    <s v="ORD-2025-484073"/>
    <d v="2025-02-19T00:00:00"/>
    <d v="2025-03-09T00:00:00"/>
    <d v="2025-03-09T00:00:00"/>
    <n v="18"/>
    <x v="1"/>
    <x v="4"/>
    <x v="18"/>
    <x v="4"/>
    <x v="4"/>
    <x v="7"/>
    <s v="Monitors"/>
    <s v="MON-1436"/>
    <n v="325.87"/>
    <n v="538.79"/>
    <n v="538.79"/>
    <n v="0.17399999999999999"/>
    <n v="0.17399999999999999"/>
    <n v="16"/>
  </r>
  <r>
    <s v="ORD-2024-745822"/>
    <d v="2024-03-31T00:00:00"/>
    <d v="2024-04-17T00:00:00"/>
    <d v="2024-04-17T00:00:00"/>
    <n v="17"/>
    <x v="3"/>
    <x v="6"/>
    <x v="36"/>
    <x v="1"/>
    <x v="4"/>
    <x v="10"/>
    <s v="Monitors"/>
    <s v="MON-8651"/>
    <n v="1025.51"/>
    <n v="1436.54"/>
    <n v="1436.54"/>
    <n v="0.13900000000000001"/>
    <n v="0.13900000000000001"/>
    <n v="28"/>
  </r>
  <r>
    <s v="ORD-2023-369160"/>
    <d v="2023-07-24T00:00:00"/>
    <d v="2023-08-13T00:00:00"/>
    <d v="2023-08-13T00:00:00"/>
    <n v="20"/>
    <x v="2"/>
    <x v="3"/>
    <x v="19"/>
    <x v="1"/>
    <x v="4"/>
    <x v="0"/>
    <s v="Monitors"/>
    <s v="MON-3307"/>
    <n v="1082.3800000000001"/>
    <n v="1766.55"/>
    <n v="1766.55"/>
    <n v="0.16400000000000001"/>
    <n v="0.16400000000000001"/>
    <n v="20"/>
  </r>
  <r>
    <s v="ORD-2024-834983"/>
    <d v="2024-03-16T00:00:00"/>
    <d v="2024-04-13T00:00:00"/>
    <d v="2024-04-13T00:00:00"/>
    <n v="28"/>
    <x v="3"/>
    <x v="7"/>
    <x v="28"/>
    <x v="4"/>
    <x v="1"/>
    <x v="11"/>
    <s v="Printers"/>
    <s v="PRN-8758"/>
    <n v="287.61"/>
    <n v="628.54"/>
    <n v="628.54"/>
    <n v="0.13500000000000001"/>
    <n v="0.13500000000000001"/>
    <n v="21"/>
  </r>
  <r>
    <s v="ORD-2024-499009"/>
    <d v="2024-01-25T00:00:00"/>
    <d v="2024-01-27T00:00:00"/>
    <d v="2024-01-27T00:00:00"/>
    <n v="2"/>
    <x v="2"/>
    <x v="5"/>
    <x v="8"/>
    <x v="2"/>
    <x v="2"/>
    <x v="13"/>
    <s v="Laptops"/>
    <s v="LAP-7056"/>
    <n v="1410.97"/>
    <n v="1650.75"/>
    <n v="1650.75"/>
    <n v="0.13500000000000001"/>
    <n v="0.13500000000000001"/>
    <n v="6"/>
  </r>
  <r>
    <s v="ORD-2024-948800"/>
    <d v="2024-03-27T00:00:00"/>
    <d v="2024-04-11T00:00:00"/>
    <d v="2024-04-11T00:00:00"/>
    <n v="15"/>
    <x v="2"/>
    <x v="10"/>
    <x v="24"/>
    <x v="4"/>
    <x v="4"/>
    <x v="7"/>
    <s v="Networking"/>
    <s v="NET-5523"/>
    <n v="1338.35"/>
    <n v="2247.14"/>
    <n v="2247.14"/>
    <n v="0.115"/>
    <n v="0.115"/>
    <n v="40"/>
  </r>
  <r>
    <s v="ORD-2025-678328"/>
    <d v="2025-06-24T00:00:00"/>
    <d v="2025-07-14T00:00:00"/>
    <d v="2025-07-14T00:00:00"/>
    <n v="20"/>
    <x v="3"/>
    <x v="6"/>
    <x v="9"/>
    <x v="0"/>
    <x v="4"/>
    <x v="7"/>
    <s v="Accessories"/>
    <s v="ACC-8094"/>
    <n v="385.08"/>
    <n v="893.19"/>
    <n v="893.19"/>
    <n v="0.151"/>
    <n v="0.151"/>
    <n v="8"/>
  </r>
  <r>
    <s v="ORD-2024-580808"/>
    <d v="2024-06-16T00:00:00"/>
    <d v="2024-07-03T00:00:00"/>
    <d v="2024-07-03T00:00:00"/>
    <n v="17"/>
    <x v="0"/>
    <x v="11"/>
    <x v="20"/>
    <x v="5"/>
    <x v="2"/>
    <x v="9"/>
    <s v="Phones"/>
    <s v="PHN-6832"/>
    <n v="1173.83"/>
    <n v="2328.9"/>
    <n v="2328.9"/>
    <n v="0.12"/>
    <n v="0.12"/>
    <n v="17"/>
  </r>
  <r>
    <s v="ORD-2023-211715"/>
    <d v="2023-10-30T00:00:00"/>
    <d v="2023-11-14T00:00:00"/>
    <d v="2023-11-14T00:00:00"/>
    <n v="15"/>
    <x v="1"/>
    <x v="4"/>
    <x v="6"/>
    <x v="0"/>
    <x v="1"/>
    <x v="9"/>
    <s v="Laptops"/>
    <s v="LAP-2378"/>
    <n v="953.46"/>
    <n v="2066.75"/>
    <n v="2066.75"/>
    <n v="0.13800000000000001"/>
    <n v="0.13800000000000001"/>
    <n v="5"/>
  </r>
  <r>
    <s v="ORD-2023-715175"/>
    <d v="2023-06-15T00:00:00"/>
    <d v="2023-06-23T00:00:00"/>
    <d v="2023-06-23T00:00:00"/>
    <n v="8"/>
    <x v="2"/>
    <x v="10"/>
    <x v="24"/>
    <x v="3"/>
    <x v="3"/>
    <x v="7"/>
    <s v="Monitors"/>
    <s v="MON-5424"/>
    <n v="1097.0899999999999"/>
    <n v="2182.31"/>
    <n v="2182.31"/>
    <n v="0.112"/>
    <n v="0.112"/>
    <n v="9"/>
  </r>
  <r>
    <s v="ORD-2025-685236"/>
    <d v="2025-03-14T00:00:00"/>
    <d v="2025-03-29T00:00:00"/>
    <d v="2025-03-29T00:00:00"/>
    <n v="15"/>
    <x v="1"/>
    <x v="2"/>
    <x v="27"/>
    <x v="2"/>
    <x v="4"/>
    <x v="10"/>
    <s v="Networking"/>
    <s v="NET-8430"/>
    <n v="1106.96"/>
    <n v="2726.62"/>
    <n v="2726.62"/>
    <n v="0.317"/>
    <n v="0.11861439999999995"/>
    <n v="7"/>
  </r>
  <r>
    <s v="ORD-2023-274037"/>
    <d v="2023-08-15T00:00:00"/>
    <d v="2023-08-25T00:00:00"/>
    <d v="2023-08-25T00:00:00"/>
    <n v="10"/>
    <x v="0"/>
    <x v="0"/>
    <x v="2"/>
    <x v="4"/>
    <x v="0"/>
    <x v="13"/>
    <s v="Phones"/>
    <s v="PHN-1234"/>
    <n v="91.85"/>
    <n v="111.29"/>
    <n v="111.29"/>
    <n v="0"/>
    <n v="0"/>
    <n v="6"/>
  </r>
  <r>
    <s v="ORD-2025-983096"/>
    <d v="2025-05-17T00:00:00"/>
    <d v="2025-05-28T00:00:00"/>
    <d v="2025-05-28T00:00:00"/>
    <n v="11"/>
    <x v="1"/>
    <x v="4"/>
    <x v="6"/>
    <x v="0"/>
    <x v="3"/>
    <x v="5"/>
    <s v="Laptops"/>
    <s v="LAP-9016"/>
    <n v="623.4"/>
    <n v="1100.0899999999999"/>
    <n v="1100.0899999999999"/>
    <n v="0.114"/>
    <n v="0.114"/>
    <n v="12"/>
  </r>
  <r>
    <s v="ORD-2024-366010"/>
    <d v="2024-01-13T00:00:00"/>
    <d v="2024-02-05T00:00:00"/>
    <d v="2024-02-05T00:00:00"/>
    <n v="23"/>
    <x v="3"/>
    <x v="6"/>
    <x v="36"/>
    <x v="1"/>
    <x v="4"/>
    <x v="5"/>
    <s v="Laptops"/>
    <s v="LAP-9931"/>
    <n v="1017.93"/>
    <n v="1529.14"/>
    <n v="1529.14"/>
    <n v="0.155"/>
    <n v="0.155"/>
    <n v="12"/>
  </r>
  <r>
    <s v="ORD-2023-610470"/>
    <d v="2023-06-24T00:00:00"/>
    <d v="2023-07-21T00:00:00"/>
    <d v="2023-07-21T00:00:00"/>
    <n v="27"/>
    <x v="1"/>
    <x v="2"/>
    <x v="32"/>
    <x v="3"/>
    <x v="2"/>
    <x v="1"/>
    <s v="Phones"/>
    <s v="PHN-6818"/>
    <n v="554.76"/>
    <n v="728.69"/>
    <n v="728.69"/>
    <n v="0.22"/>
    <n v="0.22"/>
    <n v="7"/>
  </r>
  <r>
    <s v="ORD-2025-541048"/>
    <d v="2025-04-04T00:00:00"/>
    <d v="2025-04-13T00:00:00"/>
    <d v="2025-04-13T00:00:00"/>
    <n v="9"/>
    <x v="3"/>
    <x v="6"/>
    <x v="22"/>
    <x v="3"/>
    <x v="2"/>
    <x v="9"/>
    <s v="Phones"/>
    <s v="PHN-3803"/>
    <n v="7.02"/>
    <n v="6.28"/>
    <n v="6.28"/>
    <n v="0.13400000000000001"/>
    <n v="0.13400000000000001"/>
    <n v="14"/>
  </r>
  <r>
    <s v="ORD-2024-862371"/>
    <d v="2024-09-07T00:00:00"/>
    <d v="2024-09-07T00:00:00"/>
    <d v="2024-09-07T00:00:00"/>
    <n v="0"/>
    <x v="1"/>
    <x v="4"/>
    <x v="29"/>
    <x v="1"/>
    <x v="3"/>
    <x v="5"/>
    <s v="Networking"/>
    <s v="NET-9835"/>
    <n v="1066.6500000000001"/>
    <n v="2569.77"/>
    <n v="2569.77"/>
    <n v="0.13400000000000001"/>
    <n v="0.13400000000000001"/>
    <n v="9"/>
  </r>
  <r>
    <s v="ORD-2024-277241"/>
    <d v="2024-01-28T00:00:00"/>
    <d v="2024-01-30T00:00:00"/>
    <d v="2024-01-30T00:00:00"/>
    <n v="2"/>
    <x v="0"/>
    <x v="11"/>
    <x v="33"/>
    <x v="3"/>
    <x v="4"/>
    <x v="9"/>
    <s v="Accessories"/>
    <s v="ACC-6223"/>
    <n v="798.45"/>
    <n v="1592.02"/>
    <n v="1592.02"/>
    <n v="6.6000000000000003E-2"/>
    <n v="6.6000000000000003E-2"/>
    <n v="18"/>
  </r>
  <r>
    <s v="ORD-2023-369150"/>
    <d v="2023-07-18T00:00:00"/>
    <d v="2023-08-10T00:00:00"/>
    <d v="2023-08-10T00:00:00"/>
    <n v="23"/>
    <x v="0"/>
    <x v="11"/>
    <x v="20"/>
    <x v="4"/>
    <x v="0"/>
    <x v="4"/>
    <s v="Components"/>
    <s v="CMP-8659"/>
    <n v="1271.56"/>
    <n v="995.47"/>
    <n v="995.47"/>
    <n v="0.192"/>
    <n v="0.192"/>
    <n v="13"/>
  </r>
  <r>
    <s v="ORD-2025-922513"/>
    <d v="2025-08-28T00:00:00"/>
    <d v="2025-08-26T00:00:00"/>
    <d v="2025-08-26T00:00:00"/>
    <n v="-2"/>
    <x v="0"/>
    <x v="1"/>
    <x v="1"/>
    <x v="4"/>
    <x v="0"/>
    <x v="8"/>
    <s v="Accessories"/>
    <s v="ACC-4483"/>
    <n v="521.05999999999995"/>
    <n v="1240.31"/>
    <n v="1240.31"/>
    <n v="0.14599999999999999"/>
    <n v="0.14599999999999999"/>
    <n v="18"/>
  </r>
  <r>
    <s v="ORD-2025-752845"/>
    <d v="2025-03-30T00:00:00"/>
    <d v="2025-04-07T00:00:00"/>
    <d v="2025-04-07T00:00:00"/>
    <n v="8"/>
    <x v="2"/>
    <x v="5"/>
    <x v="8"/>
    <x v="2"/>
    <x v="4"/>
    <x v="4"/>
    <s v="Printers"/>
    <s v="PRN-8763"/>
    <n v="71.62"/>
    <n v="118.37"/>
    <n v="118.37"/>
    <n v="0.156"/>
    <n v="0.156"/>
    <n v="11"/>
  </r>
  <r>
    <s v="ORD-2023-667815"/>
    <d v="2023-10-21T00:00:00"/>
    <d v="2023-11-09T00:00:00"/>
    <d v="2023-11-09T00:00:00"/>
    <n v="19"/>
    <x v="3"/>
    <x v="8"/>
    <x v="21"/>
    <x v="2"/>
    <x v="4"/>
    <x v="8"/>
    <s v="Accessories"/>
    <s v="ACC-8557"/>
    <n v="1142.48"/>
    <n v="2105.5300000000002"/>
    <n v="2105.5300000000002"/>
    <n v="0.20699999999999999"/>
    <n v="0.20699999999999999"/>
    <n v="14"/>
  </r>
  <r>
    <s v="ORD-2023-375011"/>
    <d v="2023-08-23T00:00:00"/>
    <d v="2023-09-22T00:00:00"/>
    <d v="2023-09-22T00:00:00"/>
    <n v="30"/>
    <x v="3"/>
    <x v="8"/>
    <x v="21"/>
    <x v="3"/>
    <x v="3"/>
    <x v="7"/>
    <s v="Accessories"/>
    <s v="ACC-1492"/>
    <n v="209.81"/>
    <n v="523"/>
    <n v="523"/>
    <n v="5.8999999999999997E-2"/>
    <n v="5.8999999999999997E-2"/>
    <n v="15"/>
  </r>
  <r>
    <s v="ORD-2025-487025"/>
    <d v="2025-04-11T00:00:00"/>
    <d v="2025-05-04T00:00:00"/>
    <d v="2025-05-04T00:00:00"/>
    <n v="23"/>
    <x v="1"/>
    <x v="2"/>
    <x v="4"/>
    <x v="4"/>
    <x v="1"/>
    <x v="12"/>
    <s v="Components"/>
    <s v="CMP-3743"/>
    <n v="786.2"/>
    <n v="1075.3"/>
    <n v="1075.3"/>
    <n v="0.08"/>
    <n v="0.08"/>
    <n v="9"/>
  </r>
  <r>
    <s v="ORD-2025-398335"/>
    <d v="2025-06-01T00:00:00"/>
    <d v="2025-06-27T00:00:00"/>
    <d v="2025-06-27T00:00:00"/>
    <n v="26"/>
    <x v="3"/>
    <x v="6"/>
    <x v="22"/>
    <x v="3"/>
    <x v="3"/>
    <x v="6"/>
    <s v="Laptops"/>
    <s v="LAP-1619"/>
    <n v="1362.31"/>
    <n v="3294.57"/>
    <n v="3294.57"/>
    <n v="0.113"/>
    <n v="0.113"/>
    <n v="7"/>
  </r>
  <r>
    <s v="ORD-2024-792137"/>
    <d v="2024-03-02T00:00:00"/>
    <d v="2024-03-16T00:00:00"/>
    <d v="2024-03-16T00:00:00"/>
    <n v="14"/>
    <x v="2"/>
    <x v="3"/>
    <x v="26"/>
    <x v="2"/>
    <x v="4"/>
    <x v="7"/>
    <s v="Printers"/>
    <s v="PRN-7976"/>
    <n v="248.24"/>
    <n v="464.05"/>
    <n v="464.05"/>
    <n v="0.16900000000000001"/>
    <n v="0.16900000000000001"/>
    <n v="11"/>
  </r>
  <r>
    <s v="ORD-2023-602648"/>
    <d v="2023-06-20T00:00:00"/>
    <d v="2023-07-08T00:00:00"/>
    <d v="2023-07-08T00:00:00"/>
    <n v="18"/>
    <x v="2"/>
    <x v="10"/>
    <x v="35"/>
    <x v="2"/>
    <x v="4"/>
    <x v="9"/>
    <s v="Monitors"/>
    <s v="MON-4326"/>
    <n v="337"/>
    <n v="511.03"/>
    <n v="511.03"/>
    <n v="0.108"/>
    <n v="0.108"/>
    <n v="7"/>
  </r>
  <r>
    <s v="ORD-2024-207096"/>
    <d v="2024-03-26T00:00:00"/>
    <d v="2024-04-05T00:00:00"/>
    <d v="2024-04-05T00:00:00"/>
    <n v="10"/>
    <x v="2"/>
    <x v="10"/>
    <x v="35"/>
    <x v="3"/>
    <x v="4"/>
    <x v="1"/>
    <s v="Monitors"/>
    <s v="MON-5444"/>
    <n v="5.66"/>
    <n v="4.22"/>
    <n v="4.22"/>
    <n v="0.11899999999999999"/>
    <n v="0.11899999999999999"/>
    <n v="18"/>
  </r>
  <r>
    <s v="ORD-2025-939953"/>
    <d v="2025-01-22T00:00:00"/>
    <d v="2025-01-22T00:00:00"/>
    <d v="2025-01-22T00:00:00"/>
    <n v="0"/>
    <x v="3"/>
    <x v="7"/>
    <x v="17"/>
    <x v="4"/>
    <x v="1"/>
    <x v="5"/>
    <s v="Accessories"/>
    <s v="ACC-5422"/>
    <n v="591.72"/>
    <n v="577.24"/>
    <n v="577.24"/>
    <n v="0"/>
    <n v="0"/>
    <n v="22"/>
  </r>
  <r>
    <s v="ORD-2025-191328"/>
    <d v="2025-05-10T00:00:00"/>
    <d v="2025-05-27T00:00:00"/>
    <d v="2025-05-27T00:00:00"/>
    <n v="17"/>
    <x v="2"/>
    <x v="3"/>
    <x v="26"/>
    <x v="1"/>
    <x v="4"/>
    <x v="0"/>
    <s v="Components"/>
    <s v="CMP-9307"/>
    <n v="862.89"/>
    <n v="1426.03"/>
    <n v="1426.03"/>
    <n v="5.6000000000000001E-2"/>
    <n v="5.6000000000000001E-2"/>
    <n v="19"/>
  </r>
  <r>
    <s v="ORD-2023-166668"/>
    <d v="2023-10-05T00:00:00"/>
    <d v="2023-10-31T00:00:00"/>
    <d v="2023-10-31T00:00:00"/>
    <n v="26"/>
    <x v="1"/>
    <x v="9"/>
    <x v="23"/>
    <x v="3"/>
    <x v="3"/>
    <x v="1"/>
    <s v="Printers"/>
    <s v="PRN-6520"/>
    <n v="649.91"/>
    <n v="1360.12"/>
    <n v="1360.12"/>
    <n v="0.19400000000000001"/>
    <n v="0.19400000000000001"/>
    <n v="9"/>
  </r>
  <r>
    <s v="ORD-2023-594700"/>
    <d v="2023-07-18T00:00:00"/>
    <d v="2023-07-22T00:00:00"/>
    <d v="2023-07-22T00:00:00"/>
    <n v="4"/>
    <x v="2"/>
    <x v="5"/>
    <x v="8"/>
    <x v="3"/>
    <x v="4"/>
    <x v="9"/>
    <s v="Networking"/>
    <s v="NET-1699"/>
    <n v="1269.55"/>
    <n v="2071.1"/>
    <n v="2071.1"/>
    <n v="0.129"/>
    <n v="0.129"/>
    <n v="22"/>
  </r>
  <r>
    <s v="ORD-2025-278048"/>
    <d v="2025-06-22T00:00:00"/>
    <d v="2025-07-08T00:00:00"/>
    <d v="2025-07-08T00:00:00"/>
    <n v="16"/>
    <x v="3"/>
    <x v="8"/>
    <x v="21"/>
    <x v="1"/>
    <x v="4"/>
    <x v="8"/>
    <s v="Phones"/>
    <s v="PHN-5316"/>
    <n v="892.73"/>
    <n v="979.84"/>
    <n v="979.84"/>
    <n v="0.17399999999999999"/>
    <n v="0.17399999999999999"/>
    <n v="10"/>
  </r>
  <r>
    <s v="ORD-2024-878493"/>
    <d v="2024-06-19T00:00:00"/>
    <d v="2024-06-20T00:00:00"/>
    <d v="2024-06-20T00:00:00"/>
    <n v="1"/>
    <x v="0"/>
    <x v="0"/>
    <x v="0"/>
    <x v="4"/>
    <x v="4"/>
    <x v="1"/>
    <s v="Laptops"/>
    <s v="LAP-4607"/>
    <n v="231.63"/>
    <n v="537.39"/>
    <n v="537.39"/>
    <n v="0.08"/>
    <n v="0.08"/>
    <n v="12"/>
  </r>
  <r>
    <s v="ORD-2025-138578"/>
    <d v="2025-04-09T00:00:00"/>
    <d v="2025-04-12T00:00:00"/>
    <d v="2025-04-12T00:00:00"/>
    <n v="3"/>
    <x v="3"/>
    <x v="7"/>
    <x v="17"/>
    <x v="4"/>
    <x v="3"/>
    <x v="10"/>
    <s v="Monitors"/>
    <s v="MON-5276"/>
    <n v="86.68"/>
    <n v="213.32"/>
    <n v="213.32"/>
    <n v="3.7999999999999999E-2"/>
    <n v="3.7999999999999999E-2"/>
    <n v="8"/>
  </r>
  <r>
    <s v="ORD-2025-944081"/>
    <d v="2025-03-25T00:00:00"/>
    <d v="2025-03-26T00:00:00"/>
    <d v="2025-03-26T00:00:00"/>
    <n v="1"/>
    <x v="0"/>
    <x v="1"/>
    <x v="3"/>
    <x v="1"/>
    <x v="3"/>
    <x v="3"/>
    <s v="Accessories"/>
    <s v="ACC-9533"/>
    <n v="1450.43"/>
    <n v="1994.67"/>
    <n v="1994.67"/>
    <n v="0.1"/>
    <n v="0.1"/>
    <n v="24"/>
  </r>
  <r>
    <s v="ORD-2025-364852"/>
    <d v="2025-05-18T00:00:00"/>
    <d v="2025-06-09T00:00:00"/>
    <d v="2025-06-09T00:00:00"/>
    <n v="22"/>
    <x v="2"/>
    <x v="10"/>
    <x v="38"/>
    <x v="3"/>
    <x v="0"/>
    <x v="10"/>
    <s v="Networking"/>
    <s v="NET-3749"/>
    <n v="382.96"/>
    <n v="552.84"/>
    <n v="552.84"/>
    <n v="0.17599999999999999"/>
    <n v="0.17599999999999999"/>
    <n v="8"/>
  </r>
  <r>
    <s v="ORD-2025-415018"/>
    <d v="2025-01-22T00:00:00"/>
    <d v="2025-02-04T00:00:00"/>
    <d v="2025-02-04T00:00:00"/>
    <n v="13"/>
    <x v="1"/>
    <x v="2"/>
    <x v="27"/>
    <x v="4"/>
    <x v="3"/>
    <x v="4"/>
    <s v="Printers"/>
    <s v="PRN-2991"/>
    <n v="122.29"/>
    <n v="224.95"/>
    <n v="224.95"/>
    <n v="0.153"/>
    <n v="0.153"/>
    <n v="28"/>
  </r>
  <r>
    <s v="ORD-2023-884192"/>
    <d v="2023-01-10T00:00:00"/>
    <d v="2023-01-29T00:00:00"/>
    <d v="2023-01-29T00:00:00"/>
    <n v="19"/>
    <x v="3"/>
    <x v="7"/>
    <x v="17"/>
    <x v="2"/>
    <x v="4"/>
    <x v="14"/>
    <s v="Laptops"/>
    <s v="LAP-4551"/>
    <n v="401.66"/>
    <n v="772.09"/>
    <n v="772.09"/>
    <n v="8.8999999999999996E-2"/>
    <n v="8.8999999999999996E-2"/>
    <n v="14"/>
  </r>
  <r>
    <s v="ORD-2024-165942"/>
    <d v="2024-12-29T00:00:00"/>
    <d v="2025-01-12T00:00:00"/>
    <d v="2025-01-12T00:00:00"/>
    <n v="14"/>
    <x v="3"/>
    <x v="8"/>
    <x v="31"/>
    <x v="0"/>
    <x v="4"/>
    <x v="5"/>
    <s v="Monitors"/>
    <s v="MON-6310"/>
    <n v="1399.72"/>
    <n v="3149.21"/>
    <n v="3149.21"/>
    <n v="0.185"/>
    <n v="0.185"/>
    <n v="12"/>
  </r>
  <r>
    <s v="ORD-2024-403664"/>
    <d v="2024-05-23T00:00:00"/>
    <d v="2024-06-06T00:00:00"/>
    <d v="2024-06-06T00:00:00"/>
    <n v="14"/>
    <x v="2"/>
    <x v="5"/>
    <x v="30"/>
    <x v="2"/>
    <x v="1"/>
    <x v="2"/>
    <s v="Networking"/>
    <s v="NET-1166"/>
    <n v="51.13"/>
    <n v="57.53"/>
    <n v="57.53"/>
    <n v="4.4999999999999998E-2"/>
    <n v="4.4999999999999998E-2"/>
    <n v="16"/>
  </r>
  <r>
    <s v="ORD-2023-890605"/>
    <d v="2023-06-24T00:00:00"/>
    <d v="2023-06-22T00:00:00"/>
    <d v="2023-06-22T00:00:00"/>
    <n v="-2"/>
    <x v="2"/>
    <x v="3"/>
    <x v="5"/>
    <x v="2"/>
    <x v="0"/>
    <x v="12"/>
    <s v="Accessories"/>
    <s v="ACC-2903"/>
    <n v="471.42"/>
    <n v="824.81"/>
    <n v="824.81"/>
    <n v="8.7999999999999995E-2"/>
    <n v="8.7999999999999995E-2"/>
    <n v="15"/>
  </r>
  <r>
    <s v="ORD-2024-925626"/>
    <d v="2024-11-04T00:00:00"/>
    <d v="2024-11-05T00:00:00"/>
    <d v="2024-11-05T00:00:00"/>
    <n v="1"/>
    <x v="3"/>
    <x v="8"/>
    <x v="21"/>
    <x v="0"/>
    <x v="0"/>
    <x v="12"/>
    <s v="Printers"/>
    <s v="PRN-2293"/>
    <n v="840.68"/>
    <n v="1493.53"/>
    <n v="1493.53"/>
    <n v="0"/>
    <n v="0"/>
    <n v="27"/>
  </r>
  <r>
    <s v="ORD-2024-427031"/>
    <d v="2024-06-08T00:00:00"/>
    <d v="2024-06-24T00:00:00"/>
    <d v="2024-06-24T00:00:00"/>
    <n v="16"/>
    <x v="0"/>
    <x v="11"/>
    <x v="25"/>
    <x v="1"/>
    <x v="3"/>
    <x v="10"/>
    <s v="Monitors"/>
    <s v="MON-1389"/>
    <n v="597.85"/>
    <n v="741.92"/>
    <n v="741.92"/>
    <n v="3.1E-2"/>
    <n v="3.1E-2"/>
    <n v="7"/>
  </r>
  <r>
    <s v="ORD-2025-231184"/>
    <d v="2025-06-01T00:00:00"/>
    <d v="2025-06-06T00:00:00"/>
    <d v="2025-06-06T00:00:00"/>
    <n v="5"/>
    <x v="3"/>
    <x v="7"/>
    <x v="28"/>
    <x v="3"/>
    <x v="3"/>
    <x v="3"/>
    <s v="Components"/>
    <s v="CMP-4093"/>
    <n v="379.45"/>
    <n v="742.23"/>
    <n v="742.23"/>
    <n v="0.09"/>
    <n v="0.09"/>
    <n v="13"/>
  </r>
  <r>
    <s v="ORD-2023-363031"/>
    <d v="2023-05-06T00:00:00"/>
    <d v="2023-05-14T00:00:00"/>
    <d v="2023-05-14T00:00:00"/>
    <n v="8"/>
    <x v="1"/>
    <x v="2"/>
    <x v="4"/>
    <x v="5"/>
    <x v="2"/>
    <x v="5"/>
    <s v="Phones"/>
    <s v="PHN-6131"/>
    <n v="291.18"/>
    <n v="479.54"/>
    <n v="479.54"/>
    <n v="0.14099999999999999"/>
    <n v="0.14099999999999999"/>
    <n v="22"/>
  </r>
  <r>
    <s v="ORD-2023-619570"/>
    <d v="2023-11-14T00:00:00"/>
    <d v="2023-11-30T00:00:00"/>
    <d v="2023-11-30T00:00:00"/>
    <n v="16"/>
    <x v="2"/>
    <x v="5"/>
    <x v="8"/>
    <x v="5"/>
    <x v="4"/>
    <x v="11"/>
    <s v="Networking"/>
    <s v="NET-4104"/>
    <n v="1017.92"/>
    <n v="1175.25"/>
    <n v="1175.25"/>
    <n v="7.4999999999999997E-2"/>
    <n v="7.4999999999999997E-2"/>
    <n v="15"/>
  </r>
  <r>
    <s v="ORD-2025-861401"/>
    <d v="2025-04-01T00:00:00"/>
    <d v="2025-04-27T00:00:00"/>
    <d v="2025-04-27T00:00:00"/>
    <n v="26"/>
    <x v="2"/>
    <x v="10"/>
    <x v="24"/>
    <x v="0"/>
    <x v="4"/>
    <x v="2"/>
    <s v="Monitors"/>
    <s v="MON-9319"/>
    <n v="156.55000000000001"/>
    <n v="227.45"/>
    <n v="227.45"/>
    <n v="1.4E-2"/>
    <n v="1.4E-2"/>
    <n v="13"/>
  </r>
  <r>
    <s v="ORD-2023-835010"/>
    <d v="2023-03-23T00:00:00"/>
    <d v="2023-04-15T00:00:00"/>
    <d v="2023-04-15T00:00:00"/>
    <n v="23"/>
    <x v="0"/>
    <x v="0"/>
    <x v="13"/>
    <x v="4"/>
    <x v="0"/>
    <x v="0"/>
    <s v="Accessories"/>
    <s v="ACC-2988"/>
    <n v="875.36"/>
    <n v="1178.6199999999999"/>
    <n v="1178.6199999999999"/>
    <n v="0.151"/>
    <n v="0.151"/>
    <n v="53"/>
  </r>
  <r>
    <s v="ORD-2024-819979"/>
    <d v="2024-05-28T00:00:00"/>
    <d v="2024-06-18T00:00:00"/>
    <d v="2024-06-18T00:00:00"/>
    <n v="21"/>
    <x v="3"/>
    <x v="6"/>
    <x v="36"/>
    <x v="4"/>
    <x v="1"/>
    <x v="6"/>
    <s v="Phones"/>
    <s v="PHN-9399"/>
    <n v="986.85"/>
    <n v="2422.1"/>
    <n v="2422.1"/>
    <n v="7.5999999999999998E-2"/>
    <n v="7.5999999999999998E-2"/>
    <n v="10"/>
  </r>
  <r>
    <s v="ORD-2024-719055"/>
    <d v="2024-01-02T00:00:00"/>
    <d v="2024-01-01T00:00:00"/>
    <d v="2024-01-01T00:00:00"/>
    <n v="-1"/>
    <x v="2"/>
    <x v="10"/>
    <x v="15"/>
    <x v="1"/>
    <x v="2"/>
    <x v="5"/>
    <s v="Networking"/>
    <s v="NET-4554"/>
    <n v="404.77"/>
    <n v="433.88"/>
    <n v="433.88"/>
    <n v="0.215"/>
    <n v="0.215"/>
    <n v="22"/>
  </r>
  <r>
    <s v="ORD-2023-888245"/>
    <d v="2023-02-28T00:00:00"/>
    <d v="2023-02-27T00:00:00"/>
    <d v="2023-02-27T00:00:00"/>
    <n v="-1"/>
    <x v="3"/>
    <x v="7"/>
    <x v="11"/>
    <x v="0"/>
    <x v="0"/>
    <x v="11"/>
    <s v="Networking"/>
    <s v="NET-5195"/>
    <n v="1299.81"/>
    <n v="3149.13"/>
    <n v="3149.13"/>
    <n v="0.10299999999999999"/>
    <n v="0.10299999999999999"/>
    <n v="14"/>
  </r>
  <r>
    <s v="ORD-2024-206121"/>
    <d v="2024-02-18T00:00:00"/>
    <d v="2024-03-11T00:00:00"/>
    <d v="2024-03-11T00:00:00"/>
    <n v="22"/>
    <x v="2"/>
    <x v="5"/>
    <x v="8"/>
    <x v="3"/>
    <x v="1"/>
    <x v="8"/>
    <s v="Components"/>
    <s v="CMP-9801"/>
    <n v="80.48"/>
    <n v="65.650000000000006"/>
    <n v="65.650000000000006"/>
    <n v="0.17599999999999999"/>
    <n v="0.17599999999999999"/>
    <n v="13"/>
  </r>
  <r>
    <s v="ORD-2024-500890"/>
    <d v="2024-09-09T00:00:00"/>
    <d v="2024-10-08T00:00:00"/>
    <d v="2024-10-08T00:00:00"/>
    <n v="29"/>
    <x v="2"/>
    <x v="5"/>
    <x v="8"/>
    <x v="1"/>
    <x v="4"/>
    <x v="1"/>
    <s v="Components"/>
    <s v="CMP-3093"/>
    <n v="1010.33"/>
    <n v="2492.14"/>
    <n v="2492.14"/>
    <n v="5.0999999999999997E-2"/>
    <n v="5.0999999999999997E-2"/>
    <n v="11"/>
  </r>
  <r>
    <s v="ORD-2023-144816"/>
    <d v="2023-05-07T00:00:00"/>
    <d v="2023-05-29T00:00:00"/>
    <d v="2023-05-29T00:00:00"/>
    <n v="22"/>
    <x v="0"/>
    <x v="11"/>
    <x v="25"/>
    <x v="1"/>
    <x v="3"/>
    <x v="11"/>
    <s v="Accessories"/>
    <s v="ACC-2364"/>
    <n v="653.86"/>
    <n v="931.84"/>
    <n v="931.84"/>
    <n v="0.121"/>
    <n v="0.121"/>
    <n v="12"/>
  </r>
  <r>
    <s v="ORD-2024-153053"/>
    <d v="2024-01-12T00:00:00"/>
    <d v="2024-01-29T00:00:00"/>
    <d v="2024-01-29T00:00:00"/>
    <n v="17"/>
    <x v="1"/>
    <x v="4"/>
    <x v="34"/>
    <x v="4"/>
    <x v="4"/>
    <x v="5"/>
    <s v="Components"/>
    <s v="CMP-5138"/>
    <n v="310.02"/>
    <n v="619.51"/>
    <n v="619.51"/>
    <n v="4.2000000000000003E-2"/>
    <n v="4.2000000000000003E-2"/>
    <n v="4"/>
  </r>
  <r>
    <s v="ORD-2023-536542"/>
    <d v="2023-06-10T00:00:00"/>
    <d v="2023-06-18T00:00:00"/>
    <d v="2023-06-18T00:00:00"/>
    <n v="8"/>
    <x v="0"/>
    <x v="0"/>
    <x v="16"/>
    <x v="5"/>
    <x v="4"/>
    <x v="10"/>
    <s v="Phones"/>
    <s v="PHN-2337"/>
    <n v="894.23"/>
    <n v="1421.55"/>
    <n v="1421.55"/>
    <n v="0.109"/>
    <n v="0.109"/>
    <n v="3"/>
  </r>
  <r>
    <s v="ORD-2025-779530"/>
    <d v="2025-05-19T00:00:00"/>
    <d v="2025-05-17T00:00:00"/>
    <d v="2025-05-17T00:00:00"/>
    <n v="-2"/>
    <x v="2"/>
    <x v="5"/>
    <x v="8"/>
    <x v="4"/>
    <x v="3"/>
    <x v="4"/>
    <s v="Monitors"/>
    <s v="MON-2993"/>
    <n v="383.77"/>
    <n v="952.56"/>
    <n v="952.56"/>
    <n v="0.34599999999999997"/>
    <n v="0.11861439999999995"/>
    <n v="10"/>
  </r>
  <r>
    <s v="ORD-2023-163610"/>
    <d v="2023-10-22T00:00:00"/>
    <d v="2023-11-16T00:00:00"/>
    <d v="2023-11-16T00:00:00"/>
    <n v="25"/>
    <x v="2"/>
    <x v="3"/>
    <x v="5"/>
    <x v="4"/>
    <x v="2"/>
    <x v="2"/>
    <s v="Laptops"/>
    <s v="LAP-9024"/>
    <n v="1373.31"/>
    <n v="3154.14"/>
    <n v="3154.14"/>
    <n v="0.2"/>
    <n v="0.2"/>
    <n v="11"/>
  </r>
  <r>
    <s v="ORD-2025-653781"/>
    <d v="2025-01-11T00:00:00"/>
    <d v="2025-01-23T00:00:00"/>
    <d v="2025-01-23T00:00:00"/>
    <n v="12"/>
    <x v="2"/>
    <x v="10"/>
    <x v="35"/>
    <x v="3"/>
    <x v="3"/>
    <x v="10"/>
    <s v="Phones"/>
    <s v="PHN-6307"/>
    <n v="100.69"/>
    <n v="226.14"/>
    <n v="226.14"/>
    <n v="6.5000000000000002E-2"/>
    <n v="6.5000000000000002E-2"/>
    <n v="12"/>
  </r>
  <r>
    <s v="ORD-2025-737787"/>
    <d v="2025-09-14T00:00:00"/>
    <d v="2025-09-26T00:00:00"/>
    <d v="2025-09-26T00:00:00"/>
    <n v="12"/>
    <x v="3"/>
    <x v="8"/>
    <x v="21"/>
    <x v="4"/>
    <x v="4"/>
    <x v="13"/>
    <s v="Networking"/>
    <s v="NET-9003"/>
    <n v="425.15"/>
    <n v="885.92"/>
    <n v="885.92"/>
    <n v="0.23899999999999999"/>
    <n v="0.23899999999999999"/>
    <n v="13"/>
  </r>
  <r>
    <s v="ORD-2023-944052"/>
    <d v="2023-08-30T00:00:00"/>
    <d v="2023-09-03T00:00:00"/>
    <d v="2023-09-03T00:00:00"/>
    <n v="4"/>
    <x v="1"/>
    <x v="4"/>
    <x v="18"/>
    <x v="4"/>
    <x v="2"/>
    <x v="4"/>
    <s v="Accessories"/>
    <s v="ACC-3068"/>
    <n v="1082.25"/>
    <n v="2433.34"/>
    <n v="2433.34"/>
    <n v="0.27"/>
    <n v="0.27"/>
    <n v="4"/>
  </r>
  <r>
    <s v="ORD-2023-181257"/>
    <d v="2023-11-15T00:00:00"/>
    <d v="2023-12-06T00:00:00"/>
    <d v="2023-12-06T00:00:00"/>
    <n v="21"/>
    <x v="3"/>
    <x v="8"/>
    <x v="31"/>
    <x v="1"/>
    <x v="4"/>
    <x v="10"/>
    <s v="Accessories"/>
    <s v="ACC-1060"/>
    <n v="1184.99"/>
    <n v="1154.3399999999999"/>
    <n v="1154.3399999999999"/>
    <n v="2.8000000000000001E-2"/>
    <n v="2.8000000000000001E-2"/>
    <n v="5"/>
  </r>
  <r>
    <s v="ORD-2025-323492"/>
    <d v="2025-04-27T00:00:00"/>
    <d v="2025-05-27T00:00:00"/>
    <d v="2025-05-27T00:00:00"/>
    <n v="30"/>
    <x v="1"/>
    <x v="4"/>
    <x v="18"/>
    <x v="5"/>
    <x v="2"/>
    <x v="10"/>
    <s v="Phones"/>
    <s v="PHN-3854"/>
    <n v="481.32"/>
    <n v="1135.99"/>
    <n v="1135.99"/>
    <n v="0.14499999999999999"/>
    <n v="0.14499999999999999"/>
    <n v="5"/>
  </r>
  <r>
    <s v="ORD-2024-332076"/>
    <d v="2024-04-09T00:00:00"/>
    <d v="2024-04-18T00:00:00"/>
    <d v="2024-04-18T00:00:00"/>
    <n v="9"/>
    <x v="3"/>
    <x v="7"/>
    <x v="17"/>
    <x v="3"/>
    <x v="1"/>
    <x v="6"/>
    <s v="Printers"/>
    <s v="PRN-1086"/>
    <n v="1288.8499999999999"/>
    <n v="2751.84"/>
    <n v="2751.84"/>
    <n v="0.158"/>
    <n v="0.158"/>
    <n v="7"/>
  </r>
  <r>
    <s v="ORD-2024-571797"/>
    <d v="2024-07-11T00:00:00"/>
    <d v="2024-07-31T00:00:00"/>
    <d v="2024-07-31T00:00:00"/>
    <n v="20"/>
    <x v="1"/>
    <x v="9"/>
    <x v="14"/>
    <x v="3"/>
    <x v="1"/>
    <x v="3"/>
    <s v="Phones"/>
    <s v="PHN-7815"/>
    <n v="647.26"/>
    <n v="1374.72"/>
    <n v="1374.72"/>
    <n v="6.6000000000000003E-2"/>
    <n v="6.6000000000000003E-2"/>
    <n v="22"/>
  </r>
  <r>
    <s v="ORD-2024-129345"/>
    <d v="2024-02-18T00:00:00"/>
    <d v="2024-03-03T00:00:00"/>
    <d v="2024-03-03T00:00:00"/>
    <n v="14"/>
    <x v="2"/>
    <x v="5"/>
    <x v="10"/>
    <x v="5"/>
    <x v="3"/>
    <x v="8"/>
    <s v="Printers"/>
    <s v="PRN-5384"/>
    <n v="624.23"/>
    <n v="1318.37"/>
    <n v="1318.37"/>
    <n v="0.21"/>
    <n v="0.21"/>
    <n v="37"/>
  </r>
  <r>
    <s v="ORD-2023-660608"/>
    <d v="2023-07-25T00:00:00"/>
    <d v="2023-08-10T00:00:00"/>
    <d v="2023-08-10T00:00:00"/>
    <n v="16"/>
    <x v="0"/>
    <x v="1"/>
    <x v="1"/>
    <x v="0"/>
    <x v="3"/>
    <x v="2"/>
    <s v="Accessories"/>
    <s v="ACC-8178"/>
    <n v="506.83"/>
    <n v="441.74"/>
    <n v="441.74"/>
    <n v="0.24"/>
    <n v="0.24"/>
    <n v="9"/>
  </r>
  <r>
    <s v="ORD-2023-825084"/>
    <d v="2023-07-14T00:00:00"/>
    <d v="2023-07-21T00:00:00"/>
    <d v="2023-07-21T00:00:00"/>
    <n v="7"/>
    <x v="0"/>
    <x v="11"/>
    <x v="25"/>
    <x v="5"/>
    <x v="2"/>
    <x v="8"/>
    <s v="Monitors"/>
    <s v="MON-1018"/>
    <n v="620.74"/>
    <n v="1330.07"/>
    <n v="1330.07"/>
    <n v="0.29899999999999999"/>
    <n v="0.29899999999999999"/>
    <n v="28"/>
  </r>
  <r>
    <s v="ORD-2023-261081"/>
    <d v="2023-07-24T00:00:00"/>
    <d v="2023-08-19T00:00:00"/>
    <d v="2023-08-19T00:00:00"/>
    <n v="26"/>
    <x v="0"/>
    <x v="0"/>
    <x v="2"/>
    <x v="5"/>
    <x v="3"/>
    <x v="12"/>
    <s v="Accessories"/>
    <s v="ACC-1238"/>
    <n v="661.45"/>
    <n v="1634.86"/>
    <n v="1634.86"/>
    <n v="0.56499999999999995"/>
    <n v="0.11861439999999995"/>
    <n v="24"/>
  </r>
  <r>
    <s v="ORD-2023-766015"/>
    <d v="2023-04-13T00:00:00"/>
    <d v="2023-04-11T00:00:00"/>
    <d v="2023-04-11T00:00:00"/>
    <n v="-2"/>
    <x v="2"/>
    <x v="10"/>
    <x v="24"/>
    <x v="1"/>
    <x v="2"/>
    <x v="3"/>
    <s v="Networking"/>
    <s v="NET-1816"/>
    <n v="32.1"/>
    <n v="70.599999999999994"/>
    <n v="70.599999999999994"/>
    <n v="0.28199999999999997"/>
    <n v="0.28199999999999997"/>
    <n v="22"/>
  </r>
  <r>
    <s v="ORD-2024-333192"/>
    <d v="2024-10-29T00:00:00"/>
    <d v="2024-11-04T00:00:00"/>
    <d v="2024-11-04T00:00:00"/>
    <n v="6"/>
    <x v="0"/>
    <x v="0"/>
    <x v="2"/>
    <x v="0"/>
    <x v="3"/>
    <x v="12"/>
    <s v="Printers"/>
    <s v="PRN-4893"/>
    <n v="805.81"/>
    <n v="1823.04"/>
    <n v="1823.04"/>
    <n v="0"/>
    <n v="0"/>
    <n v="11"/>
  </r>
  <r>
    <s v="ORD-2024-647473"/>
    <d v="2024-02-17T00:00:00"/>
    <d v="2024-03-04T00:00:00"/>
    <d v="2024-03-04T00:00:00"/>
    <n v="16"/>
    <x v="1"/>
    <x v="4"/>
    <x v="18"/>
    <x v="4"/>
    <x v="2"/>
    <x v="9"/>
    <s v="Phones"/>
    <s v="PHN-1717"/>
    <n v="1231.8"/>
    <n v="2015.99"/>
    <n v="2015.99"/>
    <n v="0.26100000000000001"/>
    <n v="0.26100000000000001"/>
    <n v="6"/>
  </r>
  <r>
    <s v="ORD-2024-892908"/>
    <d v="2024-07-13T00:00:00"/>
    <d v="2024-07-12T00:00:00"/>
    <d v="2024-07-12T00:00:00"/>
    <n v="-1"/>
    <x v="1"/>
    <x v="2"/>
    <x v="32"/>
    <x v="4"/>
    <x v="2"/>
    <x v="9"/>
    <s v="Networking"/>
    <s v="NET-9575"/>
    <n v="105.13"/>
    <n v="244.13"/>
    <n v="244.13"/>
    <n v="7.0999999999999994E-2"/>
    <n v="7.0999999999999994E-2"/>
    <n v="14"/>
  </r>
  <r>
    <s v="ORD-2023-573146"/>
    <d v="2023-12-01T00:00:00"/>
    <d v="2023-12-18T00:00:00"/>
    <d v="2023-12-18T00:00:00"/>
    <n v="17"/>
    <x v="1"/>
    <x v="2"/>
    <x v="32"/>
    <x v="4"/>
    <x v="4"/>
    <x v="13"/>
    <s v="Laptops"/>
    <s v="LAP-3604"/>
    <n v="1495.79"/>
    <n v="2783.12"/>
    <n v="2783.12"/>
    <n v="0.02"/>
    <n v="0.02"/>
    <n v="5"/>
  </r>
  <r>
    <s v="ORD-2024-901115"/>
    <d v="2024-07-25T00:00:00"/>
    <d v="2024-08-02T00:00:00"/>
    <d v="2024-08-02T00:00:00"/>
    <n v="8"/>
    <x v="2"/>
    <x v="3"/>
    <x v="19"/>
    <x v="3"/>
    <x v="4"/>
    <x v="1"/>
    <s v="Accessories"/>
    <s v="ACC-6626"/>
    <n v="986.81"/>
    <n v="2050.31"/>
    <n v="2050.31"/>
    <n v="0.10299999999999999"/>
    <n v="0.10299999999999999"/>
    <n v="43"/>
  </r>
  <r>
    <s v="ORD-2023-898009"/>
    <d v="2023-05-04T00:00:00"/>
    <d v="2023-05-16T00:00:00"/>
    <d v="2023-05-16T00:00:00"/>
    <n v="12"/>
    <x v="0"/>
    <x v="1"/>
    <x v="7"/>
    <x v="4"/>
    <x v="2"/>
    <x v="1"/>
    <s v="Phones"/>
    <s v="PHN-1670"/>
    <n v="77.739999999999995"/>
    <n v="147.12"/>
    <n v="147.12"/>
    <n v="0"/>
    <n v="0"/>
    <n v="15"/>
  </r>
  <r>
    <s v="ORD-2023-208944"/>
    <d v="2023-12-21T00:00:00"/>
    <d v="2024-01-06T00:00:00"/>
    <d v="2024-01-06T00:00:00"/>
    <n v="16"/>
    <x v="0"/>
    <x v="1"/>
    <x v="1"/>
    <x v="0"/>
    <x v="2"/>
    <x v="11"/>
    <s v="Components"/>
    <s v="CMP-4792"/>
    <n v="932.61"/>
    <n v="1982.98"/>
    <n v="1982.98"/>
    <n v="0.14399999999999999"/>
    <n v="0.14399999999999999"/>
    <n v="16"/>
  </r>
  <r>
    <s v="ORD-2025-480172"/>
    <d v="2025-06-17T00:00:00"/>
    <d v="2025-07-05T00:00:00"/>
    <d v="2025-07-05T00:00:00"/>
    <n v="18"/>
    <x v="1"/>
    <x v="4"/>
    <x v="18"/>
    <x v="3"/>
    <x v="2"/>
    <x v="4"/>
    <s v="Laptops"/>
    <s v="LAP-1990"/>
    <n v="982.93"/>
    <n v="2299.3000000000002"/>
    <n v="2299.3000000000002"/>
    <n v="0.113"/>
    <n v="0.113"/>
    <n v="6"/>
  </r>
  <r>
    <s v="ORD-2023-735274"/>
    <d v="2023-02-23T00:00:00"/>
    <d v="2023-03-08T00:00:00"/>
    <d v="2023-03-08T00:00:00"/>
    <n v="13"/>
    <x v="3"/>
    <x v="8"/>
    <x v="31"/>
    <x v="4"/>
    <x v="4"/>
    <x v="0"/>
    <s v="Printers"/>
    <s v="PRN-7410"/>
    <n v="307.37"/>
    <n v="462.61"/>
    <n v="462.61"/>
    <n v="0.188"/>
    <n v="0.188"/>
    <n v="11"/>
  </r>
  <r>
    <s v="ORD-2023-212701"/>
    <d v="2023-12-02T00:00:00"/>
    <d v="2023-12-16T00:00:00"/>
    <d v="2023-12-16T00:00:00"/>
    <n v="14"/>
    <x v="3"/>
    <x v="6"/>
    <x v="36"/>
    <x v="1"/>
    <x v="4"/>
    <x v="13"/>
    <s v="Monitors"/>
    <s v="MON-4278"/>
    <n v="879.08"/>
    <n v="1093.3900000000001"/>
    <n v="1093.3900000000001"/>
    <n v="0.113"/>
    <n v="0.113"/>
    <n v="17"/>
  </r>
  <r>
    <s v="ORD-2023-479747"/>
    <d v="2023-07-14T00:00:00"/>
    <d v="2023-07-14T00:00:00"/>
    <d v="2023-07-14T00:00:00"/>
    <n v="0"/>
    <x v="0"/>
    <x v="1"/>
    <x v="3"/>
    <x v="1"/>
    <x v="0"/>
    <x v="2"/>
    <s v="Accessories"/>
    <s v="ACC-5334"/>
    <n v="956.38"/>
    <n v="1454.22"/>
    <n v="1454.22"/>
    <n v="3.9E-2"/>
    <n v="3.9E-2"/>
    <n v="19"/>
  </r>
  <r>
    <s v="ORD-2024-915495"/>
    <d v="2024-08-08T00:00:00"/>
    <d v="2024-08-20T00:00:00"/>
    <d v="2024-08-20T00:00:00"/>
    <n v="12"/>
    <x v="1"/>
    <x v="2"/>
    <x v="4"/>
    <x v="4"/>
    <x v="0"/>
    <x v="10"/>
    <s v="Networking"/>
    <s v="NET-8957"/>
    <n v="1233.3599999999999"/>
    <n v="2120.4"/>
    <n v="2120.4"/>
    <n v="0.17899999999999999"/>
    <n v="0.17899999999999999"/>
    <n v="20"/>
  </r>
  <r>
    <s v="ORD-2024-225829"/>
    <d v="2024-11-07T00:00:00"/>
    <d v="2024-11-26T00:00:00"/>
    <d v="2024-11-26T00:00:00"/>
    <n v="19"/>
    <x v="2"/>
    <x v="5"/>
    <x v="30"/>
    <x v="2"/>
    <x v="3"/>
    <x v="1"/>
    <s v="Printers"/>
    <s v="PRN-9960"/>
    <n v="55.35"/>
    <n v="128.68"/>
    <n v="128.68"/>
    <n v="0.128"/>
    <n v="0.128"/>
    <n v="10"/>
  </r>
  <r>
    <s v="ORD-2024-921935"/>
    <d v="2024-01-01T00:00:00"/>
    <d v="2024-01-27T00:00:00"/>
    <d v="2024-01-27T00:00:00"/>
    <n v="26"/>
    <x v="3"/>
    <x v="8"/>
    <x v="31"/>
    <x v="1"/>
    <x v="3"/>
    <x v="14"/>
    <s v="Accessories"/>
    <s v="ACC-3103"/>
    <n v="657.45"/>
    <n v="1325.96"/>
    <n v="1325.96"/>
    <n v="0.16700000000000001"/>
    <n v="0.16700000000000001"/>
    <n v="21"/>
  </r>
  <r>
    <s v="ORD-2025-949776"/>
    <d v="2025-08-14T00:00:00"/>
    <d v="2025-09-11T00:00:00"/>
    <d v="2025-09-11T00:00:00"/>
    <n v="28"/>
    <x v="2"/>
    <x v="5"/>
    <x v="8"/>
    <x v="2"/>
    <x v="4"/>
    <x v="9"/>
    <s v="Printers"/>
    <s v="PRN-9490"/>
    <n v="1203.02"/>
    <n v="2439.33"/>
    <n v="2439.33"/>
    <n v="0"/>
    <n v="0"/>
    <n v="18"/>
  </r>
  <r>
    <s v="ORD-2024-510591"/>
    <d v="2024-04-03T00:00:00"/>
    <d v="2024-04-21T00:00:00"/>
    <d v="2024-04-21T00:00:00"/>
    <n v="18"/>
    <x v="2"/>
    <x v="5"/>
    <x v="10"/>
    <x v="4"/>
    <x v="3"/>
    <x v="5"/>
    <s v="Networking"/>
    <s v="NET-3850"/>
    <n v="1176.69"/>
    <n v="2201.54"/>
    <n v="2201.54"/>
    <n v="0.17"/>
    <n v="0.17"/>
    <n v="27"/>
  </r>
  <r>
    <s v="ORD-2024-961756"/>
    <d v="2024-11-25T00:00:00"/>
    <d v="2024-12-07T00:00:00"/>
    <d v="2024-12-07T00:00:00"/>
    <n v="12"/>
    <x v="1"/>
    <x v="9"/>
    <x v="23"/>
    <x v="0"/>
    <x v="3"/>
    <x v="8"/>
    <s v="Accessories"/>
    <s v="ACC-7047"/>
    <n v="769.9"/>
    <n v="814.36"/>
    <n v="814.36"/>
    <n v="0"/>
    <n v="0"/>
    <n v="5"/>
  </r>
  <r>
    <s v="ORD-2024-892173"/>
    <d v="2024-01-18T00:00:00"/>
    <d v="2024-02-03T00:00:00"/>
    <d v="2024-02-03T00:00:00"/>
    <n v="16"/>
    <x v="0"/>
    <x v="11"/>
    <x v="33"/>
    <x v="2"/>
    <x v="3"/>
    <x v="4"/>
    <s v="Printers"/>
    <s v="PRN-6660"/>
    <n v="666.23"/>
    <n v="1382.91"/>
    <n v="1382.91"/>
    <n v="0.17599999999999999"/>
    <n v="0.17599999999999999"/>
    <n v="13"/>
  </r>
  <r>
    <s v="ORD-2024-704056"/>
    <d v="2024-06-23T00:00:00"/>
    <d v="2024-06-25T00:00:00"/>
    <d v="2024-06-25T00:00:00"/>
    <n v="2"/>
    <x v="3"/>
    <x v="8"/>
    <x v="12"/>
    <x v="4"/>
    <x v="2"/>
    <x v="4"/>
    <s v="Accessories"/>
    <s v="ACC-7838"/>
    <n v="951.44"/>
    <n v="1646.43"/>
    <n v="1646.43"/>
    <n v="0.11"/>
    <n v="0.11"/>
    <n v="24"/>
  </r>
  <r>
    <s v="ORD-2025-591006"/>
    <d v="2025-06-25T00:00:00"/>
    <d v="2025-07-10T00:00:00"/>
    <d v="2025-07-10T00:00:00"/>
    <n v="15"/>
    <x v="3"/>
    <x v="8"/>
    <x v="12"/>
    <x v="2"/>
    <x v="2"/>
    <x v="14"/>
    <s v="Phones"/>
    <s v="PHN-5383"/>
    <n v="546.83000000000004"/>
    <n v="400.84"/>
    <n v="400.84"/>
    <n v="7.8E-2"/>
    <n v="7.8E-2"/>
    <n v="13"/>
  </r>
  <r>
    <s v="ORD-2023-159821"/>
    <d v="2023-07-01T00:00:00"/>
    <d v="2023-07-08T00:00:00"/>
    <d v="2023-07-08T00:00:00"/>
    <n v="7"/>
    <x v="0"/>
    <x v="1"/>
    <x v="1"/>
    <x v="0"/>
    <x v="0"/>
    <x v="8"/>
    <s v="Laptops"/>
    <s v="LAP-3904"/>
    <n v="834.26"/>
    <n v="1780.56"/>
    <n v="1780.56"/>
    <n v="1.4E-2"/>
    <n v="1.4E-2"/>
    <n v="47"/>
  </r>
  <r>
    <s v="ORD-2024-343877"/>
    <d v="2024-03-09T00:00:00"/>
    <d v="2024-03-26T00:00:00"/>
    <d v="2024-03-26T00:00:00"/>
    <n v="17"/>
    <x v="1"/>
    <x v="9"/>
    <x v="14"/>
    <x v="5"/>
    <x v="1"/>
    <x v="11"/>
    <s v="Monitors"/>
    <s v="MON-5749"/>
    <n v="1029.67"/>
    <n v="1118.43"/>
    <n v="1118.43"/>
    <n v="0.27200000000000002"/>
    <n v="0.27200000000000002"/>
    <n v="9"/>
  </r>
  <r>
    <s v="ORD-2023-386663"/>
    <d v="2023-06-05T00:00:00"/>
    <d v="2023-06-28T00:00:00"/>
    <d v="2023-06-28T00:00:00"/>
    <n v="23"/>
    <x v="3"/>
    <x v="8"/>
    <x v="12"/>
    <x v="0"/>
    <x v="4"/>
    <x v="11"/>
    <s v="Printers"/>
    <s v="PRN-3690"/>
    <n v="605.82000000000005"/>
    <n v="771.12"/>
    <n v="771.12"/>
    <n v="0.13200000000000001"/>
    <n v="0.13200000000000001"/>
    <n v="19"/>
  </r>
  <r>
    <s v="ORD-2025-125517"/>
    <d v="2025-03-21T00:00:00"/>
    <d v="2025-04-09T00:00:00"/>
    <d v="2025-04-09T00:00:00"/>
    <n v="19"/>
    <x v="1"/>
    <x v="2"/>
    <x v="27"/>
    <x v="4"/>
    <x v="3"/>
    <x v="6"/>
    <s v="Components"/>
    <s v="CMP-7055"/>
    <n v="1055.45"/>
    <n v="1210.04"/>
    <n v="1210.04"/>
    <n v="8.9999999999999993E-3"/>
    <n v="8.9999999999999993E-3"/>
    <n v="18"/>
  </r>
  <r>
    <s v="ORD-2024-819778"/>
    <d v="2024-06-02T00:00:00"/>
    <d v="2024-06-15T00:00:00"/>
    <d v="2024-06-15T00:00:00"/>
    <n v="13"/>
    <x v="0"/>
    <x v="0"/>
    <x v="13"/>
    <x v="1"/>
    <x v="1"/>
    <x v="7"/>
    <s v="Phones"/>
    <s v="PHN-6866"/>
    <n v="1295.18"/>
    <n v="3024.03"/>
    <n v="3024.03"/>
    <n v="0.192"/>
    <n v="0.192"/>
    <n v="8"/>
  </r>
  <r>
    <s v="ORD-2025-624006"/>
    <d v="2025-03-15T00:00:00"/>
    <d v="2025-03-29T00:00:00"/>
    <d v="2025-03-29T00:00:00"/>
    <n v="14"/>
    <x v="1"/>
    <x v="4"/>
    <x v="29"/>
    <x v="5"/>
    <x v="4"/>
    <x v="0"/>
    <s v="Components"/>
    <s v="CMP-3259"/>
    <n v="935.83"/>
    <n v="2303.46"/>
    <n v="2303.46"/>
    <n v="0.105"/>
    <n v="0.105"/>
    <n v="9"/>
  </r>
  <r>
    <s v="ORD-2023-132101"/>
    <d v="2023-09-25T00:00:00"/>
    <d v="2023-10-09T00:00:00"/>
    <d v="2023-10-09T00:00:00"/>
    <n v="14"/>
    <x v="2"/>
    <x v="10"/>
    <x v="38"/>
    <x v="4"/>
    <x v="2"/>
    <x v="1"/>
    <s v="Laptops"/>
    <s v="LAP-6750"/>
    <n v="1279.56"/>
    <n v="3083.8"/>
    <n v="3083.8"/>
    <n v="0.106"/>
    <n v="0.106"/>
    <n v="5"/>
  </r>
  <r>
    <s v="ORD-2025-306903"/>
    <d v="2025-06-24T00:00:00"/>
    <d v="2025-07-23T00:00:00"/>
    <d v="2025-07-23T00:00:00"/>
    <n v="29"/>
    <x v="2"/>
    <x v="3"/>
    <x v="26"/>
    <x v="2"/>
    <x v="2"/>
    <x v="2"/>
    <s v="Printers"/>
    <s v="PRN-3775"/>
    <n v="255.4"/>
    <n v="322.70999999999998"/>
    <n v="322.70999999999998"/>
    <n v="0.115"/>
    <n v="0.115"/>
    <n v="16"/>
  </r>
  <r>
    <s v="ORD-2023-813340"/>
    <d v="2023-12-26T00:00:00"/>
    <d v="2024-01-03T00:00:00"/>
    <d v="2024-01-03T00:00:00"/>
    <n v="8"/>
    <x v="3"/>
    <x v="7"/>
    <x v="17"/>
    <x v="4"/>
    <x v="0"/>
    <x v="12"/>
    <s v="Laptops"/>
    <s v="LAP-2942"/>
    <n v="492.75"/>
    <n v="731.29"/>
    <n v="731.29"/>
    <n v="5.8000000000000003E-2"/>
    <n v="5.8000000000000003E-2"/>
    <n v="6"/>
  </r>
  <r>
    <s v="ORD-2023-855675"/>
    <d v="2023-02-05T00:00:00"/>
    <d v="2023-02-28T00:00:00"/>
    <d v="2023-02-28T00:00:00"/>
    <n v="23"/>
    <x v="2"/>
    <x v="10"/>
    <x v="35"/>
    <x v="2"/>
    <x v="3"/>
    <x v="4"/>
    <s v="Phones"/>
    <s v="PHN-2036"/>
    <n v="1214.49"/>
    <n v="1533.95"/>
    <n v="1533.95"/>
    <n v="0"/>
    <n v="0"/>
    <n v="11"/>
  </r>
  <r>
    <s v="ORD-2023-545150"/>
    <d v="2023-04-06T00:00:00"/>
    <d v="2023-04-08T00:00:00"/>
    <d v="2023-04-08T00:00:00"/>
    <n v="2"/>
    <x v="0"/>
    <x v="1"/>
    <x v="7"/>
    <x v="4"/>
    <x v="2"/>
    <x v="11"/>
    <s v="Monitors"/>
    <s v="MON-4373"/>
    <n v="720.35"/>
    <n v="1571.66"/>
    <n v="1571.66"/>
    <n v="0.107"/>
    <n v="0.107"/>
    <n v="23"/>
  </r>
  <r>
    <s v="ORD-2025-269934"/>
    <d v="2025-04-04T00:00:00"/>
    <d v="2025-04-10T00:00:00"/>
    <d v="2025-04-10T00:00:00"/>
    <n v="6"/>
    <x v="3"/>
    <x v="8"/>
    <x v="12"/>
    <x v="2"/>
    <x v="4"/>
    <x v="13"/>
    <s v="Printers"/>
    <s v="PRN-8657"/>
    <n v="290.14"/>
    <n v="250.73"/>
    <n v="250.73"/>
    <n v="3.4000000000000002E-2"/>
    <n v="3.4000000000000002E-2"/>
    <n v="17"/>
  </r>
  <r>
    <s v="ORD-2024-690270"/>
    <d v="2024-05-17T00:00:00"/>
    <d v="2024-05-27T00:00:00"/>
    <d v="2024-05-27T00:00:00"/>
    <n v="10"/>
    <x v="2"/>
    <x v="10"/>
    <x v="35"/>
    <x v="2"/>
    <x v="1"/>
    <x v="0"/>
    <s v="Phones"/>
    <s v="PHN-7974"/>
    <n v="1484.23"/>
    <n v="3472.81"/>
    <n v="3472.81"/>
    <n v="0.25600000000000001"/>
    <n v="0.25600000000000001"/>
    <n v="12"/>
  </r>
  <r>
    <s v="ORD-2024-868223"/>
    <d v="2024-03-03T00:00:00"/>
    <d v="2024-03-19T00:00:00"/>
    <d v="2024-03-19T00:00:00"/>
    <n v="16"/>
    <x v="1"/>
    <x v="9"/>
    <x v="37"/>
    <x v="3"/>
    <x v="3"/>
    <x v="3"/>
    <s v="Phones"/>
    <s v="PHN-4915"/>
    <n v="988.83"/>
    <n v="1206.04"/>
    <n v="1206.04"/>
    <n v="6.3E-2"/>
    <n v="6.3E-2"/>
    <n v="34"/>
  </r>
  <r>
    <s v="ORD-2025-188059"/>
    <d v="2025-06-27T00:00:00"/>
    <d v="2025-07-11T00:00:00"/>
    <d v="2025-07-11T00:00:00"/>
    <n v="14"/>
    <x v="1"/>
    <x v="9"/>
    <x v="23"/>
    <x v="4"/>
    <x v="2"/>
    <x v="4"/>
    <s v="Networking"/>
    <s v="NET-3535"/>
    <n v="1227.7"/>
    <n v="2197.23"/>
    <n v="2197.23"/>
    <n v="9.9000000000000005E-2"/>
    <n v="9.9000000000000005E-2"/>
    <n v="22"/>
  </r>
  <r>
    <s v="ORD-2023-281890"/>
    <d v="2023-03-13T00:00:00"/>
    <d v="2023-04-04T00:00:00"/>
    <d v="2023-04-04T00:00:00"/>
    <n v="22"/>
    <x v="0"/>
    <x v="11"/>
    <x v="25"/>
    <x v="4"/>
    <x v="0"/>
    <x v="8"/>
    <s v="Components"/>
    <s v="CMP-2574"/>
    <n v="1113.7"/>
    <n v="1620.6"/>
    <n v="1620.6"/>
    <n v="0.13900000000000001"/>
    <n v="0.13900000000000001"/>
    <n v="11"/>
  </r>
  <r>
    <s v="ORD-2025-636162"/>
    <d v="2025-01-07T00:00:00"/>
    <d v="2025-01-20T00:00:00"/>
    <d v="2025-01-20T00:00:00"/>
    <n v="13"/>
    <x v="0"/>
    <x v="11"/>
    <x v="33"/>
    <x v="0"/>
    <x v="4"/>
    <x v="11"/>
    <s v="Networking"/>
    <s v="NET-7901"/>
    <n v="432.13"/>
    <n v="1034.6600000000001"/>
    <n v="1034.6600000000001"/>
    <n v="9.1999999999999998E-2"/>
    <n v="9.1999999999999998E-2"/>
    <n v="7"/>
  </r>
  <r>
    <s v="ORD-2025-915869"/>
    <d v="2025-02-06T00:00:00"/>
    <d v="2025-02-15T00:00:00"/>
    <d v="2025-02-15T00:00:00"/>
    <n v="9"/>
    <x v="2"/>
    <x v="5"/>
    <x v="8"/>
    <x v="2"/>
    <x v="3"/>
    <x v="9"/>
    <s v="Networking"/>
    <s v="NET-5482"/>
    <n v="837.39"/>
    <n v="1905.42"/>
    <n v="1905.42"/>
    <n v="3.2000000000000001E-2"/>
    <n v="3.2000000000000001E-2"/>
    <n v="18"/>
  </r>
  <r>
    <s v="ORD-2025-192876"/>
    <d v="2025-01-31T00:00:00"/>
    <d v="2025-02-17T00:00:00"/>
    <d v="2025-02-17T00:00:00"/>
    <n v="17"/>
    <x v="3"/>
    <x v="8"/>
    <x v="21"/>
    <x v="5"/>
    <x v="0"/>
    <x v="10"/>
    <s v="Components"/>
    <s v="CMP-5820"/>
    <n v="378.26"/>
    <n v="541.55999999999995"/>
    <n v="541.55999999999995"/>
    <n v="0.16300000000000001"/>
    <n v="0.16300000000000001"/>
    <n v="25"/>
  </r>
  <r>
    <s v="ORD-2025-822030"/>
    <d v="2025-08-07T00:00:00"/>
    <d v="2025-09-06T00:00:00"/>
    <d v="2025-09-06T00:00:00"/>
    <n v="30"/>
    <x v="2"/>
    <x v="3"/>
    <x v="19"/>
    <x v="1"/>
    <x v="4"/>
    <x v="12"/>
    <s v="Networking"/>
    <s v="NET-1336"/>
    <n v="833.73"/>
    <n v="1116.5999999999999"/>
    <n v="1116.5999999999999"/>
    <n v="0.17599999999999999"/>
    <n v="0.17599999999999999"/>
    <n v="14"/>
  </r>
  <r>
    <s v="ORD-2025-789245"/>
    <d v="2025-07-23T00:00:00"/>
    <d v="2025-08-17T00:00:00"/>
    <d v="2025-08-17T00:00:00"/>
    <n v="25"/>
    <x v="3"/>
    <x v="8"/>
    <x v="12"/>
    <x v="1"/>
    <x v="1"/>
    <x v="2"/>
    <s v="Printers"/>
    <s v="PRN-5876"/>
    <n v="1142.06"/>
    <n v="1455"/>
    <n v="1455"/>
    <n v="7.8E-2"/>
    <n v="7.8E-2"/>
    <n v="28"/>
  </r>
  <r>
    <s v="ORD-2023-594955"/>
    <d v="2023-06-20T00:00:00"/>
    <d v="2023-07-08T00:00:00"/>
    <d v="2023-07-08T00:00:00"/>
    <n v="18"/>
    <x v="2"/>
    <x v="10"/>
    <x v="38"/>
    <x v="3"/>
    <x v="2"/>
    <x v="7"/>
    <s v="Networking"/>
    <s v="NET-3828"/>
    <n v="1145.53"/>
    <n v="1278.3"/>
    <n v="1278.3"/>
    <n v="0.09"/>
    <n v="0.09"/>
    <n v="41"/>
  </r>
  <r>
    <s v="ORD-2024-398783"/>
    <d v="2024-07-18T00:00:00"/>
    <d v="2024-08-07T00:00:00"/>
    <d v="2024-08-07T00:00:00"/>
    <n v="20"/>
    <x v="3"/>
    <x v="7"/>
    <x v="11"/>
    <x v="0"/>
    <x v="0"/>
    <x v="9"/>
    <s v="Monitors"/>
    <s v="MON-7622"/>
    <n v="941.35"/>
    <n v="899.83"/>
    <n v="899.83"/>
    <n v="5.8000000000000003E-2"/>
    <n v="5.8000000000000003E-2"/>
    <n v="18"/>
  </r>
  <r>
    <s v="ORD-2023-676553"/>
    <d v="2023-05-20T00:00:00"/>
    <d v="2023-06-19T00:00:00"/>
    <d v="2023-06-19T00:00:00"/>
    <n v="30"/>
    <x v="1"/>
    <x v="4"/>
    <x v="18"/>
    <x v="2"/>
    <x v="2"/>
    <x v="10"/>
    <s v="Laptops"/>
    <s v="LAP-2806"/>
    <n v="1161.2"/>
    <n v="878.73"/>
    <n v="878.73"/>
    <n v="0.19"/>
    <n v="0.19"/>
    <n v="31"/>
  </r>
  <r>
    <s v="ORD-2025-866565"/>
    <d v="2025-05-12T00:00:00"/>
    <d v="2025-05-26T00:00:00"/>
    <d v="2025-05-26T00:00:00"/>
    <n v="14"/>
    <x v="1"/>
    <x v="4"/>
    <x v="34"/>
    <x v="0"/>
    <x v="2"/>
    <x v="3"/>
    <s v="Printers"/>
    <s v="PRN-8850"/>
    <n v="320.12"/>
    <n v="594.41999999999996"/>
    <n v="594.41999999999996"/>
    <n v="0.104"/>
    <n v="0.104"/>
    <n v="18"/>
  </r>
  <r>
    <s v="ORD-2024-527858"/>
    <d v="2024-05-07T00:00:00"/>
    <d v="2024-05-12T00:00:00"/>
    <d v="2024-05-12T00:00:00"/>
    <n v="5"/>
    <x v="0"/>
    <x v="1"/>
    <x v="7"/>
    <x v="2"/>
    <x v="3"/>
    <x v="4"/>
    <s v="Laptops"/>
    <s v="LAP-9100"/>
    <n v="1163.99"/>
    <n v="1617.85"/>
    <n v="1617.85"/>
    <n v="0.127"/>
    <n v="0.127"/>
    <n v="14"/>
  </r>
  <r>
    <s v="ORD-2023-619385"/>
    <d v="2023-09-30T00:00:00"/>
    <d v="2023-10-03T00:00:00"/>
    <d v="2023-10-03T00:00:00"/>
    <n v="3"/>
    <x v="1"/>
    <x v="9"/>
    <x v="37"/>
    <x v="2"/>
    <x v="0"/>
    <x v="1"/>
    <s v="Laptops"/>
    <s v="LAP-5763"/>
    <n v="1019.36"/>
    <n v="972.91"/>
    <n v="972.91"/>
    <n v="0.14699999999999999"/>
    <n v="0.14699999999999999"/>
    <n v="17"/>
  </r>
  <r>
    <s v="ORD-2023-835226"/>
    <d v="2023-10-26T00:00:00"/>
    <d v="2023-11-05T00:00:00"/>
    <d v="2023-11-05T00:00:00"/>
    <n v="10"/>
    <x v="0"/>
    <x v="11"/>
    <x v="33"/>
    <x v="2"/>
    <x v="1"/>
    <x v="2"/>
    <s v="Laptops"/>
    <s v="LAP-7320"/>
    <n v="20.38"/>
    <n v="42.56"/>
    <n v="42.56"/>
    <n v="7.1999999999999995E-2"/>
    <n v="7.1999999999999995E-2"/>
    <n v="11"/>
  </r>
  <r>
    <s v="ORD-2025-485946"/>
    <d v="2025-06-15T00:00:00"/>
    <d v="2025-06-30T00:00:00"/>
    <d v="2025-06-30T00:00:00"/>
    <n v="15"/>
    <x v="0"/>
    <x v="11"/>
    <x v="20"/>
    <x v="4"/>
    <x v="4"/>
    <x v="0"/>
    <s v="Monitors"/>
    <s v="MON-5891"/>
    <n v="1487.59"/>
    <n v="1480.83"/>
    <n v="1480.83"/>
    <n v="8.9999999999999993E-3"/>
    <n v="8.9999999999999993E-3"/>
    <n v="11"/>
  </r>
  <r>
    <s v="ORD-2024-307849"/>
    <d v="2024-08-10T00:00:00"/>
    <d v="2024-09-07T00:00:00"/>
    <d v="2024-09-07T00:00:00"/>
    <n v="28"/>
    <x v="3"/>
    <x v="7"/>
    <x v="11"/>
    <x v="2"/>
    <x v="4"/>
    <x v="9"/>
    <s v="Printers"/>
    <s v="PRN-1183"/>
    <n v="229.96"/>
    <n v="564.26"/>
    <n v="564.26"/>
    <n v="0.105"/>
    <n v="0.105"/>
    <n v="5"/>
  </r>
  <r>
    <s v="ORD-2023-368449"/>
    <d v="2023-10-09T00:00:00"/>
    <d v="2023-10-26T00:00:00"/>
    <d v="2023-10-26T00:00:00"/>
    <n v="17"/>
    <x v="1"/>
    <x v="9"/>
    <x v="23"/>
    <x v="3"/>
    <x v="2"/>
    <x v="0"/>
    <s v="Components"/>
    <s v="CMP-2096"/>
    <n v="1132.03"/>
    <n v="2137.21"/>
    <n v="2137.21"/>
    <n v="0.35699999999999998"/>
    <n v="0.11861439999999995"/>
    <n v="35"/>
  </r>
  <r>
    <s v="ORD-2024-251426"/>
    <d v="2024-03-09T00:00:00"/>
    <d v="2024-03-26T00:00:00"/>
    <d v="2024-03-26T00:00:00"/>
    <n v="17"/>
    <x v="2"/>
    <x v="10"/>
    <x v="24"/>
    <x v="1"/>
    <x v="4"/>
    <x v="2"/>
    <s v="Phones"/>
    <s v="PHN-3398"/>
    <n v="1137.4100000000001"/>
    <n v="1680.93"/>
    <n v="1680.93"/>
    <n v="0.254"/>
    <n v="0.254"/>
    <n v="9"/>
  </r>
  <r>
    <s v="ORD-2023-927385"/>
    <d v="2023-05-29T00:00:00"/>
    <d v="2023-06-20T00:00:00"/>
    <d v="2023-06-20T00:00:00"/>
    <n v="22"/>
    <x v="3"/>
    <x v="8"/>
    <x v="21"/>
    <x v="4"/>
    <x v="4"/>
    <x v="11"/>
    <s v="Components"/>
    <s v="CMP-8545"/>
    <n v="1295.3900000000001"/>
    <n v="2905.06"/>
    <n v="2905.06"/>
    <n v="0.14799999999999999"/>
    <n v="0.14799999999999999"/>
    <n v="8"/>
  </r>
  <r>
    <s v="ORD-2025-486350"/>
    <d v="2025-05-27T00:00:00"/>
    <d v="2025-06-08T00:00:00"/>
    <d v="2025-06-08T00:00:00"/>
    <n v="12"/>
    <x v="1"/>
    <x v="2"/>
    <x v="4"/>
    <x v="0"/>
    <x v="0"/>
    <x v="10"/>
    <s v="Accessories"/>
    <s v="ACC-1249"/>
    <n v="653.6"/>
    <n v="842.09"/>
    <n v="842.09"/>
    <n v="9.8000000000000004E-2"/>
    <n v="9.8000000000000004E-2"/>
    <n v="19"/>
  </r>
  <r>
    <s v="ORD-2025-677880"/>
    <d v="2025-08-21T00:00:00"/>
    <d v="2025-09-14T00:00:00"/>
    <d v="2025-09-14T00:00:00"/>
    <n v="24"/>
    <x v="3"/>
    <x v="6"/>
    <x v="9"/>
    <x v="2"/>
    <x v="1"/>
    <x v="8"/>
    <s v="Monitors"/>
    <s v="MON-9662"/>
    <n v="1397.67"/>
    <n v="3131.37"/>
    <n v="3131.37"/>
    <n v="0.10299999999999999"/>
    <n v="0.10299999999999999"/>
    <n v="20"/>
  </r>
  <r>
    <s v="ORD-2024-102866"/>
    <d v="2024-12-12T00:00:00"/>
    <d v="2024-12-20T00:00:00"/>
    <d v="2024-12-20T00:00:00"/>
    <n v="8"/>
    <x v="1"/>
    <x v="2"/>
    <x v="27"/>
    <x v="0"/>
    <x v="0"/>
    <x v="5"/>
    <s v="Laptops"/>
    <s v="LAP-8347"/>
    <n v="1202.47"/>
    <n v="1444.72"/>
    <n v="1444.72"/>
    <n v="0.24099999999999999"/>
    <n v="0.24099999999999999"/>
    <n v="17"/>
  </r>
  <r>
    <s v="ORD-2025-588029"/>
    <d v="2025-09-14T00:00:00"/>
    <d v="2025-09-23T00:00:00"/>
    <d v="2025-09-23T00:00:00"/>
    <n v="9"/>
    <x v="0"/>
    <x v="11"/>
    <x v="25"/>
    <x v="2"/>
    <x v="1"/>
    <x v="14"/>
    <s v="Components"/>
    <s v="CMP-6898"/>
    <n v="1310.3"/>
    <n v="2875.8"/>
    <n v="2875.8"/>
    <n v="8.3000000000000004E-2"/>
    <n v="8.3000000000000004E-2"/>
    <n v="5"/>
  </r>
  <r>
    <s v="ORD-2024-972999"/>
    <d v="2024-09-06T00:00:00"/>
    <d v="2024-10-04T00:00:00"/>
    <d v="2024-10-04T00:00:00"/>
    <n v="28"/>
    <x v="0"/>
    <x v="11"/>
    <x v="33"/>
    <x v="0"/>
    <x v="2"/>
    <x v="14"/>
    <s v="Monitors"/>
    <s v="MON-3504"/>
    <n v="1174.17"/>
    <n v="1641.61"/>
    <n v="1641.61"/>
    <n v="0.122"/>
    <n v="0.122"/>
    <n v="9"/>
  </r>
  <r>
    <s v="ORD-2025-608069"/>
    <d v="2025-04-12T00:00:00"/>
    <d v="2025-04-30T00:00:00"/>
    <d v="2025-04-30T00:00:00"/>
    <n v="18"/>
    <x v="0"/>
    <x v="0"/>
    <x v="0"/>
    <x v="0"/>
    <x v="2"/>
    <x v="9"/>
    <s v="Networking"/>
    <s v="NET-3432"/>
    <n v="1119.04"/>
    <n v="1299.02"/>
    <n v="1299.02"/>
    <n v="2.5000000000000001E-2"/>
    <n v="2.5000000000000001E-2"/>
    <n v="14"/>
  </r>
  <r>
    <s v="ORD-2024-626750"/>
    <d v="2024-08-12T00:00:00"/>
    <d v="2024-08-15T00:00:00"/>
    <d v="2024-08-15T00:00:00"/>
    <n v="3"/>
    <x v="2"/>
    <x v="10"/>
    <x v="15"/>
    <x v="0"/>
    <x v="2"/>
    <x v="14"/>
    <s v="Printers"/>
    <s v="PRN-5591"/>
    <n v="850.7"/>
    <n v="1118.56"/>
    <n v="1118.56"/>
    <n v="0.18"/>
    <n v="0.18"/>
    <n v="19"/>
  </r>
  <r>
    <s v="ORD-2024-170021"/>
    <d v="2024-11-05T00:00:00"/>
    <d v="2024-11-08T00:00:00"/>
    <d v="2024-11-08T00:00:00"/>
    <n v="3"/>
    <x v="2"/>
    <x v="3"/>
    <x v="5"/>
    <x v="1"/>
    <x v="2"/>
    <x v="7"/>
    <s v="Components"/>
    <s v="CMP-2015"/>
    <n v="1020.4"/>
    <n v="1184.71"/>
    <n v="1184.71"/>
    <n v="0.106"/>
    <n v="0.106"/>
    <n v="16"/>
  </r>
  <r>
    <s v="ORD-2024-678110"/>
    <d v="2024-07-24T00:00:00"/>
    <d v="2024-08-08T00:00:00"/>
    <d v="2024-08-08T00:00:00"/>
    <n v="15"/>
    <x v="3"/>
    <x v="7"/>
    <x v="11"/>
    <x v="5"/>
    <x v="2"/>
    <x v="10"/>
    <s v="Laptops"/>
    <s v="LAP-9901"/>
    <n v="501.5"/>
    <n v="1201.47"/>
    <n v="1201.47"/>
    <n v="0.126"/>
    <n v="0.126"/>
    <n v="5"/>
  </r>
  <r>
    <s v="ORD-2025-909340"/>
    <d v="2025-01-20T00:00:00"/>
    <d v="2025-02-03T00:00:00"/>
    <d v="2025-02-03T00:00:00"/>
    <n v="14"/>
    <x v="2"/>
    <x v="5"/>
    <x v="10"/>
    <x v="5"/>
    <x v="2"/>
    <x v="9"/>
    <s v="Components"/>
    <s v="CMP-8658"/>
    <n v="974.11"/>
    <n v="880.99"/>
    <n v="880.99"/>
    <n v="0.111"/>
    <n v="0.111"/>
    <n v="10"/>
  </r>
  <r>
    <s v="ORD-2023-854471"/>
    <d v="2023-03-06T00:00:00"/>
    <d v="2023-04-04T00:00:00"/>
    <d v="2023-04-04T00:00:00"/>
    <n v="29"/>
    <x v="1"/>
    <x v="9"/>
    <x v="37"/>
    <x v="4"/>
    <x v="4"/>
    <x v="0"/>
    <s v="Monitors"/>
    <s v="MON-2073"/>
    <n v="1126.29"/>
    <n v="2050.87"/>
    <n v="2050.87"/>
    <n v="6.4000000000000001E-2"/>
    <n v="6.4000000000000001E-2"/>
    <n v="7"/>
  </r>
  <r>
    <s v="ORD-2024-390951"/>
    <d v="2024-12-20T00:00:00"/>
    <d v="2025-01-14T00:00:00"/>
    <d v="2025-01-14T00:00:00"/>
    <n v="25"/>
    <x v="1"/>
    <x v="4"/>
    <x v="18"/>
    <x v="4"/>
    <x v="0"/>
    <x v="12"/>
    <s v="Printers"/>
    <s v="PRN-9378"/>
    <n v="1361.34"/>
    <n v="1737.9"/>
    <n v="1737.9"/>
    <n v="7.6999999999999999E-2"/>
    <n v="7.6999999999999999E-2"/>
    <n v="14"/>
  </r>
  <r>
    <s v="ORD-2025-881624"/>
    <d v="2025-02-21T00:00:00"/>
    <d v="2025-03-21T00:00:00"/>
    <d v="2025-03-21T00:00:00"/>
    <n v="28"/>
    <x v="0"/>
    <x v="1"/>
    <x v="7"/>
    <x v="5"/>
    <x v="2"/>
    <x v="2"/>
    <s v="Phones"/>
    <s v="PHN-5887"/>
    <n v="1437.39"/>
    <n v="1388.31"/>
    <n v="1388.31"/>
    <n v="0.13800000000000001"/>
    <n v="0.13800000000000001"/>
    <n v="18"/>
  </r>
  <r>
    <s v="ORD-2025-512310"/>
    <d v="2025-03-08T00:00:00"/>
    <d v="2025-03-15T00:00:00"/>
    <d v="2025-03-15T00:00:00"/>
    <n v="7"/>
    <x v="1"/>
    <x v="4"/>
    <x v="6"/>
    <x v="0"/>
    <x v="3"/>
    <x v="11"/>
    <s v="Laptops"/>
    <s v="LAP-8119"/>
    <n v="475.66"/>
    <n v="529.14"/>
    <n v="529.14"/>
    <n v="0.19600000000000001"/>
    <n v="0.19600000000000001"/>
    <n v="11"/>
  </r>
  <r>
    <s v="ORD-2023-674887"/>
    <d v="2023-12-16T00:00:00"/>
    <d v="2023-12-19T00:00:00"/>
    <d v="2023-12-19T00:00:00"/>
    <n v="3"/>
    <x v="1"/>
    <x v="9"/>
    <x v="37"/>
    <x v="1"/>
    <x v="0"/>
    <x v="8"/>
    <s v="Accessories"/>
    <s v="ACC-9644"/>
    <n v="1415.05"/>
    <n v="1972.38"/>
    <n v="1972.38"/>
    <n v="0"/>
    <n v="0"/>
    <n v="12"/>
  </r>
  <r>
    <s v="ORD-2024-542244"/>
    <d v="2024-08-30T00:00:00"/>
    <d v="2024-09-05T00:00:00"/>
    <d v="2024-09-05T00:00:00"/>
    <n v="6"/>
    <x v="1"/>
    <x v="2"/>
    <x v="32"/>
    <x v="1"/>
    <x v="1"/>
    <x v="13"/>
    <s v="Laptops"/>
    <s v="LAP-7009"/>
    <n v="466.16"/>
    <n v="876.81"/>
    <n v="876.81"/>
    <n v="0.24099999999999999"/>
    <n v="0.24099999999999999"/>
    <n v="8"/>
  </r>
  <r>
    <s v="ORD-2024-375848"/>
    <d v="2024-05-18T00:00:00"/>
    <d v="2024-05-21T00:00:00"/>
    <d v="2024-05-21T00:00:00"/>
    <n v="3"/>
    <x v="3"/>
    <x v="7"/>
    <x v="11"/>
    <x v="2"/>
    <x v="2"/>
    <x v="14"/>
    <s v="Printers"/>
    <s v="PRN-1725"/>
    <n v="663.66"/>
    <n v="824.26"/>
    <n v="824.26"/>
    <n v="0.23899999999999999"/>
    <n v="0.23899999999999999"/>
    <n v="11"/>
  </r>
  <r>
    <s v="ORD-2023-933238"/>
    <d v="2023-03-17T00:00:00"/>
    <d v="2023-04-06T00:00:00"/>
    <d v="2023-04-06T00:00:00"/>
    <n v="20"/>
    <x v="3"/>
    <x v="6"/>
    <x v="22"/>
    <x v="3"/>
    <x v="0"/>
    <x v="7"/>
    <s v="Phones"/>
    <s v="PHN-8483"/>
    <n v="692.18"/>
    <n v="1159.3499999999999"/>
    <n v="1159.3499999999999"/>
    <n v="0.112"/>
    <n v="0.112"/>
    <n v="2"/>
  </r>
  <r>
    <s v="ORD-2023-732585"/>
    <d v="2023-08-25T00:00:00"/>
    <d v="2023-09-16T00:00:00"/>
    <d v="2023-09-16T00:00:00"/>
    <n v="22"/>
    <x v="0"/>
    <x v="1"/>
    <x v="7"/>
    <x v="0"/>
    <x v="2"/>
    <x v="4"/>
    <s v="Phones"/>
    <s v="PHN-3971"/>
    <n v="1196.83"/>
    <n v="2513.5100000000002"/>
    <n v="2513.5100000000002"/>
    <n v="8.3000000000000004E-2"/>
    <n v="8.3000000000000004E-2"/>
    <n v="7"/>
  </r>
  <r>
    <s v="ORD-2024-465898"/>
    <d v="2024-06-06T00:00:00"/>
    <d v="2024-06-24T00:00:00"/>
    <d v="2024-06-24T00:00:00"/>
    <n v="18"/>
    <x v="1"/>
    <x v="4"/>
    <x v="6"/>
    <x v="4"/>
    <x v="4"/>
    <x v="10"/>
    <s v="Networking"/>
    <s v="NET-6578"/>
    <n v="1253.25"/>
    <n v="3087.13"/>
    <n v="3087.13"/>
    <n v="7.1999999999999995E-2"/>
    <n v="7.1999999999999995E-2"/>
    <n v="11"/>
  </r>
  <r>
    <s v="ORD-2023-987081"/>
    <d v="2023-08-29T00:00:00"/>
    <d v="2023-09-13T00:00:00"/>
    <d v="2023-09-13T00:00:00"/>
    <n v="15"/>
    <x v="2"/>
    <x v="3"/>
    <x v="26"/>
    <x v="4"/>
    <x v="2"/>
    <x v="7"/>
    <s v="Printers"/>
    <s v="PRN-9975"/>
    <n v="1287.6400000000001"/>
    <n v="2717.15"/>
    <n v="2717.15"/>
    <n v="3.2000000000000001E-2"/>
    <n v="3.2000000000000001E-2"/>
    <n v="7"/>
  </r>
  <r>
    <s v="ORD-2024-655710"/>
    <d v="2024-11-30T00:00:00"/>
    <d v="2024-12-10T00:00:00"/>
    <d v="2024-12-10T00:00:00"/>
    <n v="10"/>
    <x v="1"/>
    <x v="4"/>
    <x v="34"/>
    <x v="4"/>
    <x v="0"/>
    <x v="9"/>
    <s v="Accessories"/>
    <s v="ACC-1075"/>
    <n v="851.49"/>
    <n v="901.79"/>
    <n v="901.79"/>
    <n v="0.245"/>
    <n v="0.245"/>
    <n v="16"/>
  </r>
  <r>
    <s v="ORD-2025-411385"/>
    <d v="2025-06-05T00:00:00"/>
    <d v="2025-06-14T00:00:00"/>
    <d v="2025-06-14T00:00:00"/>
    <n v="9"/>
    <x v="1"/>
    <x v="4"/>
    <x v="18"/>
    <x v="2"/>
    <x v="0"/>
    <x v="8"/>
    <s v="Accessories"/>
    <s v="ACC-2902"/>
    <n v="618.69000000000005"/>
    <n v="796.15"/>
    <n v="796.15"/>
    <n v="0.09"/>
    <n v="0.09"/>
    <n v="11"/>
  </r>
  <r>
    <s v="ORD-2025-222035"/>
    <d v="2025-03-14T00:00:00"/>
    <d v="2025-04-08T00:00:00"/>
    <d v="2025-04-08T00:00:00"/>
    <n v="25"/>
    <x v="1"/>
    <x v="9"/>
    <x v="23"/>
    <x v="0"/>
    <x v="3"/>
    <x v="14"/>
    <s v="Printers"/>
    <s v="PRN-5815"/>
    <n v="80.59"/>
    <n v="157.82"/>
    <n v="157.82"/>
    <n v="0.217"/>
    <n v="0.217"/>
    <n v="6"/>
  </r>
  <r>
    <s v="ORD-2024-749242"/>
    <d v="2024-01-16T00:00:00"/>
    <d v="2024-02-11T00:00:00"/>
    <d v="2024-02-11T00:00:00"/>
    <n v="26"/>
    <x v="3"/>
    <x v="6"/>
    <x v="36"/>
    <x v="2"/>
    <x v="3"/>
    <x v="6"/>
    <s v="Monitors"/>
    <s v="MON-4195"/>
    <n v="504.93"/>
    <n v="819.06"/>
    <n v="819.06"/>
    <n v="0.22600000000000001"/>
    <n v="0.22600000000000001"/>
    <n v="15"/>
  </r>
  <r>
    <s v="ORD-2023-623293"/>
    <d v="2023-10-12T00:00:00"/>
    <d v="2023-10-29T00:00:00"/>
    <d v="2023-10-29T00:00:00"/>
    <n v="17"/>
    <x v="1"/>
    <x v="2"/>
    <x v="32"/>
    <x v="2"/>
    <x v="4"/>
    <x v="10"/>
    <s v="Phones"/>
    <s v="PHN-8478"/>
    <n v="1102.19"/>
    <n v="1711.16"/>
    <n v="1711.16"/>
    <n v="0.151"/>
    <n v="0.151"/>
    <n v="10"/>
  </r>
  <r>
    <s v="ORD-2025-276968"/>
    <d v="2025-02-25T00:00:00"/>
    <d v="2025-03-17T00:00:00"/>
    <d v="2025-03-17T00:00:00"/>
    <n v="20"/>
    <x v="2"/>
    <x v="10"/>
    <x v="24"/>
    <x v="2"/>
    <x v="2"/>
    <x v="10"/>
    <s v="Phones"/>
    <s v="PHN-1044"/>
    <n v="1205.26"/>
    <n v="1696.35"/>
    <n v="1696.35"/>
    <n v="1.9E-2"/>
    <n v="1.9E-2"/>
    <n v="6"/>
  </r>
  <r>
    <s v="ORD-2025-650841"/>
    <d v="2025-07-03T00:00:00"/>
    <d v="2025-07-06T00:00:00"/>
    <d v="2025-07-06T00:00:00"/>
    <n v="3"/>
    <x v="0"/>
    <x v="1"/>
    <x v="3"/>
    <x v="3"/>
    <x v="1"/>
    <x v="8"/>
    <s v="Laptops"/>
    <s v="LAP-8910"/>
    <n v="1313.3"/>
    <n v="2884.34"/>
    <n v="2884.34"/>
    <n v="0.157"/>
    <n v="0.157"/>
    <n v="42"/>
  </r>
  <r>
    <s v="ORD-2025-831576"/>
    <d v="2025-09-15T00:00:00"/>
    <d v="2025-09-25T00:00:00"/>
    <d v="2025-09-25T00:00:00"/>
    <n v="10"/>
    <x v="1"/>
    <x v="4"/>
    <x v="18"/>
    <x v="3"/>
    <x v="0"/>
    <x v="8"/>
    <s v="Phones"/>
    <s v="PHN-2859"/>
    <n v="1488.91"/>
    <n v="1483.74"/>
    <n v="1483.74"/>
    <n v="0.16800000000000001"/>
    <n v="0.16800000000000001"/>
    <n v="24"/>
  </r>
  <r>
    <s v="ORD-2024-468655"/>
    <d v="2024-02-19T00:00:00"/>
    <d v="2024-03-06T00:00:00"/>
    <d v="2024-03-06T00:00:00"/>
    <n v="16"/>
    <x v="1"/>
    <x v="9"/>
    <x v="37"/>
    <x v="1"/>
    <x v="2"/>
    <x v="7"/>
    <s v="Printers"/>
    <s v="PRN-6308"/>
    <n v="1477.84"/>
    <n v="3197.47"/>
    <n v="3197.47"/>
    <n v="0.24299999999999999"/>
    <n v="0.24299999999999999"/>
    <n v="24"/>
  </r>
  <r>
    <s v="ORD-2024-515105"/>
    <d v="2024-02-27T00:00:00"/>
    <d v="2024-03-26T00:00:00"/>
    <d v="2024-03-26T00:00:00"/>
    <n v="28"/>
    <x v="1"/>
    <x v="4"/>
    <x v="29"/>
    <x v="1"/>
    <x v="2"/>
    <x v="3"/>
    <s v="Laptops"/>
    <s v="LAP-8469"/>
    <n v="1035.19"/>
    <n v="2322.6999999999998"/>
    <n v="2322.6999999999998"/>
    <n v="0.17299999999999999"/>
    <n v="0.17299999999999999"/>
    <n v="8"/>
  </r>
  <r>
    <s v="ORD-2025-803803"/>
    <d v="2025-08-28T00:00:00"/>
    <d v="2025-09-05T00:00:00"/>
    <d v="2025-09-05T00:00:00"/>
    <n v="8"/>
    <x v="0"/>
    <x v="1"/>
    <x v="1"/>
    <x v="4"/>
    <x v="2"/>
    <x v="6"/>
    <s v="Laptops"/>
    <s v="LAP-7553"/>
    <n v="1271.0999999999999"/>
    <n v="1932.42"/>
    <n v="1932.42"/>
    <n v="0.25"/>
    <n v="0.25"/>
    <n v="21"/>
  </r>
  <r>
    <s v="ORD-2024-993481"/>
    <d v="2024-08-18T00:00:00"/>
    <d v="2024-09-12T00:00:00"/>
    <d v="2024-09-12T00:00:00"/>
    <n v="25"/>
    <x v="1"/>
    <x v="4"/>
    <x v="29"/>
    <x v="3"/>
    <x v="2"/>
    <x v="0"/>
    <s v="Phones"/>
    <s v="PHN-3077"/>
    <n v="1154.03"/>
    <n v="1590.36"/>
    <n v="1590.36"/>
    <n v="0.314"/>
    <n v="0.11861439999999995"/>
    <n v="18"/>
  </r>
  <r>
    <s v="ORD-2024-811752"/>
    <d v="2024-02-25T00:00:00"/>
    <d v="2024-03-09T00:00:00"/>
    <d v="2024-03-09T00:00:00"/>
    <n v="13"/>
    <x v="3"/>
    <x v="7"/>
    <x v="11"/>
    <x v="4"/>
    <x v="3"/>
    <x v="6"/>
    <s v="Monitors"/>
    <s v="MON-3350"/>
    <n v="322.44"/>
    <n v="395.61"/>
    <n v="395.61"/>
    <n v="0"/>
    <n v="0"/>
    <n v="34"/>
  </r>
  <r>
    <s v="ORD-2025-673091"/>
    <d v="2025-05-07T00:00:00"/>
    <d v="2025-05-13T00:00:00"/>
    <d v="2025-05-13T00:00:00"/>
    <n v="6"/>
    <x v="1"/>
    <x v="4"/>
    <x v="6"/>
    <x v="5"/>
    <x v="4"/>
    <x v="1"/>
    <s v="Phones"/>
    <s v="PHN-5683"/>
    <n v="935.98"/>
    <n v="2077.69"/>
    <n v="2077.69"/>
    <n v="0.17499999999999999"/>
    <n v="0.17499999999999999"/>
    <n v="24"/>
  </r>
  <r>
    <s v="ORD-2024-381197"/>
    <d v="2024-11-01T00:00:00"/>
    <d v="2024-11-12T00:00:00"/>
    <d v="2024-11-12T00:00:00"/>
    <n v="11"/>
    <x v="3"/>
    <x v="6"/>
    <x v="36"/>
    <x v="3"/>
    <x v="1"/>
    <x v="5"/>
    <s v="Printers"/>
    <s v="PRN-2409"/>
    <n v="599.84"/>
    <n v="1330.85"/>
    <n v="1330.85"/>
    <n v="0.115"/>
    <n v="0.115"/>
    <n v="11"/>
  </r>
  <r>
    <s v="ORD-2024-651852"/>
    <d v="2024-12-28T00:00:00"/>
    <d v="2025-01-08T00:00:00"/>
    <d v="2025-01-08T00:00:00"/>
    <n v="11"/>
    <x v="1"/>
    <x v="9"/>
    <x v="14"/>
    <x v="5"/>
    <x v="1"/>
    <x v="11"/>
    <s v="Laptops"/>
    <s v="LAP-8825"/>
    <n v="1201.31"/>
    <n v="2764.65"/>
    <n v="2764.65"/>
    <n v="0"/>
    <n v="0"/>
    <n v="21"/>
  </r>
  <r>
    <s v="ORD-2023-659070"/>
    <d v="2023-10-21T00:00:00"/>
    <d v="2023-10-21T00:00:00"/>
    <d v="2023-10-21T00:00:00"/>
    <n v="0"/>
    <x v="3"/>
    <x v="8"/>
    <x v="31"/>
    <x v="5"/>
    <x v="3"/>
    <x v="1"/>
    <s v="Monitors"/>
    <s v="MON-8697"/>
    <n v="384.19"/>
    <n v="278.35000000000002"/>
    <n v="278.35000000000002"/>
    <n v="5.6000000000000001E-2"/>
    <n v="5.6000000000000001E-2"/>
    <n v="10"/>
  </r>
  <r>
    <s v="ORD-2024-837651"/>
    <d v="2024-12-10T00:00:00"/>
    <d v="2024-12-19T00:00:00"/>
    <d v="2024-12-19T00:00:00"/>
    <n v="9"/>
    <x v="0"/>
    <x v="1"/>
    <x v="3"/>
    <x v="0"/>
    <x v="0"/>
    <x v="7"/>
    <s v="Monitors"/>
    <s v="MON-4789"/>
    <n v="488.68"/>
    <n v="984.36"/>
    <n v="984.36"/>
    <n v="5.8999999999999997E-2"/>
    <n v="5.8999999999999997E-2"/>
    <n v="14"/>
  </r>
  <r>
    <s v="ORD-2024-581530"/>
    <d v="2024-09-07T00:00:00"/>
    <d v="2024-09-18T00:00:00"/>
    <d v="2024-09-18T00:00:00"/>
    <n v="11"/>
    <x v="1"/>
    <x v="9"/>
    <x v="37"/>
    <x v="3"/>
    <x v="3"/>
    <x v="7"/>
    <s v="Networking"/>
    <s v="NET-7998"/>
    <n v="181.74"/>
    <n v="190.84"/>
    <n v="190.84"/>
    <n v="0.214"/>
    <n v="0.214"/>
    <n v="13"/>
  </r>
  <r>
    <s v="ORD-2023-378104"/>
    <d v="2023-10-18T00:00:00"/>
    <d v="2023-10-20T00:00:00"/>
    <d v="2023-10-20T00:00:00"/>
    <n v="2"/>
    <x v="0"/>
    <x v="0"/>
    <x v="0"/>
    <x v="3"/>
    <x v="0"/>
    <x v="1"/>
    <s v="Phones"/>
    <s v="PHN-8891"/>
    <n v="774.12"/>
    <n v="908.3"/>
    <n v="908.3"/>
    <n v="0"/>
    <n v="0"/>
    <n v="30"/>
  </r>
  <r>
    <s v="ORD-2024-972318"/>
    <d v="2024-12-24T00:00:00"/>
    <d v="2025-01-13T00:00:00"/>
    <d v="2025-01-13T00:00:00"/>
    <n v="20"/>
    <x v="1"/>
    <x v="4"/>
    <x v="6"/>
    <x v="0"/>
    <x v="2"/>
    <x v="14"/>
    <s v="Networking"/>
    <s v="NET-9832"/>
    <n v="126.15"/>
    <n v="284.23"/>
    <n v="284.23"/>
    <n v="0.113"/>
    <n v="0.113"/>
    <n v="22"/>
  </r>
  <r>
    <s v="ORD-2023-752962"/>
    <d v="2023-04-21T00:00:00"/>
    <d v="2023-04-19T00:00:00"/>
    <d v="2023-04-19T00:00:00"/>
    <n v="-2"/>
    <x v="1"/>
    <x v="2"/>
    <x v="32"/>
    <x v="4"/>
    <x v="4"/>
    <x v="12"/>
    <s v="Components"/>
    <s v="CMP-8604"/>
    <n v="607.04"/>
    <n v="1229.3399999999999"/>
    <n v="1229.3399999999999"/>
    <n v="0.14699999999999999"/>
    <n v="0.14699999999999999"/>
    <n v="7"/>
  </r>
  <r>
    <s v="ORD-2023-808024"/>
    <d v="2023-12-30T00:00:00"/>
    <d v="2024-01-08T00:00:00"/>
    <d v="2024-01-08T00:00:00"/>
    <n v="9"/>
    <x v="3"/>
    <x v="7"/>
    <x v="11"/>
    <x v="3"/>
    <x v="2"/>
    <x v="4"/>
    <s v="Accessories"/>
    <s v="ACC-6594"/>
    <n v="861.1"/>
    <n v="1224.72"/>
    <n v="1224.72"/>
    <n v="0.17399999999999999"/>
    <n v="0.17399999999999999"/>
    <n v="24"/>
  </r>
  <r>
    <s v="ORD-2023-156396"/>
    <d v="2023-02-21T00:00:00"/>
    <d v="2023-03-12T00:00:00"/>
    <d v="2023-03-12T00:00:00"/>
    <n v="19"/>
    <x v="0"/>
    <x v="0"/>
    <x v="16"/>
    <x v="0"/>
    <x v="1"/>
    <x v="9"/>
    <s v="Networking"/>
    <s v="NET-2499"/>
    <n v="352.65"/>
    <n v="485.86"/>
    <n v="485.86"/>
    <n v="4.1000000000000002E-2"/>
    <n v="4.1000000000000002E-2"/>
    <n v="6"/>
  </r>
  <r>
    <s v="ORD-2023-184577"/>
    <d v="2023-05-17T00:00:00"/>
    <d v="2023-06-03T00:00:00"/>
    <d v="2023-06-03T00:00:00"/>
    <n v="17"/>
    <x v="1"/>
    <x v="9"/>
    <x v="37"/>
    <x v="2"/>
    <x v="3"/>
    <x v="12"/>
    <s v="Printers"/>
    <s v="PRN-1923"/>
    <n v="979.59"/>
    <n v="2210.94"/>
    <n v="2210.94"/>
    <n v="0.15"/>
    <n v="0.15"/>
    <n v="11"/>
  </r>
  <r>
    <s v="ORD-2024-446030"/>
    <d v="2024-03-23T00:00:00"/>
    <d v="2024-03-26T00:00:00"/>
    <d v="2024-03-26T00:00:00"/>
    <n v="3"/>
    <x v="1"/>
    <x v="4"/>
    <x v="6"/>
    <x v="1"/>
    <x v="4"/>
    <x v="3"/>
    <s v="Phones"/>
    <s v="PHN-4346"/>
    <n v="382.21"/>
    <n v="571.89"/>
    <n v="571.89"/>
    <n v="0.14799999999999999"/>
    <n v="0.14799999999999999"/>
    <n v="26"/>
  </r>
  <r>
    <s v="ORD-2023-842820"/>
    <d v="2023-09-20T00:00:00"/>
    <d v="2023-09-28T00:00:00"/>
    <d v="2023-09-28T00:00:00"/>
    <n v="8"/>
    <x v="1"/>
    <x v="4"/>
    <x v="18"/>
    <x v="0"/>
    <x v="0"/>
    <x v="5"/>
    <s v="Accessories"/>
    <s v="ACC-1375"/>
    <n v="1362.06"/>
    <n v="3398.37"/>
    <n v="3398.37"/>
    <n v="0.157"/>
    <n v="0.157"/>
    <n v="11"/>
  </r>
  <r>
    <s v="ORD-2024-745424"/>
    <d v="2024-08-22T00:00:00"/>
    <d v="2024-09-04T00:00:00"/>
    <d v="2024-09-04T00:00:00"/>
    <n v="13"/>
    <x v="3"/>
    <x v="6"/>
    <x v="36"/>
    <x v="2"/>
    <x v="0"/>
    <x v="4"/>
    <s v="Printers"/>
    <s v="PRN-4892"/>
    <n v="90.04"/>
    <n v="194.62"/>
    <n v="194.62"/>
    <n v="4.2999999999999997E-2"/>
    <n v="4.2999999999999997E-2"/>
    <n v="32"/>
  </r>
  <r>
    <s v="ORD-2024-510520"/>
    <d v="2024-09-25T00:00:00"/>
    <d v="2024-10-03T00:00:00"/>
    <d v="2024-10-03T00:00:00"/>
    <n v="8"/>
    <x v="2"/>
    <x v="3"/>
    <x v="5"/>
    <x v="3"/>
    <x v="1"/>
    <x v="6"/>
    <s v="Printers"/>
    <s v="PRN-9557"/>
    <n v="558.19000000000005"/>
    <n v="1031.6400000000001"/>
    <n v="1031.6400000000001"/>
    <n v="0"/>
    <n v="0"/>
    <n v="21"/>
  </r>
  <r>
    <s v="ORD-2023-769774"/>
    <d v="2023-06-13T00:00:00"/>
    <d v="2023-06-24T00:00:00"/>
    <d v="2023-06-24T00:00:00"/>
    <n v="11"/>
    <x v="2"/>
    <x v="3"/>
    <x v="5"/>
    <x v="0"/>
    <x v="1"/>
    <x v="0"/>
    <s v="Printers"/>
    <s v="PRN-8008"/>
    <n v="247.07"/>
    <n v="495.19"/>
    <n v="495.19"/>
    <n v="2.8000000000000001E-2"/>
    <n v="2.8000000000000001E-2"/>
    <n v="4"/>
  </r>
  <r>
    <s v="ORD-2023-580751"/>
    <d v="2023-12-24T00:00:00"/>
    <d v="2024-01-13T00:00:00"/>
    <d v="2024-01-13T00:00:00"/>
    <n v="20"/>
    <x v="1"/>
    <x v="2"/>
    <x v="32"/>
    <x v="1"/>
    <x v="4"/>
    <x v="5"/>
    <s v="Laptops"/>
    <s v="LAP-1946"/>
    <n v="625.37"/>
    <n v="1319.04"/>
    <n v="1319.04"/>
    <n v="7.3999999999999996E-2"/>
    <n v="7.3999999999999996E-2"/>
    <n v="8"/>
  </r>
  <r>
    <s v="ORD-2025-473192"/>
    <d v="2025-03-30T00:00:00"/>
    <d v="2025-04-29T00:00:00"/>
    <d v="2025-04-29T00:00:00"/>
    <n v="30"/>
    <x v="0"/>
    <x v="11"/>
    <x v="25"/>
    <x v="3"/>
    <x v="2"/>
    <x v="1"/>
    <s v="Monitors"/>
    <s v="MON-7106"/>
    <n v="194.6"/>
    <n v="314.87"/>
    <n v="314.87"/>
    <n v="0.29299999999999998"/>
    <n v="0.29299999999999998"/>
    <n v="25"/>
  </r>
  <r>
    <s v="ORD-2024-886939"/>
    <d v="2024-06-03T00:00:00"/>
    <d v="2024-06-24T00:00:00"/>
    <d v="2024-06-24T00:00:00"/>
    <n v="21"/>
    <x v="2"/>
    <x v="3"/>
    <x v="5"/>
    <x v="4"/>
    <x v="4"/>
    <x v="3"/>
    <s v="Monitors"/>
    <s v="MON-5386"/>
    <n v="1205.5"/>
    <n v="2210.17"/>
    <n v="2210.17"/>
    <n v="0.104"/>
    <n v="0.104"/>
    <n v="23"/>
  </r>
  <r>
    <s v="ORD-2024-566589"/>
    <d v="2024-06-11T00:00:00"/>
    <d v="2024-07-09T00:00:00"/>
    <d v="2024-07-09T00:00:00"/>
    <n v="28"/>
    <x v="0"/>
    <x v="1"/>
    <x v="1"/>
    <x v="0"/>
    <x v="2"/>
    <x v="2"/>
    <s v="Phones"/>
    <s v="PHN-2436"/>
    <n v="895.54"/>
    <n v="1045"/>
    <n v="1045"/>
    <n v="0.216"/>
    <n v="0.216"/>
    <n v="15"/>
  </r>
  <r>
    <s v="ORD-2023-109927"/>
    <d v="2023-07-22T00:00:00"/>
    <d v="2023-07-21T00:00:00"/>
    <d v="2023-07-21T00:00:00"/>
    <n v="-1"/>
    <x v="1"/>
    <x v="4"/>
    <x v="18"/>
    <x v="4"/>
    <x v="3"/>
    <x v="6"/>
    <s v="Printers"/>
    <s v="PRN-2301"/>
    <n v="946.99"/>
    <n v="2132.19"/>
    <n v="2132.19"/>
    <n v="0.16500000000000001"/>
    <n v="0.16500000000000001"/>
    <n v="7"/>
  </r>
  <r>
    <s v="ORD-2023-780206"/>
    <d v="2023-01-19T00:00:00"/>
    <d v="2023-02-03T00:00:00"/>
    <d v="2023-02-03T00:00:00"/>
    <n v="15"/>
    <x v="3"/>
    <x v="8"/>
    <x v="21"/>
    <x v="5"/>
    <x v="3"/>
    <x v="3"/>
    <s v="Accessories"/>
    <s v="ACC-3645"/>
    <n v="873.06"/>
    <n v="2101.5500000000002"/>
    <n v="2101.5500000000002"/>
    <n v="6.6000000000000003E-2"/>
    <n v="6.6000000000000003E-2"/>
    <n v="10"/>
  </r>
  <r>
    <s v="ORD-2024-851993"/>
    <d v="2024-05-01T00:00:00"/>
    <d v="2024-05-16T00:00:00"/>
    <d v="2024-05-16T00:00:00"/>
    <n v="15"/>
    <x v="1"/>
    <x v="4"/>
    <x v="6"/>
    <x v="4"/>
    <x v="0"/>
    <x v="4"/>
    <s v="Components"/>
    <s v="CMP-6811"/>
    <n v="901.19"/>
    <n v="2125.44"/>
    <n v="2125.44"/>
    <n v="7.0999999999999994E-2"/>
    <n v="7.0999999999999994E-2"/>
    <n v="12"/>
  </r>
  <r>
    <s v="ORD-2025-417942"/>
    <d v="2025-06-09T00:00:00"/>
    <d v="2025-06-24T00:00:00"/>
    <d v="2025-06-24T00:00:00"/>
    <n v="15"/>
    <x v="1"/>
    <x v="2"/>
    <x v="32"/>
    <x v="0"/>
    <x v="4"/>
    <x v="5"/>
    <s v="Phones"/>
    <s v="PHN-5675"/>
    <n v="400.39"/>
    <n v="712.75"/>
    <n v="712.75"/>
    <n v="0.115"/>
    <n v="0.115"/>
    <n v="19"/>
  </r>
  <r>
    <s v="ORD-2023-172095"/>
    <d v="2023-05-24T00:00:00"/>
    <d v="2023-06-21T00:00:00"/>
    <d v="2023-06-21T00:00:00"/>
    <n v="28"/>
    <x v="2"/>
    <x v="10"/>
    <x v="35"/>
    <x v="4"/>
    <x v="2"/>
    <x v="3"/>
    <s v="Monitors"/>
    <s v="MON-6882"/>
    <n v="813.97"/>
    <n v="1568.83"/>
    <n v="1568.83"/>
    <n v="1.7000000000000001E-2"/>
    <n v="1.7000000000000001E-2"/>
    <n v="15"/>
  </r>
  <r>
    <s v="ORD-2024-257550"/>
    <d v="2024-12-27T00:00:00"/>
    <d v="2024-12-29T00:00:00"/>
    <d v="2024-12-29T00:00:00"/>
    <n v="2"/>
    <x v="2"/>
    <x v="3"/>
    <x v="26"/>
    <x v="5"/>
    <x v="2"/>
    <x v="0"/>
    <s v="Accessories"/>
    <s v="ACC-8620"/>
    <n v="1146.72"/>
    <n v="2074.34"/>
    <n v="2074.34"/>
    <n v="0.111"/>
    <n v="0.111"/>
    <n v="8"/>
  </r>
  <r>
    <s v="ORD-2023-581799"/>
    <d v="2023-12-05T00:00:00"/>
    <d v="2023-12-12T00:00:00"/>
    <d v="2023-12-12T00:00:00"/>
    <n v="7"/>
    <x v="2"/>
    <x v="5"/>
    <x v="10"/>
    <x v="0"/>
    <x v="4"/>
    <x v="9"/>
    <s v="Phones"/>
    <s v="PHN-6506"/>
    <n v="307.43"/>
    <n v="495.19"/>
    <n v="495.19"/>
    <n v="0"/>
    <n v="0"/>
    <n v="42"/>
  </r>
  <r>
    <s v="ORD-2023-880296"/>
    <d v="2023-05-02T00:00:00"/>
    <d v="2023-05-19T00:00:00"/>
    <d v="2023-05-19T00:00:00"/>
    <n v="17"/>
    <x v="1"/>
    <x v="9"/>
    <x v="23"/>
    <x v="2"/>
    <x v="4"/>
    <x v="1"/>
    <s v="Monitors"/>
    <s v="MON-5086"/>
    <n v="714.28"/>
    <n v="757.59"/>
    <n v="757.59"/>
    <n v="0.13600000000000001"/>
    <n v="0.13600000000000001"/>
    <n v="12"/>
  </r>
  <r>
    <s v="ORD-2023-191563"/>
    <d v="2023-11-30T00:00:00"/>
    <d v="2023-12-10T00:00:00"/>
    <d v="2023-12-10T00:00:00"/>
    <n v="10"/>
    <x v="3"/>
    <x v="6"/>
    <x v="22"/>
    <x v="4"/>
    <x v="4"/>
    <x v="9"/>
    <s v="Laptops"/>
    <s v="LAP-4899"/>
    <n v="174.74"/>
    <n v="415.96"/>
    <n v="415.96"/>
    <n v="0.125"/>
    <n v="0.125"/>
    <n v="21"/>
  </r>
  <r>
    <s v="ORD-2024-202166"/>
    <d v="2024-05-05T00:00:00"/>
    <d v="2024-05-18T00:00:00"/>
    <d v="2024-05-18T00:00:00"/>
    <n v="13"/>
    <x v="3"/>
    <x v="7"/>
    <x v="11"/>
    <x v="0"/>
    <x v="2"/>
    <x v="8"/>
    <s v="Components"/>
    <s v="CMP-3313"/>
    <n v="1264.04"/>
    <n v="1870.89"/>
    <n v="1870.89"/>
    <n v="0"/>
    <n v="0"/>
    <n v="13"/>
  </r>
  <r>
    <s v="ORD-2023-539967"/>
    <d v="2023-07-09T00:00:00"/>
    <d v="2023-07-19T00:00:00"/>
    <d v="2023-07-19T00:00:00"/>
    <n v="10"/>
    <x v="1"/>
    <x v="2"/>
    <x v="27"/>
    <x v="5"/>
    <x v="3"/>
    <x v="13"/>
    <s v="Components"/>
    <s v="CMP-6649"/>
    <n v="141.26"/>
    <n v="206.88"/>
    <n v="206.88"/>
    <n v="0.107"/>
    <n v="0.107"/>
    <n v="9"/>
  </r>
  <r>
    <s v="ORD-2023-704111"/>
    <d v="2023-05-17T00:00:00"/>
    <d v="2023-06-15T00:00:00"/>
    <d v="2023-06-15T00:00:00"/>
    <n v="29"/>
    <x v="0"/>
    <x v="11"/>
    <x v="25"/>
    <x v="5"/>
    <x v="0"/>
    <x v="11"/>
    <s v="Accessories"/>
    <s v="ACC-5206"/>
    <n v="40.89"/>
    <n v="62.82"/>
    <n v="62.82"/>
    <n v="0.129"/>
    <n v="0.129"/>
    <n v="17"/>
  </r>
  <r>
    <s v="ORD-2024-356812"/>
    <d v="2024-03-07T00:00:00"/>
    <d v="2024-04-03T00:00:00"/>
    <d v="2024-04-03T00:00:00"/>
    <n v="27"/>
    <x v="3"/>
    <x v="6"/>
    <x v="36"/>
    <x v="0"/>
    <x v="4"/>
    <x v="12"/>
    <s v="Printers"/>
    <s v="PRN-6911"/>
    <n v="738.16"/>
    <n v="956.49"/>
    <n v="956.49"/>
    <n v="0.152"/>
    <n v="0.152"/>
    <n v="5"/>
  </r>
  <r>
    <s v="ORD-2025-306251"/>
    <d v="2025-04-10T00:00:00"/>
    <d v="2025-04-19T00:00:00"/>
    <d v="2025-04-19T00:00:00"/>
    <n v="9"/>
    <x v="0"/>
    <x v="11"/>
    <x v="25"/>
    <x v="5"/>
    <x v="3"/>
    <x v="3"/>
    <s v="Networking"/>
    <s v="NET-5270"/>
    <n v="113.74"/>
    <n v="165.7"/>
    <n v="165.7"/>
    <n v="0.124"/>
    <n v="0.124"/>
    <n v="13"/>
  </r>
  <r>
    <s v="ORD-2025-496178"/>
    <d v="2025-07-27T00:00:00"/>
    <d v="2025-08-15T00:00:00"/>
    <d v="2025-08-15T00:00:00"/>
    <n v="19"/>
    <x v="1"/>
    <x v="2"/>
    <x v="27"/>
    <x v="4"/>
    <x v="2"/>
    <x v="1"/>
    <s v="Components"/>
    <s v="CMP-5658"/>
    <n v="275.43"/>
    <n v="608.36"/>
    <n v="608.36"/>
    <n v="0.25700000000000001"/>
    <n v="0.25700000000000001"/>
    <n v="4"/>
  </r>
  <r>
    <s v="ORD-2024-508213"/>
    <d v="2024-11-22T00:00:00"/>
    <d v="2024-12-15T00:00:00"/>
    <d v="2024-12-15T00:00:00"/>
    <n v="23"/>
    <x v="0"/>
    <x v="0"/>
    <x v="13"/>
    <x v="2"/>
    <x v="3"/>
    <x v="0"/>
    <s v="Components"/>
    <s v="CMP-3938"/>
    <n v="1335.76"/>
    <n v="2665.91"/>
    <n v="2665.91"/>
    <n v="0.21099999999999999"/>
    <n v="0.21099999999999999"/>
    <n v="40"/>
  </r>
  <r>
    <s v="ORD-2024-787018"/>
    <d v="2024-06-23T00:00:00"/>
    <d v="2024-06-28T00:00:00"/>
    <d v="2024-06-28T00:00:00"/>
    <n v="5"/>
    <x v="0"/>
    <x v="1"/>
    <x v="1"/>
    <x v="2"/>
    <x v="4"/>
    <x v="12"/>
    <s v="Accessories"/>
    <s v="ACC-7671"/>
    <n v="242.31"/>
    <n v="587.95000000000005"/>
    <n v="587.95000000000005"/>
    <n v="0.22900000000000001"/>
    <n v="0.22900000000000001"/>
    <n v="6"/>
  </r>
  <r>
    <s v="ORD-2023-728177"/>
    <d v="2023-12-18T00:00:00"/>
    <d v="2024-01-14T00:00:00"/>
    <d v="2024-01-14T00:00:00"/>
    <n v="27"/>
    <x v="1"/>
    <x v="4"/>
    <x v="29"/>
    <x v="3"/>
    <x v="3"/>
    <x v="14"/>
    <s v="Networking"/>
    <s v="NET-6014"/>
    <n v="1408.3"/>
    <n v="2193.13"/>
    <n v="2193.13"/>
    <n v="7.0999999999999994E-2"/>
    <n v="7.0999999999999994E-2"/>
    <n v="7"/>
  </r>
  <r>
    <s v="ORD-2025-795385"/>
    <d v="2025-06-01T00:00:00"/>
    <d v="2025-06-05T00:00:00"/>
    <d v="2025-06-05T00:00:00"/>
    <n v="4"/>
    <x v="3"/>
    <x v="6"/>
    <x v="22"/>
    <x v="5"/>
    <x v="4"/>
    <x v="12"/>
    <s v="Components"/>
    <s v="CMP-4159"/>
    <n v="1171.42"/>
    <n v="2187.8000000000002"/>
    <n v="2187.8000000000002"/>
    <n v="0.23"/>
    <n v="0.23"/>
    <n v="15"/>
  </r>
  <r>
    <s v="ORD-2025-947929"/>
    <d v="2025-03-23T00:00:00"/>
    <d v="2025-04-02T00:00:00"/>
    <d v="2025-04-02T00:00:00"/>
    <n v="10"/>
    <x v="3"/>
    <x v="6"/>
    <x v="9"/>
    <x v="5"/>
    <x v="1"/>
    <x v="6"/>
    <s v="Printers"/>
    <s v="PRN-3159"/>
    <n v="663.61"/>
    <n v="1002.11"/>
    <n v="1002.11"/>
    <n v="4.5999999999999999E-2"/>
    <n v="4.5999999999999999E-2"/>
    <n v="17"/>
  </r>
  <r>
    <s v="ORD-2023-931633"/>
    <d v="2023-05-14T00:00:00"/>
    <d v="2023-05-22T00:00:00"/>
    <d v="2023-05-22T00:00:00"/>
    <n v="8"/>
    <x v="0"/>
    <x v="0"/>
    <x v="13"/>
    <x v="4"/>
    <x v="3"/>
    <x v="9"/>
    <s v="Printers"/>
    <s v="PRN-9488"/>
    <n v="432.01"/>
    <n v="913.78"/>
    <n v="913.78"/>
    <n v="4.9000000000000002E-2"/>
    <n v="4.9000000000000002E-2"/>
    <n v="12"/>
  </r>
  <r>
    <s v="ORD-2023-243704"/>
    <d v="2023-08-29T00:00:00"/>
    <d v="2023-09-19T00:00:00"/>
    <d v="2023-09-19T00:00:00"/>
    <n v="21"/>
    <x v="3"/>
    <x v="7"/>
    <x v="17"/>
    <x v="4"/>
    <x v="4"/>
    <x v="5"/>
    <s v="Printers"/>
    <s v="PRN-7079"/>
    <n v="784.46"/>
    <n v="1843.51"/>
    <n v="1843.51"/>
    <n v="0.13800000000000001"/>
    <n v="0.13800000000000001"/>
    <n v="23"/>
  </r>
  <r>
    <s v="ORD-2025-779659"/>
    <d v="2025-07-03T00:00:00"/>
    <d v="2025-07-23T00:00:00"/>
    <d v="2025-07-23T00:00:00"/>
    <n v="20"/>
    <x v="1"/>
    <x v="9"/>
    <x v="37"/>
    <x v="4"/>
    <x v="1"/>
    <x v="12"/>
    <s v="Components"/>
    <s v="CMP-1220"/>
    <n v="647.36"/>
    <n v="1383.6"/>
    <n v="1383.6"/>
    <n v="7.3999999999999996E-2"/>
    <n v="7.3999999999999996E-2"/>
    <n v="12"/>
  </r>
  <r>
    <s v="ORD-2024-647571"/>
    <d v="2024-02-06T00:00:00"/>
    <d v="2024-02-28T00:00:00"/>
    <d v="2024-02-28T00:00:00"/>
    <n v="22"/>
    <x v="0"/>
    <x v="0"/>
    <x v="0"/>
    <x v="2"/>
    <x v="1"/>
    <x v="11"/>
    <s v="Monitors"/>
    <s v="MON-2462"/>
    <n v="834.93"/>
    <n v="1588.53"/>
    <n v="1588.53"/>
    <n v="0.126"/>
    <n v="0.126"/>
    <n v="6"/>
  </r>
  <r>
    <s v="ORD-2025-683043"/>
    <d v="2025-08-13T00:00:00"/>
    <d v="2025-09-03T00:00:00"/>
    <d v="2025-09-03T00:00:00"/>
    <n v="21"/>
    <x v="3"/>
    <x v="7"/>
    <x v="28"/>
    <x v="1"/>
    <x v="0"/>
    <x v="2"/>
    <s v="Phones"/>
    <s v="PHN-9465"/>
    <n v="603.47"/>
    <n v="1344.05"/>
    <n v="1344.05"/>
    <n v="0.20499999999999999"/>
    <n v="0.20499999999999999"/>
    <n v="18"/>
  </r>
  <r>
    <s v="ORD-2023-588455"/>
    <d v="2023-05-23T00:00:00"/>
    <d v="2023-05-25T00:00:00"/>
    <d v="2023-05-25T00:00:00"/>
    <n v="2"/>
    <x v="2"/>
    <x v="5"/>
    <x v="30"/>
    <x v="5"/>
    <x v="0"/>
    <x v="12"/>
    <s v="Printers"/>
    <s v="PRN-1271"/>
    <n v="690.49"/>
    <n v="1290.29"/>
    <n v="1290.29"/>
    <n v="4.2000000000000003E-2"/>
    <n v="4.2000000000000003E-2"/>
    <n v="22"/>
  </r>
  <r>
    <s v="ORD-2024-641220"/>
    <d v="2024-05-10T00:00:00"/>
    <d v="2024-05-16T00:00:00"/>
    <d v="2024-05-16T00:00:00"/>
    <n v="6"/>
    <x v="3"/>
    <x v="8"/>
    <x v="12"/>
    <x v="2"/>
    <x v="4"/>
    <x v="3"/>
    <s v="Laptops"/>
    <s v="LAP-1066"/>
    <n v="210.76"/>
    <n v="221.58"/>
    <n v="221.58"/>
    <n v="8.8999999999999996E-2"/>
    <n v="8.8999999999999996E-2"/>
    <n v="5"/>
  </r>
  <r>
    <s v="ORD-2023-799597"/>
    <d v="2023-03-14T00:00:00"/>
    <d v="2023-03-18T00:00:00"/>
    <d v="2023-03-18T00:00:00"/>
    <n v="4"/>
    <x v="3"/>
    <x v="6"/>
    <x v="36"/>
    <x v="5"/>
    <x v="4"/>
    <x v="8"/>
    <s v="Components"/>
    <s v="CMP-8675"/>
    <n v="472.33"/>
    <n v="360.34"/>
    <n v="360.34"/>
    <n v="0.16500000000000001"/>
    <n v="0.16500000000000001"/>
    <n v="14"/>
  </r>
  <r>
    <s v="ORD-2023-569862"/>
    <d v="2023-07-16T00:00:00"/>
    <d v="2023-08-13T00:00:00"/>
    <d v="2023-08-13T00:00:00"/>
    <n v="28"/>
    <x v="3"/>
    <x v="8"/>
    <x v="31"/>
    <x v="2"/>
    <x v="1"/>
    <x v="1"/>
    <s v="Laptops"/>
    <s v="LAP-1178"/>
    <n v="1039.03"/>
    <n v="2545.81"/>
    <n v="2545.81"/>
    <n v="0.216"/>
    <n v="0.216"/>
    <n v="21"/>
  </r>
  <r>
    <s v="ORD-2023-609394"/>
    <d v="2023-04-16T00:00:00"/>
    <d v="2023-04-19T00:00:00"/>
    <d v="2023-04-19T00:00:00"/>
    <n v="3"/>
    <x v="3"/>
    <x v="6"/>
    <x v="22"/>
    <x v="0"/>
    <x v="4"/>
    <x v="5"/>
    <s v="Accessories"/>
    <s v="ACC-1731"/>
    <n v="553.61"/>
    <n v="699.47"/>
    <n v="699.47"/>
    <n v="0.02"/>
    <n v="0.02"/>
    <n v="33"/>
  </r>
  <r>
    <s v="ORD-2024-105586"/>
    <d v="2024-01-02T00:00:00"/>
    <d v="2024-01-15T00:00:00"/>
    <d v="2024-01-15T00:00:00"/>
    <n v="13"/>
    <x v="1"/>
    <x v="2"/>
    <x v="32"/>
    <x v="4"/>
    <x v="2"/>
    <x v="3"/>
    <s v="Networking"/>
    <s v="NET-1893"/>
    <n v="1219.06"/>
    <n v="2738.69"/>
    <n v="2738.69"/>
    <n v="7.5999999999999998E-2"/>
    <n v="7.5999999999999998E-2"/>
    <n v="16"/>
  </r>
  <r>
    <s v="ORD-2024-207792"/>
    <d v="2024-09-03T00:00:00"/>
    <d v="2024-09-07T00:00:00"/>
    <d v="2024-09-07T00:00:00"/>
    <n v="4"/>
    <x v="1"/>
    <x v="2"/>
    <x v="27"/>
    <x v="4"/>
    <x v="3"/>
    <x v="13"/>
    <s v="Printers"/>
    <s v="PRN-3917"/>
    <n v="43.23"/>
    <n v="94.78"/>
    <n v="94.78"/>
    <n v="9.0999999999999998E-2"/>
    <n v="9.0999999999999998E-2"/>
    <n v="55"/>
  </r>
  <r>
    <s v="ORD-2025-417336"/>
    <d v="2025-08-30T00:00:00"/>
    <d v="2025-09-03T00:00:00"/>
    <d v="2025-09-03T00:00:00"/>
    <n v="4"/>
    <x v="3"/>
    <x v="7"/>
    <x v="11"/>
    <x v="4"/>
    <x v="2"/>
    <x v="1"/>
    <s v="Laptops"/>
    <s v="LAP-3220"/>
    <n v="1286.56"/>
    <n v="2777.35"/>
    <n v="2777.35"/>
    <n v="0.13200000000000001"/>
    <n v="0.13200000000000001"/>
    <n v="15"/>
  </r>
  <r>
    <s v="ORD-2025-252117"/>
    <d v="2025-04-28T00:00:00"/>
    <d v="2025-05-19T00:00:00"/>
    <d v="2025-05-19T00:00:00"/>
    <n v="21"/>
    <x v="3"/>
    <x v="6"/>
    <x v="9"/>
    <x v="0"/>
    <x v="3"/>
    <x v="5"/>
    <s v="Phones"/>
    <s v="PHN-2462"/>
    <n v="350.76"/>
    <n v="492.18"/>
    <n v="492.18"/>
    <n v="5.2999999999999999E-2"/>
    <n v="5.2999999999999999E-2"/>
    <n v="11"/>
  </r>
  <r>
    <s v="ORD-2023-867175"/>
    <d v="2023-08-10T00:00:00"/>
    <d v="2023-08-15T00:00:00"/>
    <d v="2023-08-15T00:00:00"/>
    <n v="5"/>
    <x v="2"/>
    <x v="5"/>
    <x v="8"/>
    <x v="1"/>
    <x v="4"/>
    <x v="3"/>
    <s v="Networking"/>
    <s v="NET-2894"/>
    <n v="1307.52"/>
    <n v="1921.65"/>
    <n v="1921.65"/>
    <n v="0.123"/>
    <n v="0.123"/>
    <n v="13"/>
  </r>
  <r>
    <s v="ORD-2024-382152"/>
    <d v="2024-12-08T00:00:00"/>
    <d v="2024-12-08T00:00:00"/>
    <d v="2024-12-08T00:00:00"/>
    <n v="0"/>
    <x v="3"/>
    <x v="7"/>
    <x v="17"/>
    <x v="5"/>
    <x v="0"/>
    <x v="10"/>
    <s v="Components"/>
    <s v="CMP-2335"/>
    <n v="257.44"/>
    <n v="290.33"/>
    <n v="290.33"/>
    <n v="9.1999999999999998E-2"/>
    <n v="9.1999999999999998E-2"/>
    <n v="23"/>
  </r>
  <r>
    <s v="ORD-2023-597666"/>
    <d v="2023-10-25T00:00:00"/>
    <d v="2023-11-24T00:00:00"/>
    <d v="2023-11-24T00:00:00"/>
    <n v="30"/>
    <x v="3"/>
    <x v="7"/>
    <x v="28"/>
    <x v="5"/>
    <x v="3"/>
    <x v="0"/>
    <s v="Phones"/>
    <s v="PHN-5938"/>
    <n v="287.85000000000002"/>
    <n v="602.91999999999996"/>
    <n v="602.91999999999996"/>
    <n v="0.222"/>
    <n v="0.222"/>
    <n v="11"/>
  </r>
  <r>
    <s v="ORD-2024-371409"/>
    <d v="2024-11-17T00:00:00"/>
    <d v="2024-11-28T00:00:00"/>
    <d v="2024-11-28T00:00:00"/>
    <n v="11"/>
    <x v="2"/>
    <x v="3"/>
    <x v="26"/>
    <x v="3"/>
    <x v="3"/>
    <x v="8"/>
    <s v="Printers"/>
    <s v="PRN-1371"/>
    <n v="1008.16"/>
    <n v="2077.5"/>
    <n v="2077.5"/>
    <n v="7.3999999999999996E-2"/>
    <n v="7.3999999999999996E-2"/>
    <n v="15"/>
  </r>
  <r>
    <s v="ORD-2024-973420"/>
    <d v="2024-05-12T00:00:00"/>
    <d v="2024-05-24T00:00:00"/>
    <d v="2024-05-24T00:00:00"/>
    <n v="12"/>
    <x v="3"/>
    <x v="8"/>
    <x v="31"/>
    <x v="1"/>
    <x v="2"/>
    <x v="11"/>
    <s v="Printers"/>
    <s v="PRN-5813"/>
    <n v="111.02"/>
    <n v="172.88"/>
    <n v="172.88"/>
    <n v="0.19700000000000001"/>
    <n v="0.19700000000000001"/>
    <n v="29"/>
  </r>
  <r>
    <s v="ORD-2025-254721"/>
    <d v="2025-05-15T00:00:00"/>
    <d v="2025-06-05T00:00:00"/>
    <d v="2025-06-05T00:00:00"/>
    <n v="21"/>
    <x v="1"/>
    <x v="2"/>
    <x v="4"/>
    <x v="5"/>
    <x v="4"/>
    <x v="10"/>
    <s v="Phones"/>
    <s v="PHN-6480"/>
    <n v="1466.5"/>
    <n v="2778.74"/>
    <n v="2778.74"/>
    <n v="0.13500000000000001"/>
    <n v="0.13500000000000001"/>
    <n v="4"/>
  </r>
  <r>
    <s v="ORD-2024-247032"/>
    <d v="2024-04-21T00:00:00"/>
    <d v="2024-05-19T00:00:00"/>
    <d v="2024-05-19T00:00:00"/>
    <n v="28"/>
    <x v="0"/>
    <x v="1"/>
    <x v="3"/>
    <x v="0"/>
    <x v="3"/>
    <x v="8"/>
    <s v="Accessories"/>
    <s v="ACC-2990"/>
    <n v="187.22"/>
    <n v="309.47000000000003"/>
    <n v="309.47000000000003"/>
    <n v="0"/>
    <n v="0"/>
    <n v="5"/>
  </r>
  <r>
    <s v="ORD-2024-792353"/>
    <d v="2024-08-19T00:00:00"/>
    <d v="2024-09-07T00:00:00"/>
    <d v="2024-09-07T00:00:00"/>
    <n v="19"/>
    <x v="3"/>
    <x v="7"/>
    <x v="17"/>
    <x v="0"/>
    <x v="4"/>
    <x v="1"/>
    <s v="Components"/>
    <s v="CMP-5435"/>
    <n v="297.58999999999997"/>
    <n v="666.41"/>
    <n v="666.41"/>
    <n v="0"/>
    <n v="0"/>
    <n v="10"/>
  </r>
  <r>
    <s v="ORD-2025-703623"/>
    <d v="2025-07-23T00:00:00"/>
    <d v="2025-08-19T00:00:00"/>
    <d v="2025-08-19T00:00:00"/>
    <n v="27"/>
    <x v="1"/>
    <x v="2"/>
    <x v="32"/>
    <x v="3"/>
    <x v="2"/>
    <x v="5"/>
    <s v="Accessories"/>
    <s v="ACC-1596"/>
    <n v="896.09"/>
    <n v="744.27"/>
    <n v="744.27"/>
    <n v="8.3000000000000004E-2"/>
    <n v="8.3000000000000004E-2"/>
    <n v="11"/>
  </r>
  <r>
    <s v="ORD-2024-516704"/>
    <d v="2024-03-01T00:00:00"/>
    <d v="2024-02-29T00:00:00"/>
    <d v="2024-02-29T00:00:00"/>
    <n v="-1"/>
    <x v="2"/>
    <x v="5"/>
    <x v="8"/>
    <x v="2"/>
    <x v="4"/>
    <x v="2"/>
    <s v="Phones"/>
    <s v="PHN-7852"/>
    <n v="5.34"/>
    <n v="12.69"/>
    <n v="12.69"/>
    <n v="0.13200000000000001"/>
    <n v="0.13200000000000001"/>
    <n v="10"/>
  </r>
  <r>
    <s v="ORD-2024-578646"/>
    <d v="2024-05-27T00:00:00"/>
    <d v="2024-06-17T00:00:00"/>
    <d v="2024-06-17T00:00:00"/>
    <n v="21"/>
    <x v="1"/>
    <x v="4"/>
    <x v="18"/>
    <x v="4"/>
    <x v="1"/>
    <x v="10"/>
    <s v="Accessories"/>
    <s v="ACC-7240"/>
    <n v="465.02"/>
    <n v="651.55999999999995"/>
    <n v="651.55999999999995"/>
    <n v="4.2000000000000003E-2"/>
    <n v="4.2000000000000003E-2"/>
    <n v="19"/>
  </r>
  <r>
    <s v="ORD-2024-433936"/>
    <d v="2024-08-04T00:00:00"/>
    <d v="2024-08-17T00:00:00"/>
    <d v="2024-08-17T00:00:00"/>
    <n v="13"/>
    <x v="2"/>
    <x v="10"/>
    <x v="35"/>
    <x v="3"/>
    <x v="0"/>
    <x v="14"/>
    <s v="Monitors"/>
    <s v="MON-8867"/>
    <n v="352.79"/>
    <n v="754.22"/>
    <n v="754.22"/>
    <n v="0.113"/>
    <n v="0.113"/>
    <n v="7"/>
  </r>
  <r>
    <s v="ORD-2023-434071"/>
    <d v="2023-06-20T00:00:00"/>
    <d v="2023-07-04T00:00:00"/>
    <d v="2023-07-04T00:00:00"/>
    <n v="14"/>
    <x v="2"/>
    <x v="5"/>
    <x v="10"/>
    <x v="2"/>
    <x v="4"/>
    <x v="0"/>
    <s v="Networking"/>
    <s v="NET-1228"/>
    <n v="1292.8599999999999"/>
    <n v="2981.01"/>
    <n v="2981.01"/>
    <n v="0.14199999999999999"/>
    <n v="0.14199999999999999"/>
    <n v="12"/>
  </r>
  <r>
    <s v="ORD-2024-728474"/>
    <d v="2024-09-09T00:00:00"/>
    <d v="2024-09-13T00:00:00"/>
    <d v="2024-09-13T00:00:00"/>
    <n v="4"/>
    <x v="3"/>
    <x v="8"/>
    <x v="21"/>
    <x v="3"/>
    <x v="2"/>
    <x v="9"/>
    <s v="Networking"/>
    <s v="NET-1145"/>
    <n v="1133.08"/>
    <n v="976.17"/>
    <n v="976.17"/>
    <n v="4.2000000000000003E-2"/>
    <n v="4.2000000000000003E-2"/>
    <n v="27"/>
  </r>
  <r>
    <s v="ORD-2023-406606"/>
    <d v="2023-10-25T00:00:00"/>
    <d v="2023-10-28T00:00:00"/>
    <d v="2023-10-28T00:00:00"/>
    <n v="3"/>
    <x v="2"/>
    <x v="5"/>
    <x v="10"/>
    <x v="0"/>
    <x v="3"/>
    <x v="4"/>
    <s v="Accessories"/>
    <s v="ACC-2867"/>
    <n v="509.31"/>
    <n v="1145.9000000000001"/>
    <n v="1145.9000000000001"/>
    <n v="5.7000000000000002E-2"/>
    <n v="5.7000000000000002E-2"/>
    <n v="8"/>
  </r>
  <r>
    <s v="ORD-2025-823055"/>
    <d v="2025-09-08T00:00:00"/>
    <d v="2025-10-05T00:00:00"/>
    <d v="2025-10-05T00:00:00"/>
    <n v="27"/>
    <x v="2"/>
    <x v="5"/>
    <x v="30"/>
    <x v="1"/>
    <x v="1"/>
    <x v="0"/>
    <s v="Monitors"/>
    <s v="MON-9274"/>
    <n v="660.78"/>
    <n v="1630.39"/>
    <n v="1630.39"/>
    <n v="0.218"/>
    <n v="0.218"/>
    <n v="13"/>
  </r>
  <r>
    <s v="ORD-2023-573656"/>
    <d v="2023-05-02T00:00:00"/>
    <d v="2023-05-16T00:00:00"/>
    <d v="2023-05-16T00:00:00"/>
    <n v="14"/>
    <x v="1"/>
    <x v="4"/>
    <x v="6"/>
    <x v="2"/>
    <x v="0"/>
    <x v="4"/>
    <s v="Monitors"/>
    <s v="MON-4830"/>
    <n v="475.37"/>
    <n v="963.73"/>
    <n v="963.73"/>
    <n v="4.1000000000000002E-2"/>
    <n v="4.1000000000000002E-2"/>
    <n v="22"/>
  </r>
  <r>
    <s v="ORD-2024-567435"/>
    <d v="2024-04-26T00:00:00"/>
    <d v="2024-04-24T00:00:00"/>
    <d v="2024-04-24T00:00:00"/>
    <n v="-2"/>
    <x v="3"/>
    <x v="8"/>
    <x v="21"/>
    <x v="2"/>
    <x v="3"/>
    <x v="13"/>
    <s v="Phones"/>
    <s v="PHN-9107"/>
    <n v="1232.77"/>
    <n v="891.73"/>
    <n v="891.73"/>
    <n v="0.16700000000000001"/>
    <n v="0.16700000000000001"/>
    <n v="10"/>
  </r>
  <r>
    <s v="ORD-2023-744942"/>
    <d v="2023-02-23T00:00:00"/>
    <d v="2023-03-18T00:00:00"/>
    <d v="2023-03-18T00:00:00"/>
    <n v="23"/>
    <x v="1"/>
    <x v="9"/>
    <x v="37"/>
    <x v="1"/>
    <x v="3"/>
    <x v="11"/>
    <s v="Printers"/>
    <s v="PRN-1060"/>
    <n v="770.11"/>
    <n v="1667.82"/>
    <n v="1667.82"/>
    <n v="6.9000000000000006E-2"/>
    <n v="6.9000000000000006E-2"/>
    <n v="7"/>
  </r>
  <r>
    <s v="ORD-2025-331237"/>
    <d v="2025-03-24T00:00:00"/>
    <d v="2025-03-25T00:00:00"/>
    <d v="2025-03-25T00:00:00"/>
    <n v="1"/>
    <x v="1"/>
    <x v="9"/>
    <x v="37"/>
    <x v="2"/>
    <x v="1"/>
    <x v="3"/>
    <s v="Networking"/>
    <s v="NET-8329"/>
    <n v="1133.03"/>
    <n v="1921.51"/>
    <n v="1921.51"/>
    <n v="0.10100000000000001"/>
    <n v="0.10100000000000001"/>
    <n v="5"/>
  </r>
  <r>
    <s v="ORD-2025-680118"/>
    <d v="2025-03-10T00:00:00"/>
    <d v="2025-03-27T00:00:00"/>
    <d v="2025-03-27T00:00:00"/>
    <n v="17"/>
    <x v="2"/>
    <x v="5"/>
    <x v="30"/>
    <x v="5"/>
    <x v="4"/>
    <x v="9"/>
    <s v="Networking"/>
    <s v="NET-6269"/>
    <n v="996.73"/>
    <n v="1217.43"/>
    <n v="1217.43"/>
    <n v="7.0000000000000007E-2"/>
    <n v="7.0000000000000007E-2"/>
    <n v="9"/>
  </r>
  <r>
    <s v="ORD-2024-310809"/>
    <d v="2024-04-05T00:00:00"/>
    <d v="2024-04-09T00:00:00"/>
    <d v="2024-04-09T00:00:00"/>
    <n v="4"/>
    <x v="0"/>
    <x v="1"/>
    <x v="3"/>
    <x v="2"/>
    <x v="4"/>
    <x v="11"/>
    <s v="Components"/>
    <s v="CMP-6529"/>
    <n v="395.07"/>
    <n v="970.27"/>
    <n v="970.27"/>
    <n v="0.123"/>
    <n v="0.123"/>
    <n v="38"/>
  </r>
  <r>
    <s v="ORD-2025-474368"/>
    <d v="2025-04-27T00:00:00"/>
    <d v="2025-05-17T00:00:00"/>
    <d v="2025-05-17T00:00:00"/>
    <n v="20"/>
    <x v="2"/>
    <x v="10"/>
    <x v="35"/>
    <x v="0"/>
    <x v="4"/>
    <x v="13"/>
    <s v="Phones"/>
    <s v="PHN-8776"/>
    <n v="932.26"/>
    <n v="1624.67"/>
    <n v="1624.67"/>
    <n v="0.23499999999999999"/>
    <n v="0.23499999999999999"/>
    <n v="28"/>
  </r>
  <r>
    <s v="ORD-2024-732543"/>
    <d v="2024-10-24T00:00:00"/>
    <d v="2024-10-28T00:00:00"/>
    <d v="2024-10-28T00:00:00"/>
    <n v="4"/>
    <x v="1"/>
    <x v="9"/>
    <x v="23"/>
    <x v="4"/>
    <x v="3"/>
    <x v="2"/>
    <s v="Networking"/>
    <s v="NET-3728"/>
    <n v="1331.77"/>
    <n v="2606.11"/>
    <n v="2606.11"/>
    <n v="0.02"/>
    <n v="0.02"/>
    <n v="6"/>
  </r>
  <r>
    <s v="ORD-2023-867166"/>
    <d v="2023-04-13T00:00:00"/>
    <d v="2023-04-20T00:00:00"/>
    <d v="2023-04-20T00:00:00"/>
    <n v="7"/>
    <x v="3"/>
    <x v="7"/>
    <x v="17"/>
    <x v="4"/>
    <x v="1"/>
    <x v="8"/>
    <s v="Laptops"/>
    <s v="LAP-3565"/>
    <n v="227.02"/>
    <n v="434.72"/>
    <n v="434.72"/>
    <n v="9.8000000000000004E-2"/>
    <n v="9.8000000000000004E-2"/>
    <n v="10"/>
  </r>
  <r>
    <s v="ORD-2024-776337"/>
    <d v="2024-11-12T00:00:00"/>
    <d v="2024-11-21T00:00:00"/>
    <d v="2024-11-21T00:00:00"/>
    <n v="9"/>
    <x v="1"/>
    <x v="4"/>
    <x v="29"/>
    <x v="0"/>
    <x v="4"/>
    <x v="10"/>
    <s v="Laptops"/>
    <s v="LAP-5078"/>
    <n v="903.41"/>
    <n v="1860.41"/>
    <n v="1860.41"/>
    <n v="0.108"/>
    <n v="0.108"/>
    <n v="5"/>
  </r>
  <r>
    <s v="ORD-2023-913592"/>
    <d v="2023-05-10T00:00:00"/>
    <d v="2023-05-14T00:00:00"/>
    <d v="2023-05-14T00:00:00"/>
    <n v="4"/>
    <x v="1"/>
    <x v="4"/>
    <x v="18"/>
    <x v="2"/>
    <x v="3"/>
    <x v="0"/>
    <s v="Monitors"/>
    <s v="MON-2465"/>
    <n v="622.6"/>
    <n v="833.69"/>
    <n v="833.69"/>
    <n v="0.20899999999999999"/>
    <n v="0.20899999999999999"/>
    <n v="14"/>
  </r>
  <r>
    <s v="ORD-2024-961501"/>
    <d v="2024-03-02T00:00:00"/>
    <d v="2024-03-23T00:00:00"/>
    <d v="2024-03-23T00:00:00"/>
    <n v="21"/>
    <x v="2"/>
    <x v="10"/>
    <x v="15"/>
    <x v="4"/>
    <x v="1"/>
    <x v="9"/>
    <s v="Components"/>
    <s v="CMP-3223"/>
    <n v="225.01"/>
    <n v="333.48"/>
    <n v="333.48"/>
    <n v="0.11899999999999999"/>
    <n v="0.11899999999999999"/>
    <n v="12"/>
  </r>
  <r>
    <s v="ORD-2024-964950"/>
    <d v="2024-10-10T00:00:00"/>
    <d v="2024-10-11T00:00:00"/>
    <d v="2024-10-11T00:00:00"/>
    <n v="1"/>
    <x v="3"/>
    <x v="8"/>
    <x v="31"/>
    <x v="2"/>
    <x v="3"/>
    <x v="4"/>
    <s v="Components"/>
    <s v="CMP-8127"/>
    <n v="1389.46"/>
    <n v="1784.7"/>
    <n v="1784.7"/>
    <n v="0.14599999999999999"/>
    <n v="0.14599999999999999"/>
    <n v="33"/>
  </r>
  <r>
    <s v="ORD-2023-349264"/>
    <d v="2023-06-01T00:00:00"/>
    <d v="2023-06-08T00:00:00"/>
    <d v="2023-06-08T00:00:00"/>
    <n v="7"/>
    <x v="3"/>
    <x v="6"/>
    <x v="36"/>
    <x v="3"/>
    <x v="1"/>
    <x v="8"/>
    <s v="Phones"/>
    <s v="PHN-1924"/>
    <n v="804.17"/>
    <n v="1072.29"/>
    <n v="1072.29"/>
    <n v="3.2000000000000001E-2"/>
    <n v="3.2000000000000001E-2"/>
    <n v="5"/>
  </r>
  <r>
    <s v="ORD-2025-137394"/>
    <d v="2025-01-04T00:00:00"/>
    <d v="2025-01-05T00:00:00"/>
    <d v="2025-01-05T00:00:00"/>
    <n v="1"/>
    <x v="1"/>
    <x v="4"/>
    <x v="18"/>
    <x v="1"/>
    <x v="0"/>
    <x v="2"/>
    <s v="Components"/>
    <s v="CMP-1156"/>
    <n v="1428.33"/>
    <n v="3028.05"/>
    <n v="3028.05"/>
    <n v="0"/>
    <n v="0"/>
    <n v="11"/>
  </r>
  <r>
    <s v="ORD-2025-635337"/>
    <d v="2025-08-05T00:00:00"/>
    <d v="2025-08-28T00:00:00"/>
    <d v="2025-08-28T00:00:00"/>
    <n v="23"/>
    <x v="1"/>
    <x v="4"/>
    <x v="29"/>
    <x v="2"/>
    <x v="3"/>
    <x v="13"/>
    <s v="Laptops"/>
    <s v="LAP-3905"/>
    <n v="638.54"/>
    <n v="987.24"/>
    <n v="987.24"/>
    <n v="0"/>
    <n v="0"/>
    <n v="11"/>
  </r>
  <r>
    <s v="ORD-2023-568013"/>
    <d v="2023-09-30T00:00:00"/>
    <d v="2023-10-30T00:00:00"/>
    <d v="2023-10-30T00:00:00"/>
    <n v="30"/>
    <x v="1"/>
    <x v="2"/>
    <x v="27"/>
    <x v="5"/>
    <x v="1"/>
    <x v="14"/>
    <s v="Printers"/>
    <s v="PRN-1786"/>
    <n v="649.13"/>
    <n v="975.43"/>
    <n v="975.43"/>
    <n v="0.157"/>
    <n v="0.157"/>
    <n v="27"/>
  </r>
  <r>
    <s v="ORD-2025-828263"/>
    <d v="2025-05-17T00:00:00"/>
    <d v="2025-05-30T00:00:00"/>
    <d v="2025-05-30T00:00:00"/>
    <n v="13"/>
    <x v="0"/>
    <x v="1"/>
    <x v="3"/>
    <x v="3"/>
    <x v="3"/>
    <x v="9"/>
    <s v="Accessories"/>
    <s v="ACC-3349"/>
    <n v="66.400000000000006"/>
    <n v="141.43"/>
    <n v="141.43"/>
    <n v="0.107"/>
    <n v="0.107"/>
    <n v="8"/>
  </r>
  <r>
    <s v="ORD-2024-402240"/>
    <d v="2024-05-01T00:00:00"/>
    <d v="2024-05-26T00:00:00"/>
    <d v="2024-05-26T00:00:00"/>
    <n v="25"/>
    <x v="3"/>
    <x v="6"/>
    <x v="9"/>
    <x v="2"/>
    <x v="0"/>
    <x v="5"/>
    <s v="Networking"/>
    <s v="NET-4228"/>
    <n v="930.71"/>
    <n v="1625.42"/>
    <n v="1625.42"/>
    <n v="0.13800000000000001"/>
    <n v="0.13800000000000001"/>
    <n v="7"/>
  </r>
  <r>
    <s v="ORD-2023-125739"/>
    <d v="2023-05-01T00:00:00"/>
    <d v="2023-05-18T00:00:00"/>
    <d v="2023-05-18T00:00:00"/>
    <n v="17"/>
    <x v="0"/>
    <x v="1"/>
    <x v="1"/>
    <x v="0"/>
    <x v="4"/>
    <x v="9"/>
    <s v="Components"/>
    <s v="CMP-5633"/>
    <n v="327.97"/>
    <n v="299.94"/>
    <n v="299.94"/>
    <n v="4.9000000000000002E-2"/>
    <n v="4.9000000000000002E-2"/>
    <n v="3"/>
  </r>
  <r>
    <s v="ORD-2024-892879"/>
    <d v="2024-07-09T00:00:00"/>
    <d v="2024-08-08T00:00:00"/>
    <d v="2024-08-08T00:00:00"/>
    <n v="30"/>
    <x v="3"/>
    <x v="7"/>
    <x v="11"/>
    <x v="0"/>
    <x v="4"/>
    <x v="1"/>
    <s v="Components"/>
    <s v="CMP-5825"/>
    <n v="1062.3800000000001"/>
    <n v="1503.96"/>
    <n v="1503.96"/>
    <n v="0.18"/>
    <n v="0.18"/>
    <n v="6"/>
  </r>
  <r>
    <s v="ORD-2023-472050"/>
    <d v="2023-05-10T00:00:00"/>
    <d v="2023-05-27T00:00:00"/>
    <d v="2023-05-27T00:00:00"/>
    <n v="17"/>
    <x v="1"/>
    <x v="4"/>
    <x v="29"/>
    <x v="3"/>
    <x v="0"/>
    <x v="12"/>
    <s v="Laptops"/>
    <s v="LAP-6499"/>
    <n v="1286.1600000000001"/>
    <n v="3101.11"/>
    <n v="3101.11"/>
    <n v="0.1"/>
    <n v="0.1"/>
    <n v="23"/>
  </r>
  <r>
    <s v="ORD-2024-468615"/>
    <d v="2024-07-09T00:00:00"/>
    <d v="2024-07-12T00:00:00"/>
    <d v="2024-07-12T00:00:00"/>
    <n v="3"/>
    <x v="1"/>
    <x v="9"/>
    <x v="23"/>
    <x v="4"/>
    <x v="0"/>
    <x v="14"/>
    <s v="Accessories"/>
    <s v="ACC-3721"/>
    <n v="748.39"/>
    <n v="979.42"/>
    <n v="979.42"/>
    <n v="0"/>
    <n v="0"/>
    <n v="23"/>
  </r>
  <r>
    <s v="ORD-2024-833375"/>
    <d v="2024-04-24T00:00:00"/>
    <d v="2024-05-10T00:00:00"/>
    <d v="2024-05-10T00:00:00"/>
    <n v="16"/>
    <x v="0"/>
    <x v="0"/>
    <x v="0"/>
    <x v="2"/>
    <x v="1"/>
    <x v="13"/>
    <s v="Monitors"/>
    <s v="MON-6190"/>
    <n v="513.30999999999995"/>
    <n v="1186.26"/>
    <n v="1186.26"/>
    <n v="9.4E-2"/>
    <n v="9.4E-2"/>
    <n v="15"/>
  </r>
  <r>
    <s v="ORD-2024-206311"/>
    <d v="2024-01-13T00:00:00"/>
    <d v="2024-01-15T00:00:00"/>
    <d v="2024-01-15T00:00:00"/>
    <n v="2"/>
    <x v="2"/>
    <x v="10"/>
    <x v="24"/>
    <x v="2"/>
    <x v="4"/>
    <x v="6"/>
    <s v="Components"/>
    <s v="CMP-2410"/>
    <n v="1061.3699999999999"/>
    <n v="1938.33"/>
    <n v="1938.33"/>
    <n v="0.17"/>
    <n v="0.17"/>
    <n v="4"/>
  </r>
  <r>
    <s v="ORD-2024-364080"/>
    <d v="2024-04-16T00:00:00"/>
    <d v="2024-04-27T00:00:00"/>
    <d v="2024-04-27T00:00:00"/>
    <n v="11"/>
    <x v="0"/>
    <x v="0"/>
    <x v="16"/>
    <x v="5"/>
    <x v="1"/>
    <x v="14"/>
    <s v="Printers"/>
    <s v="PRN-2641"/>
    <n v="401.3"/>
    <n v="826.47"/>
    <n v="826.47"/>
    <n v="0.22500000000000001"/>
    <n v="0.22500000000000001"/>
    <n v="13"/>
  </r>
  <r>
    <s v="ORD-2025-460466"/>
    <d v="2025-02-07T00:00:00"/>
    <d v="2025-02-16T00:00:00"/>
    <d v="2025-02-16T00:00:00"/>
    <n v="9"/>
    <x v="0"/>
    <x v="1"/>
    <x v="3"/>
    <x v="4"/>
    <x v="3"/>
    <x v="0"/>
    <s v="Printers"/>
    <s v="PRN-1882"/>
    <n v="90.68"/>
    <n v="118.17"/>
    <n v="118.17"/>
    <n v="0.13500000000000001"/>
    <n v="0.13500000000000001"/>
    <n v="21"/>
  </r>
  <r>
    <s v="ORD-2023-700699"/>
    <d v="2023-01-12T00:00:00"/>
    <d v="2023-01-26T00:00:00"/>
    <d v="2023-01-26T00:00:00"/>
    <n v="14"/>
    <x v="1"/>
    <x v="9"/>
    <x v="14"/>
    <x v="2"/>
    <x v="0"/>
    <x v="12"/>
    <s v="Printers"/>
    <s v="PRN-1641"/>
    <n v="1083.0899999999999"/>
    <n v="1425.87"/>
    <n v="1425.87"/>
    <n v="0"/>
    <n v="0"/>
    <n v="8"/>
  </r>
  <r>
    <s v="ORD-2024-713332"/>
    <d v="2024-06-05T00:00:00"/>
    <d v="2024-06-23T00:00:00"/>
    <d v="2024-06-23T00:00:00"/>
    <n v="18"/>
    <x v="0"/>
    <x v="0"/>
    <x v="2"/>
    <x v="3"/>
    <x v="3"/>
    <x v="14"/>
    <s v="Laptops"/>
    <s v="LAP-1739"/>
    <n v="1208.74"/>
    <n v="1594.78"/>
    <n v="1594.78"/>
    <n v="5.8999999999999997E-2"/>
    <n v="5.8999999999999997E-2"/>
    <n v="39"/>
  </r>
  <r>
    <s v="ORD-2023-640022"/>
    <d v="2023-08-24T00:00:00"/>
    <d v="2023-09-20T00:00:00"/>
    <d v="2023-09-20T00:00:00"/>
    <n v="27"/>
    <x v="0"/>
    <x v="11"/>
    <x v="25"/>
    <x v="4"/>
    <x v="2"/>
    <x v="12"/>
    <s v="Printers"/>
    <s v="PRN-4732"/>
    <n v="1399.64"/>
    <n v="3342.11"/>
    <n v="3342.11"/>
    <n v="0"/>
    <n v="0"/>
    <n v="10"/>
  </r>
  <r>
    <s v="ORD-2024-532184"/>
    <d v="2024-01-25T00:00:00"/>
    <d v="2024-02-08T00:00:00"/>
    <d v="2024-02-08T00:00:00"/>
    <n v="14"/>
    <x v="1"/>
    <x v="2"/>
    <x v="4"/>
    <x v="3"/>
    <x v="2"/>
    <x v="2"/>
    <s v="Networking"/>
    <s v="NET-9569"/>
    <n v="937.16"/>
    <n v="1069.77"/>
    <n v="1069.77"/>
    <n v="3.7999999999999999E-2"/>
    <n v="3.7999999999999999E-2"/>
    <n v="9"/>
  </r>
  <r>
    <s v="ORD-2025-926547"/>
    <d v="2025-03-11T00:00:00"/>
    <d v="2025-03-26T00:00:00"/>
    <d v="2025-03-26T00:00:00"/>
    <n v="15"/>
    <x v="3"/>
    <x v="6"/>
    <x v="9"/>
    <x v="4"/>
    <x v="1"/>
    <x v="2"/>
    <s v="Phones"/>
    <s v="PHN-3007"/>
    <n v="116.97"/>
    <n v="140.82"/>
    <n v="140.82"/>
    <n v="0.122"/>
    <n v="0.122"/>
    <n v="5"/>
  </r>
  <r>
    <s v="ORD-2025-778145"/>
    <d v="2025-04-22T00:00:00"/>
    <d v="2025-05-12T00:00:00"/>
    <d v="2025-05-12T00:00:00"/>
    <n v="20"/>
    <x v="3"/>
    <x v="7"/>
    <x v="17"/>
    <x v="5"/>
    <x v="2"/>
    <x v="11"/>
    <s v="Monitors"/>
    <s v="MON-9216"/>
    <n v="59.51"/>
    <n v="67.040000000000006"/>
    <n v="67.040000000000006"/>
    <n v="0.114"/>
    <n v="0.114"/>
    <n v="9"/>
  </r>
  <r>
    <s v="ORD-2023-525643"/>
    <d v="2023-08-17T00:00:00"/>
    <d v="2023-09-03T00:00:00"/>
    <d v="2023-09-03T00:00:00"/>
    <n v="17"/>
    <x v="0"/>
    <x v="11"/>
    <x v="25"/>
    <x v="5"/>
    <x v="0"/>
    <x v="8"/>
    <s v="Phones"/>
    <s v="PHN-8072"/>
    <n v="676.37"/>
    <n v="1276.67"/>
    <n v="1276.67"/>
    <n v="6.6000000000000003E-2"/>
    <n v="6.6000000000000003E-2"/>
    <n v="10"/>
  </r>
  <r>
    <s v="ORD-2025-312803"/>
    <d v="2025-06-24T00:00:00"/>
    <d v="2025-07-14T00:00:00"/>
    <d v="2025-07-14T00:00:00"/>
    <n v="20"/>
    <x v="0"/>
    <x v="11"/>
    <x v="20"/>
    <x v="5"/>
    <x v="2"/>
    <x v="1"/>
    <s v="Laptops"/>
    <s v="LAP-1308"/>
    <n v="1151.06"/>
    <n v="2821.36"/>
    <n v="2821.36"/>
    <n v="0.248"/>
    <n v="0.248"/>
    <n v="20"/>
  </r>
  <r>
    <s v="ORD-2025-149156"/>
    <d v="2025-01-10T00:00:00"/>
    <d v="2025-02-06T00:00:00"/>
    <d v="2025-02-06T00:00:00"/>
    <n v="27"/>
    <x v="2"/>
    <x v="5"/>
    <x v="10"/>
    <x v="2"/>
    <x v="0"/>
    <x v="5"/>
    <s v="Laptops"/>
    <s v="LAP-7353"/>
    <n v="725.62"/>
    <n v="1559.19"/>
    <n v="1559.19"/>
    <n v="0.19"/>
    <n v="0.19"/>
    <n v="12"/>
  </r>
  <r>
    <s v="ORD-2023-215819"/>
    <d v="2023-07-01T00:00:00"/>
    <d v="2023-07-11T00:00:00"/>
    <d v="2023-07-11T00:00:00"/>
    <n v="10"/>
    <x v="3"/>
    <x v="7"/>
    <x v="28"/>
    <x v="0"/>
    <x v="4"/>
    <x v="9"/>
    <s v="Networking"/>
    <s v="NET-6533"/>
    <n v="479.5"/>
    <n v="656.66"/>
    <n v="656.66"/>
    <n v="0.14899999999999999"/>
    <n v="0.14899999999999999"/>
    <n v="14"/>
  </r>
  <r>
    <s v="ORD-2024-353078"/>
    <d v="2024-08-16T00:00:00"/>
    <d v="2024-08-26T00:00:00"/>
    <d v="2024-08-26T00:00:00"/>
    <n v="10"/>
    <x v="2"/>
    <x v="10"/>
    <x v="15"/>
    <x v="0"/>
    <x v="3"/>
    <x v="4"/>
    <s v="Laptops"/>
    <s v="LAP-5763"/>
    <n v="1291.7"/>
    <n v="2657.84"/>
    <n v="2657.84"/>
    <n v="8.6999999999999994E-2"/>
    <n v="8.6999999999999994E-2"/>
    <n v="21"/>
  </r>
  <r>
    <s v="ORD-2023-621393"/>
    <d v="2023-07-07T00:00:00"/>
    <d v="2023-07-13T00:00:00"/>
    <d v="2023-07-13T00:00:00"/>
    <n v="6"/>
    <x v="0"/>
    <x v="11"/>
    <x v="33"/>
    <x v="4"/>
    <x v="2"/>
    <x v="5"/>
    <s v="Accessories"/>
    <s v="ACC-9445"/>
    <n v="612.59"/>
    <n v="1424.74"/>
    <n v="1424.74"/>
    <n v="4.3999999999999997E-2"/>
    <n v="4.3999999999999997E-2"/>
    <n v="15"/>
  </r>
  <r>
    <s v="ORD-2023-974506"/>
    <d v="2023-12-28T00:00:00"/>
    <d v="2024-01-01T00:00:00"/>
    <d v="2024-01-01T00:00:00"/>
    <n v="4"/>
    <x v="0"/>
    <x v="11"/>
    <x v="33"/>
    <x v="1"/>
    <x v="3"/>
    <x v="8"/>
    <s v="Printers"/>
    <s v="PRN-1654"/>
    <n v="1141.8"/>
    <n v="2318.7399999999998"/>
    <n v="2318.7399999999998"/>
    <n v="0.107"/>
    <n v="0.107"/>
    <n v="32"/>
  </r>
  <r>
    <s v="ORD-2023-811823"/>
    <d v="2023-01-26T00:00:00"/>
    <d v="2023-02-15T00:00:00"/>
    <d v="2023-02-15T00:00:00"/>
    <n v="20"/>
    <x v="3"/>
    <x v="6"/>
    <x v="9"/>
    <x v="4"/>
    <x v="1"/>
    <x v="7"/>
    <s v="Networking"/>
    <s v="NET-8787"/>
    <n v="492.62"/>
    <n v="366.7"/>
    <n v="366.7"/>
    <n v="8.8999999999999996E-2"/>
    <n v="8.8999999999999996E-2"/>
    <n v="10"/>
  </r>
  <r>
    <s v="ORD-2023-286720"/>
    <d v="2023-07-08T00:00:00"/>
    <d v="2023-07-09T00:00:00"/>
    <d v="2023-07-09T00:00:00"/>
    <n v="1"/>
    <x v="0"/>
    <x v="0"/>
    <x v="2"/>
    <x v="3"/>
    <x v="1"/>
    <x v="14"/>
    <s v="Laptops"/>
    <s v="LAP-1989"/>
    <n v="1258.72"/>
    <n v="2797.41"/>
    <n v="2797.41"/>
    <n v="0"/>
    <n v="0"/>
    <n v="7"/>
  </r>
  <r>
    <s v="ORD-2024-626925"/>
    <d v="2024-06-07T00:00:00"/>
    <d v="2024-06-09T00:00:00"/>
    <d v="2024-06-09T00:00:00"/>
    <n v="2"/>
    <x v="1"/>
    <x v="9"/>
    <x v="23"/>
    <x v="0"/>
    <x v="0"/>
    <x v="7"/>
    <s v="Monitors"/>
    <s v="MON-8688"/>
    <n v="1370.28"/>
    <n v="2209.66"/>
    <n v="2209.66"/>
    <n v="0.13300000000000001"/>
    <n v="0.13300000000000001"/>
    <n v="16"/>
  </r>
  <r>
    <s v="ORD-2023-960380"/>
    <d v="2023-02-11T00:00:00"/>
    <d v="2023-02-12T00:00:00"/>
    <d v="2023-02-12T00:00:00"/>
    <n v="1"/>
    <x v="0"/>
    <x v="1"/>
    <x v="1"/>
    <x v="2"/>
    <x v="4"/>
    <x v="14"/>
    <s v="Accessories"/>
    <s v="ACC-8242"/>
    <n v="944.61"/>
    <n v="839.04"/>
    <n v="839.04"/>
    <n v="5.8999999999999997E-2"/>
    <n v="5.8999999999999997E-2"/>
    <n v="6"/>
  </r>
  <r>
    <s v="ORD-2023-453699"/>
    <d v="2023-07-01T00:00:00"/>
    <d v="2023-07-08T00:00:00"/>
    <d v="2023-07-08T00:00:00"/>
    <n v="7"/>
    <x v="3"/>
    <x v="6"/>
    <x v="36"/>
    <x v="4"/>
    <x v="3"/>
    <x v="13"/>
    <s v="Laptops"/>
    <s v="LAP-4666"/>
    <n v="460.21"/>
    <n v="1139.1500000000001"/>
    <n v="1139.1500000000001"/>
    <n v="0.115"/>
    <n v="0.115"/>
    <n v="14"/>
  </r>
  <r>
    <s v="ORD-2025-960931"/>
    <d v="2025-08-20T00:00:00"/>
    <d v="2025-08-26T00:00:00"/>
    <d v="2025-08-26T00:00:00"/>
    <n v="6"/>
    <x v="2"/>
    <x v="10"/>
    <x v="38"/>
    <x v="0"/>
    <x v="0"/>
    <x v="12"/>
    <s v="Networking"/>
    <s v="NET-5196"/>
    <n v="1304.95"/>
    <n v="1712.03"/>
    <n v="1712.03"/>
    <n v="0.21199999999999999"/>
    <n v="0.21199999999999999"/>
    <n v="8"/>
  </r>
  <r>
    <s v="ORD-2024-419248"/>
    <d v="2024-03-04T00:00:00"/>
    <d v="2024-03-16T00:00:00"/>
    <d v="2024-03-16T00:00:00"/>
    <n v="12"/>
    <x v="0"/>
    <x v="11"/>
    <x v="20"/>
    <x v="5"/>
    <x v="3"/>
    <x v="12"/>
    <s v="Monitors"/>
    <s v="MON-8422"/>
    <n v="441.08"/>
    <n v="1054.29"/>
    <n v="1054.29"/>
    <n v="0.23699999999999999"/>
    <n v="0.23699999999999999"/>
    <n v="6"/>
  </r>
  <r>
    <s v="ORD-2023-488227"/>
    <d v="2023-09-08T00:00:00"/>
    <d v="2023-10-02T00:00:00"/>
    <d v="2023-10-02T00:00:00"/>
    <n v="24"/>
    <x v="2"/>
    <x v="3"/>
    <x v="5"/>
    <x v="1"/>
    <x v="4"/>
    <x v="8"/>
    <s v="Accessories"/>
    <s v="ACC-3415"/>
    <n v="1299.03"/>
    <n v="2451.2199999999998"/>
    <n v="2451.2199999999998"/>
    <n v="0.20799999999999999"/>
    <n v="0.20799999999999999"/>
    <n v="8"/>
  </r>
  <r>
    <s v="ORD-2023-472078"/>
    <d v="2023-02-28T00:00:00"/>
    <d v="2023-03-06T00:00:00"/>
    <d v="2023-03-06T00:00:00"/>
    <n v="6"/>
    <x v="3"/>
    <x v="6"/>
    <x v="36"/>
    <x v="4"/>
    <x v="2"/>
    <x v="14"/>
    <s v="Printers"/>
    <s v="PRN-9624"/>
    <n v="880.02"/>
    <n v="1251.21"/>
    <n v="1251.21"/>
    <n v="0.123"/>
    <n v="0.123"/>
    <n v="29"/>
  </r>
  <r>
    <s v="ORD-2024-202877"/>
    <d v="2024-07-13T00:00:00"/>
    <d v="2024-08-03T00:00:00"/>
    <d v="2024-08-03T00:00:00"/>
    <n v="21"/>
    <x v="2"/>
    <x v="5"/>
    <x v="30"/>
    <x v="0"/>
    <x v="2"/>
    <x v="12"/>
    <s v="Monitors"/>
    <s v="MON-6287"/>
    <n v="702.98"/>
    <n v="1104.8"/>
    <n v="1104.8"/>
    <n v="0.17499999999999999"/>
    <n v="0.17499999999999999"/>
    <n v="12"/>
  </r>
  <r>
    <s v="ORD-2024-140633"/>
    <d v="2024-12-07T00:00:00"/>
    <d v="2024-12-26T00:00:00"/>
    <d v="2024-12-26T00:00:00"/>
    <n v="19"/>
    <x v="3"/>
    <x v="8"/>
    <x v="21"/>
    <x v="5"/>
    <x v="1"/>
    <x v="14"/>
    <s v="Networking"/>
    <s v="NET-4491"/>
    <n v="1035.24"/>
    <n v="2383.41"/>
    <n v="2383.41"/>
    <n v="0.17"/>
    <n v="0.17"/>
    <n v="15"/>
  </r>
  <r>
    <s v="ORD-2025-419532"/>
    <d v="2025-08-06T00:00:00"/>
    <d v="2025-08-23T00:00:00"/>
    <d v="2025-08-23T00:00:00"/>
    <n v="17"/>
    <x v="2"/>
    <x v="5"/>
    <x v="10"/>
    <x v="3"/>
    <x v="3"/>
    <x v="8"/>
    <s v="Monitors"/>
    <s v="MON-4317"/>
    <n v="86.64"/>
    <n v="213.06"/>
    <n v="213.06"/>
    <n v="0.21199999999999999"/>
    <n v="0.21199999999999999"/>
    <n v="11"/>
  </r>
  <r>
    <s v="ORD-2023-139236"/>
    <d v="2023-03-03T00:00:00"/>
    <d v="2023-03-20T00:00:00"/>
    <d v="2023-03-20T00:00:00"/>
    <n v="17"/>
    <x v="1"/>
    <x v="2"/>
    <x v="32"/>
    <x v="4"/>
    <x v="1"/>
    <x v="14"/>
    <s v="Networking"/>
    <s v="NET-7349"/>
    <n v="1171.17"/>
    <n v="2030.64"/>
    <n v="2030.64"/>
    <n v="0.157"/>
    <n v="0.157"/>
    <n v="11"/>
  </r>
  <r>
    <s v="ORD-2025-337268"/>
    <d v="2025-02-16T00:00:00"/>
    <d v="2025-03-17T00:00:00"/>
    <d v="2025-03-17T00:00:00"/>
    <n v="29"/>
    <x v="3"/>
    <x v="6"/>
    <x v="22"/>
    <x v="3"/>
    <x v="0"/>
    <x v="4"/>
    <s v="Accessories"/>
    <s v="ACC-5150"/>
    <n v="730.42"/>
    <n v="956.7"/>
    <n v="956.7"/>
    <n v="4.2000000000000003E-2"/>
    <n v="4.2000000000000003E-2"/>
    <n v="22"/>
  </r>
  <r>
    <s v="ORD-2025-332931"/>
    <d v="2025-02-15T00:00:00"/>
    <d v="2025-03-01T00:00:00"/>
    <d v="2025-03-01T00:00:00"/>
    <n v="14"/>
    <x v="0"/>
    <x v="0"/>
    <x v="13"/>
    <x v="1"/>
    <x v="4"/>
    <x v="4"/>
    <s v="Accessories"/>
    <s v="ACC-5144"/>
    <n v="1162.8599999999999"/>
    <n v="1447.68"/>
    <n v="1447.68"/>
    <n v="8.6999999999999994E-2"/>
    <n v="8.6999999999999994E-2"/>
    <n v="12"/>
  </r>
  <r>
    <s v="ORD-2024-536442"/>
    <d v="2024-08-31T00:00:00"/>
    <d v="2024-09-26T00:00:00"/>
    <d v="2024-09-26T00:00:00"/>
    <n v="26"/>
    <x v="1"/>
    <x v="2"/>
    <x v="27"/>
    <x v="1"/>
    <x v="1"/>
    <x v="2"/>
    <s v="Phones"/>
    <s v="PHN-6111"/>
    <n v="1189.03"/>
    <n v="2949.62"/>
    <n v="2949.62"/>
    <n v="0.125"/>
    <n v="0.125"/>
    <n v="13"/>
  </r>
  <r>
    <s v="ORD-2023-957692"/>
    <d v="2023-05-07T00:00:00"/>
    <d v="2023-05-20T00:00:00"/>
    <d v="2023-05-20T00:00:00"/>
    <n v="13"/>
    <x v="1"/>
    <x v="4"/>
    <x v="29"/>
    <x v="5"/>
    <x v="0"/>
    <x v="14"/>
    <s v="Accessories"/>
    <s v="ACC-9283"/>
    <n v="1443.28"/>
    <n v="2580.5700000000002"/>
    <n v="2580.5700000000002"/>
    <n v="0"/>
    <n v="0"/>
    <n v="18"/>
  </r>
  <r>
    <s v="ORD-2025-874124"/>
    <d v="2025-05-14T00:00:00"/>
    <d v="2025-05-12T00:00:00"/>
    <d v="2025-05-12T00:00:00"/>
    <n v="-2"/>
    <x v="2"/>
    <x v="3"/>
    <x v="26"/>
    <x v="2"/>
    <x v="3"/>
    <x v="9"/>
    <s v="Printers"/>
    <s v="PRN-2407"/>
    <n v="883.5"/>
    <n v="1978.91"/>
    <n v="1978.91"/>
    <n v="5.3999999999999999E-2"/>
    <n v="5.3999999999999999E-2"/>
    <n v="27"/>
  </r>
  <r>
    <s v="ORD-2024-687073"/>
    <d v="2024-03-11T00:00:00"/>
    <d v="2024-03-29T00:00:00"/>
    <d v="2024-03-29T00:00:00"/>
    <n v="18"/>
    <x v="2"/>
    <x v="10"/>
    <x v="38"/>
    <x v="0"/>
    <x v="0"/>
    <x v="12"/>
    <s v="Monitors"/>
    <s v="MON-7099"/>
    <n v="710.98"/>
    <n v="1481.45"/>
    <n v="1481.45"/>
    <n v="0.21099999999999999"/>
    <n v="0.21099999999999999"/>
    <n v="9"/>
  </r>
  <r>
    <s v="ORD-2024-555229"/>
    <d v="2024-05-18T00:00:00"/>
    <d v="2024-05-22T00:00:00"/>
    <d v="2024-05-22T00:00:00"/>
    <n v="4"/>
    <x v="0"/>
    <x v="0"/>
    <x v="2"/>
    <x v="0"/>
    <x v="4"/>
    <x v="10"/>
    <s v="Accessories"/>
    <s v="ACC-7354"/>
    <n v="857.42"/>
    <n v="1658.92"/>
    <n v="1658.92"/>
    <n v="0.122"/>
    <n v="0.122"/>
    <n v="9"/>
  </r>
  <r>
    <s v="ORD-2024-872291"/>
    <d v="2024-01-08T00:00:00"/>
    <d v="2024-01-12T00:00:00"/>
    <d v="2024-01-12T00:00:00"/>
    <n v="4"/>
    <x v="1"/>
    <x v="4"/>
    <x v="6"/>
    <x v="0"/>
    <x v="4"/>
    <x v="6"/>
    <s v="Printers"/>
    <s v="PRN-6585"/>
    <n v="802.32"/>
    <n v="602.34"/>
    <n v="602.34"/>
    <n v="0.12"/>
    <n v="0.12"/>
    <n v="25"/>
  </r>
  <r>
    <s v="ORD-2024-250862"/>
    <d v="2024-10-25T00:00:00"/>
    <d v="2024-11-05T00:00:00"/>
    <d v="2024-11-05T00:00:00"/>
    <n v="11"/>
    <x v="2"/>
    <x v="10"/>
    <x v="38"/>
    <x v="0"/>
    <x v="3"/>
    <x v="13"/>
    <s v="Components"/>
    <s v="CMP-9498"/>
    <n v="446.66"/>
    <n v="527.64"/>
    <n v="527.64"/>
    <n v="0.14499999999999999"/>
    <n v="0.14499999999999999"/>
    <n v="15"/>
  </r>
  <r>
    <s v="ORD-2024-331226"/>
    <d v="2024-11-30T00:00:00"/>
    <d v="2024-12-19T00:00:00"/>
    <d v="2024-12-19T00:00:00"/>
    <n v="19"/>
    <x v="0"/>
    <x v="0"/>
    <x v="0"/>
    <x v="0"/>
    <x v="1"/>
    <x v="4"/>
    <s v="Phones"/>
    <s v="PHN-1919"/>
    <n v="1195.98"/>
    <n v="1841.9"/>
    <n v="1841.9"/>
    <n v="5.5E-2"/>
    <n v="5.5E-2"/>
    <n v="19"/>
  </r>
  <r>
    <s v="ORD-2023-356427"/>
    <d v="2023-04-13T00:00:00"/>
    <d v="2023-05-02T00:00:00"/>
    <d v="2023-05-02T00:00:00"/>
    <n v="19"/>
    <x v="2"/>
    <x v="3"/>
    <x v="19"/>
    <x v="3"/>
    <x v="3"/>
    <x v="6"/>
    <s v="Monitors"/>
    <s v="MON-6053"/>
    <n v="671.05"/>
    <n v="1645.48"/>
    <n v="1645.48"/>
    <n v="0.13700000000000001"/>
    <n v="0.13700000000000001"/>
    <n v="6"/>
  </r>
  <r>
    <s v="ORD-2025-659650"/>
    <d v="2025-02-04T00:00:00"/>
    <d v="2025-02-08T00:00:00"/>
    <d v="2025-02-08T00:00:00"/>
    <n v="4"/>
    <x v="3"/>
    <x v="8"/>
    <x v="31"/>
    <x v="5"/>
    <x v="2"/>
    <x v="4"/>
    <s v="Networking"/>
    <s v="NET-2502"/>
    <n v="586.21"/>
    <n v="727.22"/>
    <n v="727.22"/>
    <n v="6.8000000000000005E-2"/>
    <n v="6.8000000000000005E-2"/>
    <n v="15"/>
  </r>
  <r>
    <s v="ORD-2024-207669"/>
    <d v="2024-01-24T00:00:00"/>
    <d v="2024-02-04T00:00:00"/>
    <d v="2024-02-04T00:00:00"/>
    <n v="11"/>
    <x v="3"/>
    <x v="8"/>
    <x v="31"/>
    <x v="3"/>
    <x v="0"/>
    <x v="5"/>
    <s v="Laptops"/>
    <s v="LAP-5689"/>
    <n v="525.34"/>
    <n v="1233.79"/>
    <n v="1233.79"/>
    <n v="0.14299999999999999"/>
    <n v="0.14299999999999999"/>
    <n v="4"/>
  </r>
  <r>
    <s v="ORD-2024-979401"/>
    <d v="2024-02-08T00:00:00"/>
    <d v="2024-02-09T00:00:00"/>
    <d v="2024-02-09T00:00:00"/>
    <n v="1"/>
    <x v="0"/>
    <x v="0"/>
    <x v="13"/>
    <x v="0"/>
    <x v="4"/>
    <x v="9"/>
    <s v="Components"/>
    <s v="CMP-5911"/>
    <n v="1233.52"/>
    <n v="1543.76"/>
    <n v="1543.76"/>
    <n v="0.126"/>
    <n v="0.126"/>
    <n v="13"/>
  </r>
  <r>
    <s v="ORD-2025-929414"/>
    <d v="2025-06-26T00:00:00"/>
    <d v="2025-07-11T00:00:00"/>
    <d v="2025-07-11T00:00:00"/>
    <n v="15"/>
    <x v="0"/>
    <x v="1"/>
    <x v="1"/>
    <x v="4"/>
    <x v="1"/>
    <x v="8"/>
    <s v="Laptops"/>
    <s v="LAP-7523"/>
    <n v="1170.1500000000001"/>
    <n v="2115.19"/>
    <n v="2115.19"/>
    <n v="9.1999999999999998E-2"/>
    <n v="9.1999999999999998E-2"/>
    <n v="23"/>
  </r>
  <r>
    <s v="ORD-2024-766980"/>
    <d v="2024-11-04T00:00:00"/>
    <d v="2024-11-07T00:00:00"/>
    <d v="2024-11-07T00:00:00"/>
    <n v="3"/>
    <x v="3"/>
    <x v="7"/>
    <x v="17"/>
    <x v="0"/>
    <x v="1"/>
    <x v="7"/>
    <s v="Monitors"/>
    <s v="MON-1118"/>
    <n v="740.68"/>
    <n v="1837.19"/>
    <n v="1837.19"/>
    <n v="0.19700000000000001"/>
    <n v="0.19700000000000001"/>
    <n v="17"/>
  </r>
  <r>
    <s v="ORD-2024-437164"/>
    <d v="2024-02-20T00:00:00"/>
    <d v="2024-02-20T00:00:00"/>
    <d v="2024-02-20T00:00:00"/>
    <n v="0"/>
    <x v="2"/>
    <x v="10"/>
    <x v="38"/>
    <x v="5"/>
    <x v="1"/>
    <x v="0"/>
    <s v="Networking"/>
    <s v="NET-9177"/>
    <n v="1407.05"/>
    <n v="2858.93"/>
    <n v="2858.93"/>
    <n v="0"/>
    <n v="0"/>
    <n v="12"/>
  </r>
  <r>
    <s v="ORD-2025-169093"/>
    <d v="2025-04-13T00:00:00"/>
    <d v="2025-04-14T00:00:00"/>
    <d v="2025-04-14T00:00:00"/>
    <n v="1"/>
    <x v="1"/>
    <x v="2"/>
    <x v="4"/>
    <x v="5"/>
    <x v="1"/>
    <x v="3"/>
    <s v="Components"/>
    <s v="CMP-6495"/>
    <n v="138.9"/>
    <n v="289.92"/>
    <n v="289.92"/>
    <n v="2.9000000000000001E-2"/>
    <n v="2.9000000000000001E-2"/>
    <n v="12"/>
  </r>
  <r>
    <s v="ORD-2023-868460"/>
    <d v="2023-06-01T00:00:00"/>
    <d v="2023-06-01T00:00:00"/>
    <d v="2023-06-01T00:00:00"/>
    <n v="0"/>
    <x v="1"/>
    <x v="4"/>
    <x v="6"/>
    <x v="0"/>
    <x v="0"/>
    <x v="6"/>
    <s v="Accessories"/>
    <s v="ACC-4587"/>
    <n v="669.37"/>
    <n v="997.2"/>
    <n v="997.2"/>
    <n v="8.2000000000000003E-2"/>
    <n v="8.2000000000000003E-2"/>
    <n v="5"/>
  </r>
  <r>
    <s v="ORD-2025-177994"/>
    <d v="2025-03-24T00:00:00"/>
    <d v="2025-04-04T00:00:00"/>
    <d v="2025-04-04T00:00:00"/>
    <n v="11"/>
    <x v="1"/>
    <x v="4"/>
    <x v="29"/>
    <x v="1"/>
    <x v="2"/>
    <x v="1"/>
    <s v="Phones"/>
    <s v="PHN-4395"/>
    <n v="23.83"/>
    <n v="47.29"/>
    <n v="47.29"/>
    <n v="6.4000000000000001E-2"/>
    <n v="6.4000000000000001E-2"/>
    <n v="19"/>
  </r>
  <r>
    <s v="ORD-2024-355095"/>
    <d v="2024-01-02T00:00:00"/>
    <d v="2024-01-02T00:00:00"/>
    <d v="2024-01-02T00:00:00"/>
    <n v="0"/>
    <x v="2"/>
    <x v="3"/>
    <x v="26"/>
    <x v="1"/>
    <x v="4"/>
    <x v="8"/>
    <s v="Laptops"/>
    <s v="LAP-3581"/>
    <n v="444.41"/>
    <n v="754.24"/>
    <n v="754.24"/>
    <n v="0.20699999999999999"/>
    <n v="0.20699999999999999"/>
    <n v="32"/>
  </r>
  <r>
    <s v="ORD-2023-126505"/>
    <d v="2023-12-19T00:00:00"/>
    <d v="2024-01-01T00:00:00"/>
    <d v="2024-01-01T00:00:00"/>
    <n v="13"/>
    <x v="2"/>
    <x v="3"/>
    <x v="5"/>
    <x v="5"/>
    <x v="0"/>
    <x v="11"/>
    <s v="Monitors"/>
    <s v="MON-6065"/>
    <n v="856.1"/>
    <n v="901.48"/>
    <n v="901.48"/>
    <n v="5.6000000000000001E-2"/>
    <n v="5.6000000000000001E-2"/>
    <n v="17"/>
  </r>
  <r>
    <s v="ORD-2023-340056"/>
    <d v="2023-04-26T00:00:00"/>
    <d v="2023-04-26T00:00:00"/>
    <d v="2023-04-26T00:00:00"/>
    <n v="0"/>
    <x v="3"/>
    <x v="7"/>
    <x v="11"/>
    <x v="3"/>
    <x v="4"/>
    <x v="12"/>
    <s v="Components"/>
    <s v="CMP-4945"/>
    <n v="81.489999999999995"/>
    <n v="113.08"/>
    <n v="113.08"/>
    <n v="0.121"/>
    <n v="0.121"/>
    <n v="5"/>
  </r>
  <r>
    <s v="ORD-2025-281413"/>
    <d v="2025-08-03T00:00:00"/>
    <d v="2025-08-16T00:00:00"/>
    <d v="2025-08-16T00:00:00"/>
    <n v="13"/>
    <x v="2"/>
    <x v="3"/>
    <x v="19"/>
    <x v="5"/>
    <x v="3"/>
    <x v="7"/>
    <s v="Networking"/>
    <s v="NET-3785"/>
    <n v="698.66"/>
    <n v="868.62"/>
    <n v="868.62"/>
    <n v="7.1999999999999995E-2"/>
    <n v="7.1999999999999995E-2"/>
    <n v="15"/>
  </r>
  <r>
    <s v="ORD-2023-713614"/>
    <d v="2023-08-02T00:00:00"/>
    <d v="2023-08-19T00:00:00"/>
    <d v="2023-08-19T00:00:00"/>
    <n v="17"/>
    <x v="2"/>
    <x v="3"/>
    <x v="26"/>
    <x v="0"/>
    <x v="1"/>
    <x v="9"/>
    <s v="Networking"/>
    <s v="NET-3689"/>
    <n v="175.38"/>
    <n v="347.9"/>
    <n v="347.9"/>
    <n v="7.1999999999999995E-2"/>
    <n v="7.1999999999999995E-2"/>
    <n v="43"/>
  </r>
  <r>
    <s v="ORD-2023-173313"/>
    <d v="2023-06-15T00:00:00"/>
    <d v="2023-07-12T00:00:00"/>
    <d v="2023-07-12T00:00:00"/>
    <n v="27"/>
    <x v="3"/>
    <x v="8"/>
    <x v="31"/>
    <x v="3"/>
    <x v="4"/>
    <x v="2"/>
    <s v="Accessories"/>
    <s v="ACC-3833"/>
    <n v="751.28"/>
    <n v="1111.8800000000001"/>
    <n v="1111.8800000000001"/>
    <n v="0.13500000000000001"/>
    <n v="0.13500000000000001"/>
    <n v="7"/>
  </r>
  <r>
    <s v="ORD-2024-496601"/>
    <d v="2024-11-11T00:00:00"/>
    <d v="2024-11-24T00:00:00"/>
    <d v="2024-11-24T00:00:00"/>
    <n v="13"/>
    <x v="3"/>
    <x v="8"/>
    <x v="21"/>
    <x v="0"/>
    <x v="0"/>
    <x v="6"/>
    <s v="Networking"/>
    <s v="NET-2932"/>
    <n v="164.53"/>
    <n v="327.72"/>
    <n v="327.72"/>
    <n v="6.7000000000000004E-2"/>
    <n v="6.7000000000000004E-2"/>
    <n v="14"/>
  </r>
  <r>
    <s v="ORD-2025-155182"/>
    <d v="2025-07-11T00:00:00"/>
    <d v="2025-08-03T00:00:00"/>
    <d v="2025-08-03T00:00:00"/>
    <n v="23"/>
    <x v="0"/>
    <x v="0"/>
    <x v="16"/>
    <x v="4"/>
    <x v="0"/>
    <x v="0"/>
    <s v="Phones"/>
    <s v="PHN-7636"/>
    <n v="389.93"/>
    <n v="486.13"/>
    <n v="486.13"/>
    <n v="0.13200000000000001"/>
    <n v="0.13200000000000001"/>
    <n v="17"/>
  </r>
  <r>
    <s v="ORD-2023-244375"/>
    <d v="2023-06-03T00:00:00"/>
    <d v="2023-07-01T00:00:00"/>
    <d v="2023-07-01T00:00:00"/>
    <n v="28"/>
    <x v="2"/>
    <x v="5"/>
    <x v="10"/>
    <x v="4"/>
    <x v="2"/>
    <x v="8"/>
    <s v="Components"/>
    <s v="CMP-1223"/>
    <n v="860.4"/>
    <n v="2066.6"/>
    <n v="2066.6"/>
    <n v="0.01"/>
    <n v="0.01"/>
    <n v="3"/>
  </r>
  <r>
    <s v="ORD-2023-856322"/>
    <d v="2023-01-29T00:00:00"/>
    <d v="2023-02-06T00:00:00"/>
    <d v="2023-02-06T00:00:00"/>
    <n v="8"/>
    <x v="2"/>
    <x v="5"/>
    <x v="10"/>
    <x v="0"/>
    <x v="2"/>
    <x v="14"/>
    <s v="Monitors"/>
    <s v="MON-7207"/>
    <n v="41.84"/>
    <n v="86.2"/>
    <n v="86.2"/>
    <n v="0.22600000000000001"/>
    <n v="0.22600000000000001"/>
    <n v="27"/>
  </r>
  <r>
    <s v="ORD-2024-594527"/>
    <d v="2024-09-06T00:00:00"/>
    <d v="2024-09-04T00:00:00"/>
    <d v="2024-09-04T00:00:00"/>
    <n v="-2"/>
    <x v="1"/>
    <x v="2"/>
    <x v="4"/>
    <x v="0"/>
    <x v="4"/>
    <x v="8"/>
    <s v="Laptops"/>
    <s v="LAP-4483"/>
    <n v="1368.17"/>
    <n v="2307.75"/>
    <n v="2307.75"/>
    <n v="0.16300000000000001"/>
    <n v="0.16300000000000001"/>
    <n v="21"/>
  </r>
  <r>
    <s v="ORD-2024-689872"/>
    <d v="2024-08-03T00:00:00"/>
    <d v="2024-08-09T00:00:00"/>
    <d v="2024-08-09T00:00:00"/>
    <n v="6"/>
    <x v="0"/>
    <x v="0"/>
    <x v="13"/>
    <x v="3"/>
    <x v="2"/>
    <x v="10"/>
    <s v="Laptops"/>
    <s v="LAP-1969"/>
    <n v="643.21"/>
    <n v="1112.81"/>
    <n v="1112.81"/>
    <n v="0.14099999999999999"/>
    <n v="0.14099999999999999"/>
    <n v="4"/>
  </r>
  <r>
    <s v="ORD-2025-246692"/>
    <d v="2025-04-17T00:00:00"/>
    <d v="2025-04-17T00:00:00"/>
    <d v="2025-04-17T00:00:00"/>
    <n v="0"/>
    <x v="2"/>
    <x v="5"/>
    <x v="8"/>
    <x v="0"/>
    <x v="3"/>
    <x v="4"/>
    <s v="Phones"/>
    <s v="PHN-4566"/>
    <n v="719.41"/>
    <n v="1125.99"/>
    <n v="1125.99"/>
    <n v="4.1000000000000002E-2"/>
    <n v="4.1000000000000002E-2"/>
    <n v="21"/>
  </r>
  <r>
    <s v="ORD-2023-378676"/>
    <d v="2023-05-03T00:00:00"/>
    <d v="2023-05-16T00:00:00"/>
    <d v="2023-05-16T00:00:00"/>
    <n v="13"/>
    <x v="2"/>
    <x v="10"/>
    <x v="38"/>
    <x v="0"/>
    <x v="2"/>
    <x v="4"/>
    <s v="Phones"/>
    <s v="PHN-5366"/>
    <n v="64.5"/>
    <n v="123.62"/>
    <n v="123.62"/>
    <n v="0"/>
    <n v="0"/>
    <n v="3"/>
  </r>
  <r>
    <s v="ORD-2024-243988"/>
    <d v="2024-03-13T00:00:00"/>
    <d v="2024-04-06T00:00:00"/>
    <d v="2024-04-06T00:00:00"/>
    <n v="24"/>
    <x v="0"/>
    <x v="1"/>
    <x v="7"/>
    <x v="3"/>
    <x v="3"/>
    <x v="4"/>
    <s v="Components"/>
    <s v="CMP-9001"/>
    <n v="1232.78"/>
    <n v="1731.75"/>
    <n v="1731.75"/>
    <n v="9.2999999999999999E-2"/>
    <n v="9.2999999999999999E-2"/>
    <n v="16"/>
  </r>
  <r>
    <s v="ORD-2024-572312"/>
    <d v="2024-06-16T00:00:00"/>
    <d v="2024-06-21T00:00:00"/>
    <d v="2024-06-21T00:00:00"/>
    <n v="5"/>
    <x v="1"/>
    <x v="2"/>
    <x v="27"/>
    <x v="4"/>
    <x v="3"/>
    <x v="9"/>
    <s v="Phones"/>
    <s v="PHN-9677"/>
    <n v="1367.13"/>
    <n v="3062.01"/>
    <n v="3062.01"/>
    <n v="0.10299999999999999"/>
    <n v="0.10299999999999999"/>
    <n v="25"/>
  </r>
  <r>
    <s v="ORD-2025-281062"/>
    <d v="2025-02-15T00:00:00"/>
    <d v="2025-02-27T00:00:00"/>
    <d v="2025-02-27T00:00:00"/>
    <n v="12"/>
    <x v="3"/>
    <x v="7"/>
    <x v="17"/>
    <x v="2"/>
    <x v="4"/>
    <x v="11"/>
    <s v="Accessories"/>
    <s v="ACC-1604"/>
    <n v="1027.26"/>
    <n v="2200.41"/>
    <n v="2200.41"/>
    <n v="8.7999999999999995E-2"/>
    <n v="8.7999999999999995E-2"/>
    <n v="6"/>
  </r>
  <r>
    <s v="ORD-2023-727290"/>
    <d v="2023-04-03T00:00:00"/>
    <d v="2023-04-16T00:00:00"/>
    <d v="2023-04-16T00:00:00"/>
    <n v="13"/>
    <x v="3"/>
    <x v="7"/>
    <x v="11"/>
    <x v="2"/>
    <x v="2"/>
    <x v="12"/>
    <s v="Accessories"/>
    <s v="ACC-4815"/>
    <n v="790.54"/>
    <n v="601.49"/>
    <n v="601.49"/>
    <n v="0"/>
    <n v="0"/>
    <n v="15"/>
  </r>
  <r>
    <s v="ORD-2025-993993"/>
    <d v="2025-08-30T00:00:00"/>
    <d v="2025-09-22T00:00:00"/>
    <d v="2025-09-22T00:00:00"/>
    <n v="23"/>
    <x v="3"/>
    <x v="7"/>
    <x v="11"/>
    <x v="0"/>
    <x v="4"/>
    <x v="6"/>
    <s v="Components"/>
    <s v="CMP-5311"/>
    <n v="663.9"/>
    <n v="947.77"/>
    <n v="947.77"/>
    <n v="0.17399999999999999"/>
    <n v="0.17399999999999999"/>
    <n v="15"/>
  </r>
  <r>
    <s v="ORD-2023-619493"/>
    <d v="2023-02-27T00:00:00"/>
    <d v="2023-02-26T00:00:00"/>
    <d v="2023-02-26T00:00:00"/>
    <n v="-1"/>
    <x v="2"/>
    <x v="10"/>
    <x v="24"/>
    <x v="2"/>
    <x v="1"/>
    <x v="4"/>
    <s v="Networking"/>
    <s v="NET-1282"/>
    <n v="1015.91"/>
    <n v="2331.48"/>
    <n v="2331.48"/>
    <n v="0.14599999999999999"/>
    <n v="0.14599999999999999"/>
    <n v="26"/>
  </r>
  <r>
    <s v="ORD-2024-947056"/>
    <d v="2024-07-31T00:00:00"/>
    <d v="2024-08-15T00:00:00"/>
    <d v="2024-08-15T00:00:00"/>
    <n v="15"/>
    <x v="1"/>
    <x v="2"/>
    <x v="27"/>
    <x v="0"/>
    <x v="2"/>
    <x v="9"/>
    <s v="Monitors"/>
    <s v="MON-1564"/>
    <n v="1252.52"/>
    <n v="1417.24"/>
    <n v="1417.24"/>
    <n v="0.192"/>
    <n v="0.192"/>
    <n v="5"/>
  </r>
  <r>
    <s v="ORD-2025-856556"/>
    <d v="2025-06-15T00:00:00"/>
    <d v="2025-07-12T00:00:00"/>
    <d v="2025-07-12T00:00:00"/>
    <n v="27"/>
    <x v="3"/>
    <x v="7"/>
    <x v="11"/>
    <x v="3"/>
    <x v="4"/>
    <x v="0"/>
    <s v="Accessories"/>
    <s v="ACC-7906"/>
    <n v="318.83"/>
    <n v="699.5"/>
    <n v="699.5"/>
    <n v="0.08"/>
    <n v="0.08"/>
    <n v="13"/>
  </r>
  <r>
    <s v="ORD-2024-442776"/>
    <d v="2024-06-30T00:00:00"/>
    <d v="2024-07-21T00:00:00"/>
    <d v="2024-07-21T00:00:00"/>
    <n v="21"/>
    <x v="0"/>
    <x v="0"/>
    <x v="0"/>
    <x v="4"/>
    <x v="0"/>
    <x v="11"/>
    <s v="Laptops"/>
    <s v="LAP-6577"/>
    <n v="753.43"/>
    <n v="1787.2"/>
    <n v="1787.2"/>
    <n v="7.2999999999999995E-2"/>
    <n v="7.2999999999999995E-2"/>
    <n v="9"/>
  </r>
  <r>
    <s v="ORD-2025-705398"/>
    <d v="2025-02-17T00:00:00"/>
    <d v="2025-02-15T00:00:00"/>
    <d v="2025-02-15T00:00:00"/>
    <n v="-2"/>
    <x v="2"/>
    <x v="3"/>
    <x v="5"/>
    <x v="4"/>
    <x v="0"/>
    <x v="14"/>
    <s v="Components"/>
    <s v="CMP-5065"/>
    <n v="1133.47"/>
    <n v="1698.75"/>
    <n v="1698.75"/>
    <n v="4.2999999999999997E-2"/>
    <n v="4.2999999999999997E-2"/>
    <n v="5"/>
  </r>
  <r>
    <s v="ORD-2023-689428"/>
    <d v="2023-01-07T00:00:00"/>
    <d v="2023-01-30T00:00:00"/>
    <d v="2023-01-30T00:00:00"/>
    <n v="23"/>
    <x v="0"/>
    <x v="11"/>
    <x v="33"/>
    <x v="3"/>
    <x v="1"/>
    <x v="8"/>
    <s v="Printers"/>
    <s v="PRN-4787"/>
    <n v="299.02"/>
    <n v="724.7"/>
    <n v="724.7"/>
    <n v="0.14000000000000001"/>
    <n v="0.14000000000000001"/>
    <n v="5"/>
  </r>
  <r>
    <s v="ORD-2025-683247"/>
    <d v="2025-03-10T00:00:00"/>
    <d v="2025-04-04T00:00:00"/>
    <d v="2025-04-04T00:00:00"/>
    <n v="25"/>
    <x v="1"/>
    <x v="2"/>
    <x v="4"/>
    <x v="0"/>
    <x v="4"/>
    <x v="10"/>
    <s v="Printers"/>
    <s v="PRN-9867"/>
    <n v="783.72"/>
    <n v="1355.94"/>
    <n v="1355.94"/>
    <n v="0.187"/>
    <n v="0.187"/>
    <n v="4"/>
  </r>
  <r>
    <s v="ORD-2024-585443"/>
    <d v="2024-08-17T00:00:00"/>
    <d v="2024-08-15T00:00:00"/>
    <d v="2024-08-15T00:00:00"/>
    <n v="-2"/>
    <x v="2"/>
    <x v="5"/>
    <x v="30"/>
    <x v="3"/>
    <x v="4"/>
    <x v="12"/>
    <s v="Monitors"/>
    <s v="MON-2849"/>
    <n v="165.3"/>
    <n v="275.07"/>
    <n v="275.07"/>
    <n v="0.13300000000000001"/>
    <n v="0.13300000000000001"/>
    <n v="25"/>
  </r>
  <r>
    <s v="ORD-2024-907733"/>
    <d v="2024-03-09T00:00:00"/>
    <d v="2024-03-22T00:00:00"/>
    <d v="2024-03-22T00:00:00"/>
    <n v="13"/>
    <x v="3"/>
    <x v="8"/>
    <x v="31"/>
    <x v="3"/>
    <x v="1"/>
    <x v="6"/>
    <s v="Laptops"/>
    <s v="LAP-8633"/>
    <n v="985.45"/>
    <n v="1802.44"/>
    <n v="1802.44"/>
    <n v="8.9999999999999993E-3"/>
    <n v="8.9999999999999993E-3"/>
    <n v="19"/>
  </r>
  <r>
    <s v="ORD-2024-550400"/>
    <d v="2024-08-19T00:00:00"/>
    <d v="2024-09-02T00:00:00"/>
    <d v="2024-09-02T00:00:00"/>
    <n v="14"/>
    <x v="2"/>
    <x v="3"/>
    <x v="5"/>
    <x v="3"/>
    <x v="3"/>
    <x v="0"/>
    <s v="Printers"/>
    <s v="PRN-9793"/>
    <n v="1337.01"/>
    <n v="1269.78"/>
    <n v="1269.78"/>
    <n v="0.16"/>
    <n v="0.16"/>
    <n v="7"/>
  </r>
  <r>
    <s v="ORD-2025-189846"/>
    <d v="2025-08-11T00:00:00"/>
    <d v="2025-08-28T00:00:00"/>
    <d v="2025-08-28T00:00:00"/>
    <n v="17"/>
    <x v="3"/>
    <x v="7"/>
    <x v="28"/>
    <x v="1"/>
    <x v="1"/>
    <x v="9"/>
    <s v="Networking"/>
    <s v="NET-6218"/>
    <n v="416.16"/>
    <n v="571.9"/>
    <n v="571.9"/>
    <n v="7.0999999999999994E-2"/>
    <n v="7.0999999999999994E-2"/>
    <n v="2"/>
  </r>
  <r>
    <s v="ORD-2025-752192"/>
    <d v="2025-05-16T00:00:00"/>
    <d v="2025-05-18T00:00:00"/>
    <d v="2025-05-18T00:00:00"/>
    <n v="2"/>
    <x v="1"/>
    <x v="2"/>
    <x v="27"/>
    <x v="5"/>
    <x v="0"/>
    <x v="1"/>
    <s v="Printers"/>
    <s v="PRN-6131"/>
    <n v="1144.3800000000001"/>
    <n v="2755.04"/>
    <n v="2755.04"/>
    <n v="0.15"/>
    <n v="0.15"/>
    <n v="17"/>
  </r>
  <r>
    <s v="ORD-2023-294716"/>
    <d v="2023-04-10T00:00:00"/>
    <d v="2023-04-25T00:00:00"/>
    <d v="2023-04-25T00:00:00"/>
    <n v="15"/>
    <x v="3"/>
    <x v="8"/>
    <x v="21"/>
    <x v="4"/>
    <x v="0"/>
    <x v="14"/>
    <s v="Printers"/>
    <s v="PRN-5067"/>
    <n v="405.66"/>
    <n v="962.51"/>
    <n v="962.51"/>
    <n v="0.19"/>
    <n v="0.19"/>
    <n v="7"/>
  </r>
  <r>
    <s v="ORD-2023-552115"/>
    <d v="2023-09-17T00:00:00"/>
    <d v="2023-10-02T00:00:00"/>
    <d v="2023-10-02T00:00:00"/>
    <n v="15"/>
    <x v="2"/>
    <x v="5"/>
    <x v="30"/>
    <x v="4"/>
    <x v="0"/>
    <x v="5"/>
    <s v="Laptops"/>
    <s v="LAP-4932"/>
    <n v="689.33"/>
    <n v="668.27"/>
    <n v="668.27"/>
    <n v="0.186"/>
    <n v="0.186"/>
    <n v="13"/>
  </r>
  <r>
    <s v="ORD-2023-107265"/>
    <d v="2023-04-22T00:00:00"/>
    <d v="2023-05-14T00:00:00"/>
    <d v="2023-05-14T00:00:00"/>
    <n v="22"/>
    <x v="1"/>
    <x v="2"/>
    <x v="32"/>
    <x v="5"/>
    <x v="0"/>
    <x v="8"/>
    <s v="Accessories"/>
    <s v="ACC-7713"/>
    <n v="1209.22"/>
    <n v="1404.33"/>
    <n v="1404.33"/>
    <n v="0.10299999999999999"/>
    <n v="0.10299999999999999"/>
    <n v="11"/>
  </r>
  <r>
    <s v="ORD-2025-262434"/>
    <d v="2025-06-19T00:00:00"/>
    <d v="2025-06-21T00:00:00"/>
    <d v="2025-06-21T00:00:00"/>
    <n v="2"/>
    <x v="0"/>
    <x v="11"/>
    <x v="20"/>
    <x v="4"/>
    <x v="3"/>
    <x v="10"/>
    <s v="Phones"/>
    <s v="PHN-7379"/>
    <n v="1466.27"/>
    <n v="3589.89"/>
    <n v="3589.89"/>
    <n v="9.7000000000000003E-2"/>
    <n v="9.7000000000000003E-2"/>
    <n v="9"/>
  </r>
  <r>
    <s v="ORD-2024-266562"/>
    <d v="2024-11-27T00:00:00"/>
    <d v="2024-12-24T00:00:00"/>
    <d v="2024-12-24T00:00:00"/>
    <n v="27"/>
    <x v="0"/>
    <x v="0"/>
    <x v="13"/>
    <x v="0"/>
    <x v="3"/>
    <x v="5"/>
    <s v="Printers"/>
    <s v="PRN-5569"/>
    <n v="143.33000000000001"/>
    <n v="233.51"/>
    <n v="233.51"/>
    <n v="0.16300000000000001"/>
    <n v="0.16300000000000001"/>
    <n v="14"/>
  </r>
  <r>
    <s v="ORD-2024-838925"/>
    <d v="2024-01-28T00:00:00"/>
    <d v="2024-01-27T00:00:00"/>
    <d v="2024-01-27T00:00:00"/>
    <n v="-1"/>
    <x v="0"/>
    <x v="11"/>
    <x v="33"/>
    <x v="5"/>
    <x v="4"/>
    <x v="7"/>
    <s v="Components"/>
    <s v="CMP-1470"/>
    <n v="109.75"/>
    <n v="124.25"/>
    <n v="124.25"/>
    <n v="0.12"/>
    <n v="0.12"/>
    <n v="19"/>
  </r>
  <r>
    <s v="ORD-2023-664790"/>
    <d v="2023-04-16T00:00:00"/>
    <d v="2023-04-23T00:00:00"/>
    <d v="2023-04-23T00:00:00"/>
    <n v="7"/>
    <x v="2"/>
    <x v="10"/>
    <x v="35"/>
    <x v="0"/>
    <x v="3"/>
    <x v="7"/>
    <s v="Printers"/>
    <s v="PRN-9249"/>
    <n v="1099.1500000000001"/>
    <n v="1431.37"/>
    <n v="1431.37"/>
    <n v="0.104"/>
    <n v="0.104"/>
    <n v="8"/>
  </r>
  <r>
    <s v="ORD-2024-331408"/>
    <d v="2024-02-01T00:00:00"/>
    <d v="2024-02-01T00:00:00"/>
    <d v="2024-02-01T00:00:00"/>
    <n v="0"/>
    <x v="2"/>
    <x v="10"/>
    <x v="35"/>
    <x v="3"/>
    <x v="3"/>
    <x v="10"/>
    <s v="Printers"/>
    <s v="PRN-4906"/>
    <n v="714.43"/>
    <n v="1595.52"/>
    <n v="1595.52"/>
    <n v="0.19400000000000001"/>
    <n v="0.19400000000000001"/>
    <n v="14"/>
  </r>
  <r>
    <s v="ORD-2024-741404"/>
    <d v="2024-10-19T00:00:00"/>
    <d v="2024-11-06T00:00:00"/>
    <d v="2024-11-06T00:00:00"/>
    <n v="18"/>
    <x v="2"/>
    <x v="10"/>
    <x v="15"/>
    <x v="1"/>
    <x v="2"/>
    <x v="0"/>
    <s v="Monitors"/>
    <s v="MON-8129"/>
    <n v="942.02"/>
    <n v="1028.46"/>
    <n v="1028.46"/>
    <n v="0"/>
    <n v="0"/>
    <n v="9"/>
  </r>
  <r>
    <s v="ORD-2024-341535"/>
    <d v="2024-06-25T00:00:00"/>
    <d v="2024-06-30T00:00:00"/>
    <d v="2024-06-30T00:00:00"/>
    <n v="5"/>
    <x v="0"/>
    <x v="0"/>
    <x v="0"/>
    <x v="1"/>
    <x v="4"/>
    <x v="12"/>
    <s v="Networking"/>
    <s v="NET-5987"/>
    <n v="1323.55"/>
    <n v="3230.35"/>
    <n v="3230.35"/>
    <n v="2.1999999999999999E-2"/>
    <n v="2.1999999999999999E-2"/>
    <n v="26"/>
  </r>
  <r>
    <s v="ORD-2023-451931"/>
    <d v="2023-07-30T00:00:00"/>
    <d v="2023-08-19T00:00:00"/>
    <d v="2023-08-19T00:00:00"/>
    <n v="20"/>
    <x v="3"/>
    <x v="7"/>
    <x v="28"/>
    <x v="5"/>
    <x v="2"/>
    <x v="3"/>
    <s v="Networking"/>
    <s v="NET-5423"/>
    <n v="1418.51"/>
    <n v="2789.61"/>
    <n v="2789.61"/>
    <n v="0.17100000000000001"/>
    <n v="0.17100000000000001"/>
    <n v="8"/>
  </r>
  <r>
    <s v="ORD-2025-532859"/>
    <d v="2025-03-11T00:00:00"/>
    <d v="2025-03-27T00:00:00"/>
    <d v="2025-03-27T00:00:00"/>
    <n v="16"/>
    <x v="1"/>
    <x v="2"/>
    <x v="27"/>
    <x v="5"/>
    <x v="3"/>
    <x v="5"/>
    <s v="Printers"/>
    <s v="PRN-5264"/>
    <n v="1317.58"/>
    <n v="1897.74"/>
    <n v="1897.74"/>
    <n v="8.1000000000000003E-2"/>
    <n v="8.1000000000000003E-2"/>
    <n v="6"/>
  </r>
  <r>
    <s v="ORD-2023-502205"/>
    <d v="2023-10-09T00:00:00"/>
    <d v="2023-10-11T00:00:00"/>
    <d v="2023-10-11T00:00:00"/>
    <n v="2"/>
    <x v="0"/>
    <x v="1"/>
    <x v="1"/>
    <x v="1"/>
    <x v="2"/>
    <x v="11"/>
    <s v="Networking"/>
    <s v="NET-8856"/>
    <n v="391.16"/>
    <n v="902.47"/>
    <n v="902.47"/>
    <n v="4.0000000000000001E-3"/>
    <n v="4.0000000000000001E-3"/>
    <n v="12"/>
  </r>
  <r>
    <s v="ORD-2024-930679"/>
    <d v="2024-12-17T00:00:00"/>
    <d v="2025-01-16T00:00:00"/>
    <d v="2025-01-16T00:00:00"/>
    <n v="30"/>
    <x v="3"/>
    <x v="8"/>
    <x v="31"/>
    <x v="0"/>
    <x v="0"/>
    <x v="14"/>
    <s v="Monitors"/>
    <s v="MON-4215"/>
    <n v="722.87"/>
    <n v="-33.659999999999997"/>
    <n v="33.659999999999997"/>
    <n v="0.10199999999999999"/>
    <n v="0.10199999999999999"/>
    <n v="28"/>
  </r>
  <r>
    <s v="ORD-2025-150713"/>
    <d v="2025-07-11T00:00:00"/>
    <d v="2025-07-16T00:00:00"/>
    <d v="2025-07-16T00:00:00"/>
    <n v="5"/>
    <x v="3"/>
    <x v="8"/>
    <x v="21"/>
    <x v="5"/>
    <x v="1"/>
    <x v="11"/>
    <s v="Printers"/>
    <s v="PRN-5753"/>
    <n v="930.03"/>
    <n v="1086.68"/>
    <n v="1086.68"/>
    <n v="0.109"/>
    <n v="0.109"/>
    <n v="26"/>
  </r>
  <r>
    <s v="ORD-2024-756884"/>
    <d v="2024-10-13T00:00:00"/>
    <d v="2024-10-24T00:00:00"/>
    <d v="2024-10-24T00:00:00"/>
    <n v="11"/>
    <x v="3"/>
    <x v="7"/>
    <x v="28"/>
    <x v="1"/>
    <x v="3"/>
    <x v="9"/>
    <s v="Components"/>
    <s v="CMP-5006"/>
    <n v="816.7"/>
    <n v="1010.75"/>
    <n v="1010.75"/>
    <n v="4.7E-2"/>
    <n v="4.7E-2"/>
    <n v="43"/>
  </r>
  <r>
    <s v="ORD-2023-755337"/>
    <d v="2023-09-08T00:00:00"/>
    <d v="2023-09-14T00:00:00"/>
    <d v="2023-09-14T00:00:00"/>
    <n v="6"/>
    <x v="0"/>
    <x v="0"/>
    <x v="16"/>
    <x v="1"/>
    <x v="4"/>
    <x v="2"/>
    <s v="Accessories"/>
    <s v="ACC-4766"/>
    <n v="251.03"/>
    <n v="411.48"/>
    <n v="411.48"/>
    <n v="0.16500000000000001"/>
    <n v="0.16500000000000001"/>
    <n v="3"/>
  </r>
  <r>
    <s v="ORD-2025-907040"/>
    <d v="2025-04-17T00:00:00"/>
    <d v="2025-05-03T00:00:00"/>
    <d v="2025-05-03T00:00:00"/>
    <n v="16"/>
    <x v="2"/>
    <x v="5"/>
    <x v="30"/>
    <x v="3"/>
    <x v="2"/>
    <x v="1"/>
    <s v="Networking"/>
    <s v="NET-8610"/>
    <n v="168.68"/>
    <n v="413.34"/>
    <n v="413.34"/>
    <n v="0.186"/>
    <n v="0.186"/>
    <n v="7"/>
  </r>
  <r>
    <s v="ORD-2024-817997"/>
    <d v="2024-07-28T00:00:00"/>
    <d v="2024-08-23T00:00:00"/>
    <d v="2024-08-23T00:00:00"/>
    <n v="26"/>
    <x v="1"/>
    <x v="4"/>
    <x v="34"/>
    <x v="0"/>
    <x v="0"/>
    <x v="1"/>
    <s v="Networking"/>
    <s v="NET-4675"/>
    <n v="1339.24"/>
    <n v="1558.89"/>
    <n v="1558.89"/>
    <n v="0.192"/>
    <n v="0.192"/>
    <n v="24"/>
  </r>
  <r>
    <s v="ORD-2025-649633"/>
    <d v="2025-07-19T00:00:00"/>
    <d v="2025-07-31T00:00:00"/>
    <d v="2025-07-31T00:00:00"/>
    <n v="12"/>
    <x v="0"/>
    <x v="0"/>
    <x v="2"/>
    <x v="4"/>
    <x v="2"/>
    <x v="7"/>
    <s v="Accessories"/>
    <s v="ACC-1028"/>
    <n v="619.64"/>
    <n v="861.16"/>
    <n v="861.16"/>
    <n v="0.113"/>
    <n v="0.113"/>
    <n v="14"/>
  </r>
  <r>
    <s v="ORD-2023-885216"/>
    <d v="2023-08-03T00:00:00"/>
    <d v="2023-08-02T00:00:00"/>
    <d v="2023-08-02T00:00:00"/>
    <n v="-1"/>
    <x v="1"/>
    <x v="9"/>
    <x v="23"/>
    <x v="2"/>
    <x v="4"/>
    <x v="1"/>
    <s v="Networking"/>
    <s v="NET-4735"/>
    <n v="1021.97"/>
    <n v="2296.25"/>
    <n v="2296.25"/>
    <n v="0.161"/>
    <n v="0.161"/>
    <n v="26"/>
  </r>
  <r>
    <s v="ORD-2023-561823"/>
    <d v="2023-11-19T00:00:00"/>
    <d v="2023-12-12T00:00:00"/>
    <d v="2023-12-12T00:00:00"/>
    <n v="23"/>
    <x v="1"/>
    <x v="4"/>
    <x v="18"/>
    <x v="4"/>
    <x v="4"/>
    <x v="0"/>
    <s v="Networking"/>
    <s v="NET-2460"/>
    <n v="1349.04"/>
    <n v="2636.6"/>
    <n v="2636.6"/>
    <n v="0.114"/>
    <n v="0.114"/>
    <n v="14"/>
  </r>
  <r>
    <s v="ORD-2023-249805"/>
    <d v="2023-12-22T00:00:00"/>
    <d v="2024-01-16T00:00:00"/>
    <d v="2024-01-16T00:00:00"/>
    <n v="25"/>
    <x v="1"/>
    <x v="4"/>
    <x v="34"/>
    <x v="4"/>
    <x v="0"/>
    <x v="8"/>
    <s v="Components"/>
    <s v="CMP-1555"/>
    <n v="1346.81"/>
    <n v="978.09"/>
    <n v="978.09"/>
    <n v="0.159"/>
    <n v="0.159"/>
    <n v="17"/>
  </r>
  <r>
    <s v="ORD-2023-548934"/>
    <d v="2023-08-03T00:00:00"/>
    <d v="2023-08-30T00:00:00"/>
    <d v="2023-08-30T00:00:00"/>
    <n v="27"/>
    <x v="1"/>
    <x v="9"/>
    <x v="23"/>
    <x v="3"/>
    <x v="3"/>
    <x v="13"/>
    <s v="Monitors"/>
    <s v="MON-3773"/>
    <n v="226.04"/>
    <n v="545.72"/>
    <n v="545.72"/>
    <n v="0.151"/>
    <n v="0.151"/>
    <n v="11"/>
  </r>
  <r>
    <s v="ORD-2023-921939"/>
    <d v="2023-06-23T00:00:00"/>
    <d v="2023-07-18T00:00:00"/>
    <d v="2023-07-18T00:00:00"/>
    <n v="25"/>
    <x v="2"/>
    <x v="3"/>
    <x v="26"/>
    <x v="5"/>
    <x v="1"/>
    <x v="13"/>
    <s v="Phones"/>
    <s v="PHN-4677"/>
    <n v="807.02"/>
    <n v="1435.54"/>
    <n v="1435.54"/>
    <n v="0"/>
    <n v="0"/>
    <n v="23"/>
  </r>
  <r>
    <s v="ORD-2023-961864"/>
    <d v="2023-12-07T00:00:00"/>
    <d v="2024-01-02T00:00:00"/>
    <d v="2024-01-02T00:00:00"/>
    <n v="26"/>
    <x v="3"/>
    <x v="6"/>
    <x v="36"/>
    <x v="5"/>
    <x v="3"/>
    <x v="6"/>
    <s v="Components"/>
    <s v="CMP-1940"/>
    <n v="1071.99"/>
    <n v="2397.3000000000002"/>
    <n v="2397.3000000000002"/>
    <n v="6.2E-2"/>
    <n v="6.2E-2"/>
    <n v="18"/>
  </r>
  <r>
    <s v="ORD-2023-455933"/>
    <d v="2023-11-19T00:00:00"/>
    <d v="2023-12-19T00:00:00"/>
    <d v="2023-12-19T00:00:00"/>
    <n v="30"/>
    <x v="1"/>
    <x v="2"/>
    <x v="32"/>
    <x v="3"/>
    <x v="0"/>
    <x v="5"/>
    <s v="Phones"/>
    <s v="PHN-9184"/>
    <n v="807.11"/>
    <n v="1853.86"/>
    <n v="1853.86"/>
    <n v="0.13900000000000001"/>
    <n v="0.13900000000000001"/>
    <n v="8"/>
  </r>
  <r>
    <s v="ORD-2025-728935"/>
    <d v="2025-02-28T00:00:00"/>
    <d v="2025-03-10T00:00:00"/>
    <d v="2025-03-10T00:00:00"/>
    <n v="10"/>
    <x v="1"/>
    <x v="2"/>
    <x v="4"/>
    <x v="1"/>
    <x v="3"/>
    <x v="13"/>
    <s v="Laptops"/>
    <s v="LAP-3017"/>
    <n v="51.86"/>
    <n v="45.98"/>
    <n v="45.98"/>
    <n v="0.17299999999999999"/>
    <n v="0.17299999999999999"/>
    <n v="7"/>
  </r>
</pivotCacheRecords>
</file>

<file path=xl/pivotCache/pivotCacheRecords2.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632">
  <r>
    <s v="ORD-2024-275203"/>
    <d v="2024-03-11T00:00:00"/>
    <x v="0"/>
    <s v="Q1-2024"/>
    <d v="2024-04-06T00:00:00"/>
    <d v="2024-04-06T00:00:00"/>
    <n v="26"/>
    <n v="26"/>
    <x v="0"/>
    <x v="0"/>
    <x v="0"/>
    <x v="0"/>
    <s v="Kisumu"/>
    <s v="Africa - Kenya - Kisumu"/>
    <s v="Corporate"/>
    <x v="0"/>
    <x v="0"/>
    <x v="0"/>
    <x v="0"/>
    <n v="279.24"/>
    <n v="608.9"/>
    <n v="608.9"/>
    <s v="Low"/>
    <n v="0.112"/>
    <n v="0.112"/>
    <x v="0"/>
    <n v="9"/>
    <n v="4866.3287999999993"/>
    <n v="2513.16"/>
    <n v="2353.1687999999995"/>
    <n v="0.48356140670149533"/>
  </r>
  <r>
    <s v="ORD-2024-358795"/>
    <d v="2024-10-23T00:00:00"/>
    <x v="1"/>
    <s v="Q4-2024"/>
    <d v="2024-10-22T00:00:00"/>
    <d v="2024-11-02T00:00:00"/>
    <n v="-1"/>
    <n v="10"/>
    <x v="0"/>
    <x v="1"/>
    <x v="0"/>
    <x v="1"/>
    <s v="Port Harcourt"/>
    <s v="Africa - Nigeria - Port Harcourt"/>
    <s v="Education"/>
    <x v="1"/>
    <x v="1"/>
    <x v="1"/>
    <x v="1"/>
    <n v="1084.3900000000001"/>
    <n v="759.33"/>
    <n v="759.33"/>
    <s v="Low"/>
    <n v="0.23699999999999999"/>
    <n v="0.23699999999999999"/>
    <x v="1"/>
    <n v="31"/>
    <n v="17960.432489999999"/>
    <n v="33616.090000000004"/>
    <n v="-15655.657510000005"/>
    <n v="-0.87167486187856302"/>
  </r>
  <r>
    <s v="ORD-2023-373538"/>
    <d v="2023-02-28T00:00:00"/>
    <x v="2"/>
    <s v="Q1-2023"/>
    <d v="2023-03-25T00:00:00"/>
    <d v="2023-03-25T00:00:00"/>
    <n v="25"/>
    <n v="25"/>
    <x v="0"/>
    <x v="0"/>
    <x v="0"/>
    <x v="0"/>
    <s v="Nairobi"/>
    <s v="Africa - Kenya - Nairobi"/>
    <s v="Corporate"/>
    <x v="0"/>
    <x v="2"/>
    <x v="2"/>
    <x v="2"/>
    <n v="1460.76"/>
    <n v="-30.66"/>
    <n v="30.66"/>
    <s v="Low"/>
    <n v="0.13100000000000001"/>
    <n v="0.13100000000000001"/>
    <x v="0"/>
    <n v="12"/>
    <n v="-319.72248000000002"/>
    <n v="17529.12"/>
    <n v="-17848.842479999999"/>
    <n v="55.826047890032626"/>
  </r>
  <r>
    <s v="ORD-2025-168148"/>
    <d v="2025-03-29T00:00:00"/>
    <x v="3"/>
    <s v="Q1-2025"/>
    <d v="2025-04-02T00:00:00"/>
    <d v="2025-04-02T00:00:00"/>
    <n v="4"/>
    <n v="4"/>
    <x v="1"/>
    <x v="1"/>
    <x v="0"/>
    <x v="1"/>
    <s v="Lagos"/>
    <s v="Africa - Nigeria - Lagos"/>
    <s v="Non-Profit"/>
    <x v="2"/>
    <x v="3"/>
    <x v="3"/>
    <x v="3"/>
    <n v="259.93"/>
    <n v="255.94"/>
    <n v="255.94"/>
    <s v="Low"/>
    <n v="7.1999999999999995E-2"/>
    <n v="7.1999999999999995E-2"/>
    <x v="0"/>
    <n v="22"/>
    <n v="5225.2710400000005"/>
    <n v="5718.46"/>
    <n v="-493.1889599999995"/>
    <n v="-9.4385335463861311E-2"/>
  </r>
  <r>
    <s v="ORD-2023-824839"/>
    <d v="2023-12-06T00:00:00"/>
    <x v="4"/>
    <s v="Q4-2023"/>
    <d v="2023-12-31T00:00:00"/>
    <d v="2023-12-31T00:00:00"/>
    <n v="25"/>
    <n v="25"/>
    <x v="0"/>
    <x v="2"/>
    <x v="1"/>
    <x v="2"/>
    <s v="Osaka"/>
    <s v="Asia - Japan - Osaka"/>
    <s v="Consumer"/>
    <x v="0"/>
    <x v="4"/>
    <x v="1"/>
    <x v="4"/>
    <n v="663.03"/>
    <n v="813.51"/>
    <n v="813.51"/>
    <s v="Low"/>
    <n v="0.10199999999999999"/>
    <n v="0.10199999999999999"/>
    <x v="0"/>
    <n v="15"/>
    <n v="10957.9797"/>
    <n v="9945.4499999999989"/>
    <n v="1012.529700000001"/>
    <n v="9.2401129379715952E-2"/>
  </r>
  <r>
    <s v="ORD-2023-723587"/>
    <d v="2023-01-02T00:00:00"/>
    <x v="5"/>
    <s v="Q1-2023"/>
    <d v="2023-01-05T00:00:00"/>
    <d v="2023-01-05T00:00:00"/>
    <n v="3"/>
    <n v="3"/>
    <x v="1"/>
    <x v="3"/>
    <x v="2"/>
    <x v="3"/>
    <s v="Toronto"/>
    <s v="Americas - Canada - Toronto"/>
    <s v="Corporate"/>
    <x v="3"/>
    <x v="5"/>
    <x v="4"/>
    <x v="5"/>
    <n v="315.87"/>
    <n v="591.67999999999995"/>
    <n v="591.67999999999995"/>
    <s v="Low"/>
    <n v="0"/>
    <n v="0"/>
    <x v="0"/>
    <n v="7"/>
    <n v="4141.7599999999993"/>
    <n v="2211.09"/>
    <n v="1930.6699999999992"/>
    <n v="0.46614724175229844"/>
  </r>
  <r>
    <s v="ORD-2024-336584"/>
    <d v="2024-12-27T00:00:00"/>
    <x v="6"/>
    <s v="Q4-2024"/>
    <d v="2025-01-14T00:00:00"/>
    <d v="2025-01-14T00:00:00"/>
    <n v="18"/>
    <n v="18"/>
    <x v="0"/>
    <x v="4"/>
    <x v="1"/>
    <x v="4"/>
    <s v="Bengaluru"/>
    <s v="Asia - India - Bengaluru"/>
    <s v="Small Business"/>
    <x v="2"/>
    <x v="6"/>
    <x v="5"/>
    <x v="6"/>
    <n v="586.07000000000005"/>
    <n v="845.97"/>
    <n v="845.97"/>
    <s v="Medium"/>
    <n v="0.14699999999999999"/>
    <n v="0.14699999999999999"/>
    <x v="0"/>
    <n v="4"/>
    <n v="2886.4496399999998"/>
    <n v="2344.2800000000002"/>
    <n v="542.16963999999962"/>
    <n v="0.18783270370862928"/>
  </r>
  <r>
    <s v="ORD-2023-112666"/>
    <d v="2023-01-15T00:00:00"/>
    <x v="7"/>
    <s v="Q1-2023"/>
    <d v="2023-01-13T00:00:00"/>
    <d v="2023-01-18T00:00:00"/>
    <n v="-2"/>
    <n v="3"/>
    <x v="1"/>
    <x v="1"/>
    <x v="0"/>
    <x v="1"/>
    <s v="Abuja"/>
    <s v="Africa - Nigeria - Abuja"/>
    <s v="Education"/>
    <x v="1"/>
    <x v="7"/>
    <x v="1"/>
    <x v="7"/>
    <n v="28.38"/>
    <n v="47.22"/>
    <n v="47.22"/>
    <s v="Low"/>
    <n v="0.19400000000000001"/>
    <n v="0.19400000000000001"/>
    <x v="0"/>
    <n v="18"/>
    <n v="685.06776000000002"/>
    <n v="510.84"/>
    <n v="174.22776000000005"/>
    <n v="0.25432193743871417"/>
  </r>
  <r>
    <s v="ORD-2024-589570"/>
    <d v="2024-05-04T00:00:00"/>
    <x v="8"/>
    <s v="Q2-2024"/>
    <d v="2024-05-29T00:00:00"/>
    <d v="2024-05-29T00:00:00"/>
    <n v="25"/>
    <n v="25"/>
    <x v="0"/>
    <x v="1"/>
    <x v="0"/>
    <x v="1"/>
    <s v="Abuja"/>
    <s v="Africa - Nigeria - Abuja"/>
    <s v="Non-Profit"/>
    <x v="2"/>
    <x v="7"/>
    <x v="5"/>
    <x v="8"/>
    <n v="1295.3399999999999"/>
    <n v="2530.81"/>
    <n v="2530.81"/>
    <s v="High"/>
    <n v="3.1E-2"/>
    <n v="3.1E-2"/>
    <x v="0"/>
    <n v="6"/>
    <n v="14714.12934"/>
    <n v="7772.0399999999991"/>
    <n v="6942.0893400000004"/>
    <n v="0.4717974933880798"/>
  </r>
  <r>
    <s v="ORD-2025-997421"/>
    <d v="2025-05-21T00:00:00"/>
    <x v="9"/>
    <s v="Q2-2025"/>
    <d v="2025-06-09T00:00:00"/>
    <d v="2025-06-09T00:00:00"/>
    <n v="19"/>
    <n v="19"/>
    <x v="0"/>
    <x v="4"/>
    <x v="2"/>
    <x v="5"/>
    <s v="São Paulo"/>
    <s v="Americas - Brazil - São Paulo"/>
    <s v="Non-Profit"/>
    <x v="1"/>
    <x v="8"/>
    <x v="0"/>
    <x v="9"/>
    <n v="1331.38"/>
    <n v="2309.56"/>
    <n v="2309.56"/>
    <s v="High"/>
    <n v="0.14899999999999999"/>
    <n v="0.14899999999999999"/>
    <x v="0"/>
    <n v="31"/>
    <n v="60928.502359999999"/>
    <n v="41272.780000000006"/>
    <n v="19655.722359999992"/>
    <n v="0.32260307735553528"/>
  </r>
  <r>
    <s v="ORD-2024-210687"/>
    <d v="2024-01-28T00:00:00"/>
    <x v="10"/>
    <s v="Q1-2024"/>
    <d v="2024-02-09T00:00:00"/>
    <d v="2024-02-09T00:00:00"/>
    <n v="12"/>
    <n v="12"/>
    <x v="0"/>
    <x v="5"/>
    <x v="3"/>
    <x v="6"/>
    <s v="Berlin"/>
    <s v="Europe - Germany - Berlin"/>
    <s v="Corporate"/>
    <x v="1"/>
    <x v="3"/>
    <x v="6"/>
    <x v="10"/>
    <n v="644.16999999999996"/>
    <n v="700.12"/>
    <n v="700.12"/>
    <s v="Low"/>
    <n v="6.0000000000000001E-3"/>
    <n v="6.0000000000000001E-3"/>
    <x v="0"/>
    <n v="23"/>
    <n v="16006.14344"/>
    <n v="14815.91"/>
    <n v="1190.23344"/>
    <n v="7.436103796405813E-2"/>
  </r>
  <r>
    <s v="ORD-2025-515515"/>
    <d v="2025-01-03T00:00:00"/>
    <x v="11"/>
    <s v="Q1-2025"/>
    <d v="2025-01-23T00:00:00"/>
    <d v="2025-01-23T00:00:00"/>
    <n v="20"/>
    <n v="20"/>
    <x v="0"/>
    <x v="2"/>
    <x v="1"/>
    <x v="2"/>
    <s v="Osaka"/>
    <s v="Asia - Japan - Osaka"/>
    <s v="Corporate"/>
    <x v="3"/>
    <x v="9"/>
    <x v="3"/>
    <x v="11"/>
    <n v="908.6"/>
    <n v="691.37"/>
    <n v="691.37"/>
    <s v="Low"/>
    <n v="0.25"/>
    <n v="0.25"/>
    <x v="1"/>
    <n v="20"/>
    <n v="10370.549999999999"/>
    <n v="18172"/>
    <n v="-7801.4500000000007"/>
    <n v="-0.75226964818645115"/>
  </r>
  <r>
    <s v="ORD-2025-487261"/>
    <d v="2025-03-06T00:00:00"/>
    <x v="12"/>
    <s v="Q1-2025"/>
    <d v="2025-03-31T00:00:00"/>
    <d v="2025-03-31T00:00:00"/>
    <n v="25"/>
    <n v="25"/>
    <x v="0"/>
    <x v="4"/>
    <x v="2"/>
    <x v="5"/>
    <s v="Brasília"/>
    <s v="Americas - Brazil - Brasília"/>
    <s v="Non-Profit"/>
    <x v="1"/>
    <x v="1"/>
    <x v="0"/>
    <x v="12"/>
    <n v="331.57"/>
    <n v="548.4"/>
    <n v="548.4"/>
    <s v="Low"/>
    <n v="9.4E-2"/>
    <n v="9.4E-2"/>
    <x v="0"/>
    <n v="10"/>
    <n v="4968.5039999999999"/>
    <n v="3315.7"/>
    <n v="1652.8040000000001"/>
    <n v="0.33265626836568918"/>
  </r>
  <r>
    <s v="ORD-2024-890180"/>
    <d v="2024-01-20T00:00:00"/>
    <x v="13"/>
    <s v="Q1-2024"/>
    <d v="2024-02-13T00:00:00"/>
    <d v="2024-02-13T00:00:00"/>
    <n v="24"/>
    <n v="24"/>
    <x v="0"/>
    <x v="6"/>
    <x v="3"/>
    <x v="7"/>
    <s v="Marseille"/>
    <s v="Europe - France - Marseille"/>
    <s v="Corporate"/>
    <x v="0"/>
    <x v="10"/>
    <x v="1"/>
    <x v="13"/>
    <n v="643.53"/>
    <n v="1439.01"/>
    <n v="1439.01"/>
    <s v="Medium"/>
    <n v="0"/>
    <n v="0"/>
    <x v="0"/>
    <n v="15"/>
    <n v="21585.15"/>
    <n v="9652.9499999999989"/>
    <n v="11932.200000000003"/>
    <n v="0.55279671440782208"/>
  </r>
  <r>
    <s v="ORD-2025-840976"/>
    <d v="2025-09-01T00:00:00"/>
    <x v="14"/>
    <s v="Q3-2025"/>
    <d v="2025-09-30T00:00:00"/>
    <d v="2025-09-30T00:00:00"/>
    <n v="29"/>
    <n v="29"/>
    <x v="0"/>
    <x v="4"/>
    <x v="2"/>
    <x v="5"/>
    <s v="Brasília"/>
    <s v="Americas - Brazil - Brasília"/>
    <s v="Education"/>
    <x v="0"/>
    <x v="11"/>
    <x v="6"/>
    <x v="14"/>
    <n v="780.59"/>
    <n v="631.57000000000005"/>
    <n v="631.57000000000005"/>
    <s v="Low"/>
    <n v="0"/>
    <n v="0"/>
    <x v="0"/>
    <n v="12"/>
    <n v="7578.84"/>
    <n v="9367.08"/>
    <n v="-1788.2399999999998"/>
    <n v="-0.23595167598207639"/>
  </r>
  <r>
    <s v="ORD-2023-937291"/>
    <d v="2023-04-23T00:00:00"/>
    <x v="15"/>
    <s v="Q2-2023"/>
    <d v="2023-04-22T00:00:00"/>
    <d v="2023-05-04T00:00:00"/>
    <n v="-1"/>
    <n v="11"/>
    <x v="0"/>
    <x v="0"/>
    <x v="0"/>
    <x v="0"/>
    <s v="Nairobi"/>
    <s v="Africa - Kenya - Nairobi"/>
    <s v="Small Business"/>
    <x v="4"/>
    <x v="6"/>
    <x v="4"/>
    <x v="15"/>
    <n v="756.51"/>
    <n v="850.8"/>
    <n v="850.8"/>
    <s v="Medium"/>
    <n v="7.3999999999999996E-2"/>
    <n v="7.3999999999999996E-2"/>
    <x v="0"/>
    <n v="9"/>
    <n v="7090.5672000000004"/>
    <n v="6808.59"/>
    <n v="281.97720000000027"/>
    <n v="3.9767932810791252E-2"/>
  </r>
  <r>
    <s v="ORD-2024-206081"/>
    <d v="2024-12-10T00:00:00"/>
    <x v="16"/>
    <s v="Q4-2024"/>
    <d v="2025-01-08T00:00:00"/>
    <d v="2025-01-08T00:00:00"/>
    <n v="29"/>
    <n v="29"/>
    <x v="0"/>
    <x v="6"/>
    <x v="3"/>
    <x v="7"/>
    <s v="Marseille"/>
    <s v="Europe - France - Marseille"/>
    <s v="Small Business"/>
    <x v="0"/>
    <x v="11"/>
    <x v="1"/>
    <x v="16"/>
    <n v="891.08"/>
    <n v="1040.0999999999999"/>
    <n v="1040.0999999999999"/>
    <s v="Medium"/>
    <n v="0.109"/>
    <n v="0.109"/>
    <x v="0"/>
    <n v="28"/>
    <n v="25948.414799999995"/>
    <n v="24950.240000000002"/>
    <n v="998.17479999999341"/>
    <n v="3.8467660074556598E-2"/>
  </r>
  <r>
    <s v="ORD-2025-233883"/>
    <d v="2025-09-08T00:00:00"/>
    <x v="17"/>
    <s v="Q3-2025"/>
    <d v="2025-09-16T00:00:00"/>
    <d v="2025-09-16T00:00:00"/>
    <n v="8"/>
    <n v="8"/>
    <x v="0"/>
    <x v="2"/>
    <x v="1"/>
    <x v="2"/>
    <s v="Osaka"/>
    <s v="Asia - Japan - Osaka"/>
    <s v="Corporate"/>
    <x v="3"/>
    <x v="0"/>
    <x v="3"/>
    <x v="17"/>
    <n v="1225.57"/>
    <n v="2705.57"/>
    <n v="2705.57"/>
    <s v="High"/>
    <n v="0.183"/>
    <n v="0.183"/>
    <x v="0"/>
    <n v="16"/>
    <n v="35367.211040000002"/>
    <n v="19609.12"/>
    <n v="15758.091040000003"/>
    <n v="0.44555650775453404"/>
  </r>
  <r>
    <s v="ORD-2025-843974"/>
    <d v="2025-07-20T00:00:00"/>
    <x v="18"/>
    <s v="Q3-2025"/>
    <d v="2025-08-05T00:00:00"/>
    <d v="2025-08-05T00:00:00"/>
    <n v="16"/>
    <n v="16"/>
    <x v="0"/>
    <x v="4"/>
    <x v="2"/>
    <x v="5"/>
    <s v="Brasília"/>
    <s v="Americas - Brazil - Brasília"/>
    <s v="Enterprise"/>
    <x v="2"/>
    <x v="3"/>
    <x v="6"/>
    <x v="18"/>
    <n v="1068.17"/>
    <n v="2375.37"/>
    <n v="2375.37"/>
    <s v="High"/>
    <n v="0.109"/>
    <n v="0.109"/>
    <x v="0"/>
    <n v="18"/>
    <n v="38096.18406"/>
    <n v="19227.060000000001"/>
    <n v="18869.124059999998"/>
    <n v="0.49530220744108822"/>
  </r>
  <r>
    <s v="ORD-2025-745263"/>
    <d v="2025-05-21T00:00:00"/>
    <x v="9"/>
    <s v="Q2-2025"/>
    <d v="2025-05-19T00:00:00"/>
    <d v="2025-06-01T00:00:00"/>
    <n v="-2"/>
    <n v="11"/>
    <x v="0"/>
    <x v="7"/>
    <x v="3"/>
    <x v="8"/>
    <s v="Birmingham"/>
    <s v="Europe - United Kingdom - Birmingham"/>
    <s v="Enterprise"/>
    <x v="1"/>
    <x v="12"/>
    <x v="4"/>
    <x v="19"/>
    <n v="1015.16"/>
    <n v="2148.14"/>
    <n v="2148.14"/>
    <s v="High"/>
    <n v="3.7999999999999999E-2"/>
    <n v="3.7999999999999999E-2"/>
    <x v="0"/>
    <n v="19"/>
    <n v="39263.702919999996"/>
    <n v="19288.04"/>
    <n v="19975.662919999995"/>
    <n v="0.50875647059322227"/>
  </r>
  <r>
    <s v="ORD-2024-798002"/>
    <d v="2024-07-25T00:00:00"/>
    <x v="19"/>
    <s v="Q3-2024"/>
    <d v="2024-07-24T00:00:00"/>
    <d v="2024-08-05T00:00:00"/>
    <n v="-1"/>
    <n v="11"/>
    <x v="0"/>
    <x v="0"/>
    <x v="0"/>
    <x v="0"/>
    <s v="Mombasa"/>
    <s v="Africa - Kenya - Mombasa"/>
    <s v="Non-Profit"/>
    <x v="4"/>
    <x v="1"/>
    <x v="4"/>
    <x v="20"/>
    <n v="1494.4"/>
    <n v="3661.07"/>
    <n v="3661.07"/>
    <s v="High"/>
    <n v="7.1999999999999995E-2"/>
    <n v="7.1999999999999995E-2"/>
    <x v="0"/>
    <n v="7"/>
    <n v="23782.310720000001"/>
    <n v="10460.800000000001"/>
    <n v="13321.51072"/>
    <n v="0.56014366630897339"/>
  </r>
  <r>
    <s v="ORD-2023-867836"/>
    <d v="2023-05-11T00:00:00"/>
    <x v="20"/>
    <s v="Q2-2023"/>
    <d v="2023-05-28T00:00:00"/>
    <d v="2023-05-28T00:00:00"/>
    <n v="17"/>
    <n v="17"/>
    <x v="0"/>
    <x v="8"/>
    <x v="1"/>
    <x v="9"/>
    <s v="Shenzhen"/>
    <s v="Asia - China - Shenzhen"/>
    <s v="Enterprise"/>
    <x v="2"/>
    <x v="6"/>
    <x v="2"/>
    <x v="21"/>
    <n v="1331.19"/>
    <n v="2903.09"/>
    <n v="2903.09"/>
    <s v="High"/>
    <n v="0.14299999999999999"/>
    <n v="0.14299999999999999"/>
    <x v="0"/>
    <n v="8"/>
    <n v="19903.585040000002"/>
    <n v="10649.52"/>
    <n v="9254.0650400000013"/>
    <n v="0.46494463290920784"/>
  </r>
  <r>
    <s v="ORD-2025-580047"/>
    <d v="2025-06-14T00:00:00"/>
    <x v="21"/>
    <s v="Q2-2025"/>
    <d v="2025-06-29T00:00:00"/>
    <d v="2025-06-29T00:00:00"/>
    <n v="15"/>
    <n v="15"/>
    <x v="0"/>
    <x v="1"/>
    <x v="0"/>
    <x v="1"/>
    <s v="Port Harcourt"/>
    <s v="Africa - Nigeria - Port Harcourt"/>
    <s v="Consumer"/>
    <x v="2"/>
    <x v="12"/>
    <x v="6"/>
    <x v="22"/>
    <n v="730.99"/>
    <n v="1242.8399999999999"/>
    <n v="1242.8399999999999"/>
    <s v="Medium"/>
    <n v="0.12"/>
    <n v="0.12"/>
    <x v="0"/>
    <n v="10"/>
    <n v="10936.992"/>
    <n v="7309.9"/>
    <n v="3627.0920000000006"/>
    <n v="0.33163524303574515"/>
  </r>
  <r>
    <s v="ORD-2024-500109"/>
    <d v="2024-05-18T00:00:00"/>
    <x v="22"/>
    <s v="Q2-2024"/>
    <d v="2024-05-23T00:00:00"/>
    <d v="2024-05-23T00:00:00"/>
    <n v="5"/>
    <n v="5"/>
    <x v="1"/>
    <x v="9"/>
    <x v="2"/>
    <x v="10"/>
    <s v="Chicago"/>
    <s v="Americas - USA - Chicago"/>
    <s v="Enterprise"/>
    <x v="0"/>
    <x v="10"/>
    <x v="4"/>
    <x v="23"/>
    <n v="1274.5899999999999"/>
    <n v="2553.69"/>
    <n v="2553.69"/>
    <s v="High"/>
    <n v="0.01"/>
    <n v="0.01"/>
    <x v="0"/>
    <n v="8"/>
    <n v="20225.2248"/>
    <n v="10196.719999999999"/>
    <n v="10028.504800000001"/>
    <n v="0.49584145042481803"/>
  </r>
  <r>
    <s v="ORD-2023-271836"/>
    <d v="2023-02-07T00:00:00"/>
    <x v="23"/>
    <s v="Q1-2023"/>
    <d v="2023-02-12T00:00:00"/>
    <d v="2023-02-12T00:00:00"/>
    <n v="5"/>
    <n v="5"/>
    <x v="1"/>
    <x v="4"/>
    <x v="2"/>
    <x v="5"/>
    <s v="São Paulo"/>
    <s v="Americas - Brazil - São Paulo"/>
    <s v="Education"/>
    <x v="1"/>
    <x v="13"/>
    <x v="0"/>
    <x v="24"/>
    <n v="948.55"/>
    <n v="2089.16"/>
    <n v="2089.16"/>
    <s v="High"/>
    <n v="7.0000000000000001E-3"/>
    <n v="7.0000000000000001E-3"/>
    <x v="0"/>
    <n v="12"/>
    <n v="24894.430559999997"/>
    <n v="11382.599999999999"/>
    <n v="13511.830559999999"/>
    <n v="0.54276519912492427"/>
  </r>
  <r>
    <s v="ORD-2024-215294"/>
    <d v="2024-06-30T00:00:00"/>
    <x v="24"/>
    <s v="Q2-2024"/>
    <d v="2024-07-14T00:00:00"/>
    <d v="2024-07-14T00:00:00"/>
    <n v="14"/>
    <n v="14"/>
    <x v="0"/>
    <x v="4"/>
    <x v="2"/>
    <x v="5"/>
    <s v="Brasília"/>
    <s v="Americas - Brazil - Brasília"/>
    <s v="Education"/>
    <x v="0"/>
    <x v="0"/>
    <x v="6"/>
    <x v="25"/>
    <n v="1491.85"/>
    <n v="2583.02"/>
    <n v="2583.02"/>
    <s v="High"/>
    <n v="0.16800000000000001"/>
    <n v="0.16800000000000001"/>
    <x v="0"/>
    <n v="4"/>
    <n v="8596.2905599999995"/>
    <n v="5967.4"/>
    <n v="2628.8905599999998"/>
    <n v="0.30581685689321325"/>
  </r>
  <r>
    <s v="ORD-2024-788105"/>
    <d v="2024-11-30T00:00:00"/>
    <x v="25"/>
    <s v="Q4-2024"/>
    <d v="2024-12-30T00:00:00"/>
    <d v="2024-12-30T00:00:00"/>
    <n v="30"/>
    <n v="30"/>
    <x v="0"/>
    <x v="6"/>
    <x v="3"/>
    <x v="7"/>
    <s v="Marseille"/>
    <s v="Europe - France - Marseille"/>
    <s v="Consumer"/>
    <x v="2"/>
    <x v="9"/>
    <x v="1"/>
    <x v="26"/>
    <n v="117.64"/>
    <n v="175.67"/>
    <n v="175.67"/>
    <s v="Low"/>
    <n v="0"/>
    <n v="0"/>
    <x v="0"/>
    <n v="10"/>
    <n v="1756.6999999999998"/>
    <n v="1176.4000000000001"/>
    <n v="580.29999999999973"/>
    <n v="0.33033528775545046"/>
  </r>
  <r>
    <s v="ORD-2024-855073"/>
    <d v="2024-07-19T00:00:00"/>
    <x v="26"/>
    <s v="Q3-2024"/>
    <d v="2024-07-19T00:00:00"/>
    <d v="2024-07-19T00:00:00"/>
    <n v="0"/>
    <n v="0"/>
    <x v="1"/>
    <x v="0"/>
    <x v="0"/>
    <x v="0"/>
    <s v="Kisumu"/>
    <s v="Africa - Kenya - Kisumu"/>
    <s v="Small Business"/>
    <x v="0"/>
    <x v="8"/>
    <x v="3"/>
    <x v="27"/>
    <n v="857.24"/>
    <n v="758.23"/>
    <n v="758.23"/>
    <s v="Low"/>
    <n v="0.125"/>
    <n v="0.125"/>
    <x v="0"/>
    <n v="6"/>
    <n v="3980.7075"/>
    <n v="5143.4400000000005"/>
    <n v="-1162.7325000000005"/>
    <n v="-0.29209192084572921"/>
  </r>
  <r>
    <s v="ORD-2023-897079"/>
    <d v="2023-04-14T00:00:00"/>
    <x v="27"/>
    <s v="Q2-2023"/>
    <d v="2023-05-14T00:00:00"/>
    <d v="2023-05-14T00:00:00"/>
    <n v="30"/>
    <n v="30"/>
    <x v="0"/>
    <x v="0"/>
    <x v="0"/>
    <x v="0"/>
    <s v="Nakuru"/>
    <s v="Africa - Kenya - Nakuru"/>
    <s v="Consumer"/>
    <x v="2"/>
    <x v="12"/>
    <x v="3"/>
    <x v="28"/>
    <n v="209.25"/>
    <n v="434.8"/>
    <n v="434.8"/>
    <s v="Low"/>
    <n v="0"/>
    <n v="0"/>
    <x v="0"/>
    <n v="9"/>
    <n v="3913.2000000000003"/>
    <n v="1883.25"/>
    <n v="2029.9500000000003"/>
    <n v="0.51874425022999082"/>
  </r>
  <r>
    <s v="ORD-2025-548982"/>
    <d v="2025-04-07T00:00:00"/>
    <x v="28"/>
    <s v="Q2-2025"/>
    <d v="2025-04-11T00:00:00"/>
    <d v="2025-04-11T00:00:00"/>
    <n v="4"/>
    <n v="4"/>
    <x v="1"/>
    <x v="6"/>
    <x v="3"/>
    <x v="7"/>
    <s v="Lyon"/>
    <s v="Europe - France - Lyon"/>
    <s v="Education"/>
    <x v="0"/>
    <x v="6"/>
    <x v="2"/>
    <x v="29"/>
    <n v="754.77"/>
    <n v="1666.18"/>
    <n v="1666.18"/>
    <s v="High"/>
    <n v="0.13900000000000001"/>
    <n v="0.13900000000000001"/>
    <x v="0"/>
    <n v="14"/>
    <n v="20084.133720000002"/>
    <n v="10566.779999999999"/>
    <n v="9517.3537200000028"/>
    <n v="0.47387424584424653"/>
  </r>
  <r>
    <s v="ORD-2024-170313"/>
    <d v="2024-12-27T00:00:00"/>
    <x v="6"/>
    <s v="Q4-2024"/>
    <d v="2025-01-15T00:00:00"/>
    <d v="2025-01-15T00:00:00"/>
    <n v="19"/>
    <n v="19"/>
    <x v="0"/>
    <x v="4"/>
    <x v="1"/>
    <x v="4"/>
    <s v="Delhi"/>
    <s v="Asia - India - Delhi"/>
    <s v="Non-Profit"/>
    <x v="3"/>
    <x v="3"/>
    <x v="0"/>
    <x v="30"/>
    <n v="495.59"/>
    <n v="631.78"/>
    <n v="631.78"/>
    <s v="Low"/>
    <n v="8.6999999999999994E-2"/>
    <n v="8.6999999999999994E-2"/>
    <x v="0"/>
    <n v="17"/>
    <n v="9805.8573800000013"/>
    <n v="8425.0299999999988"/>
    <n v="1380.8273800000024"/>
    <n v="0.14081658813601899"/>
  </r>
  <r>
    <s v="ORD-2023-562894"/>
    <d v="2023-02-23T00:00:00"/>
    <x v="29"/>
    <s v="Q1-2023"/>
    <d v="2023-03-25T00:00:00"/>
    <d v="2023-03-25T00:00:00"/>
    <n v="30"/>
    <n v="30"/>
    <x v="0"/>
    <x v="3"/>
    <x v="2"/>
    <x v="3"/>
    <s v="Montreal"/>
    <s v="Americas - Canada - Montreal"/>
    <s v="Enterprise"/>
    <x v="1"/>
    <x v="14"/>
    <x v="3"/>
    <x v="31"/>
    <n v="1242.6600000000001"/>
    <n v="1794.07"/>
    <n v="1794.07"/>
    <s v="High"/>
    <n v="8.8999999999999996E-2"/>
    <n v="8.8999999999999996E-2"/>
    <x v="0"/>
    <n v="16"/>
    <n v="26150.364320000001"/>
    <n v="19882.560000000001"/>
    <n v="6267.8043199999993"/>
    <n v="0.23968325042440553"/>
  </r>
  <r>
    <s v="ORD-2025-474710"/>
    <d v="2025-07-24T00:00:00"/>
    <x v="30"/>
    <s v="Q3-2025"/>
    <d v="2025-08-06T00:00:00"/>
    <d v="2025-08-06T00:00:00"/>
    <n v="13"/>
    <n v="13"/>
    <x v="0"/>
    <x v="10"/>
    <x v="0"/>
    <x v="11"/>
    <s v="Johannesburg"/>
    <s v="Africa - South Africa - Johannesburg"/>
    <s v="Education"/>
    <x v="2"/>
    <x v="14"/>
    <x v="2"/>
    <x v="32"/>
    <n v="1463.9"/>
    <n v="2633.02"/>
    <n v="2633.02"/>
    <s v="High"/>
    <n v="8.4000000000000005E-2"/>
    <n v="8.4000000000000005E-2"/>
    <x v="0"/>
    <n v="4"/>
    <n v="9647.3852800000004"/>
    <n v="5855.6"/>
    <n v="3791.7852800000001"/>
    <n v="0.39303761277791527"/>
  </r>
  <r>
    <s v="ORD-2024-629525"/>
    <d v="2024-04-18T00:00:00"/>
    <x v="31"/>
    <s v="Q2-2024"/>
    <d v="2024-05-08T00:00:00"/>
    <d v="2024-05-08T00:00:00"/>
    <n v="20"/>
    <n v="20"/>
    <x v="0"/>
    <x v="7"/>
    <x v="3"/>
    <x v="8"/>
    <s v="London"/>
    <s v="Europe - United Kingdom - London"/>
    <s v="Non-Profit"/>
    <x v="4"/>
    <x v="14"/>
    <x v="4"/>
    <x v="33"/>
    <n v="645.33000000000004"/>
    <n v="1321.85"/>
    <n v="1321.85"/>
    <s v="Medium"/>
    <n v="0"/>
    <n v="0"/>
    <x v="0"/>
    <n v="10"/>
    <n v="13218.5"/>
    <n v="6453.3"/>
    <n v="6765.2"/>
    <n v="0.51179785906116426"/>
  </r>
  <r>
    <s v="ORD-2024-167215"/>
    <d v="2024-08-23T00:00:00"/>
    <x v="32"/>
    <s v="Q3-2024"/>
    <d v="2024-08-21T00:00:00"/>
    <d v="2024-09-05T00:00:00"/>
    <n v="-2"/>
    <n v="13"/>
    <x v="0"/>
    <x v="10"/>
    <x v="0"/>
    <x v="11"/>
    <s v="Johannesburg"/>
    <s v="Africa - South Africa - Johannesburg"/>
    <s v="Education"/>
    <x v="0"/>
    <x v="6"/>
    <x v="0"/>
    <x v="34"/>
    <n v="1432.52"/>
    <n v="3036.87"/>
    <n v="3036.87"/>
    <s v="High"/>
    <n v="0"/>
    <n v="0"/>
    <x v="0"/>
    <n v="9"/>
    <n v="27331.829999999998"/>
    <n v="12892.68"/>
    <n v="14439.149999999998"/>
    <n v="0.52829064135112791"/>
  </r>
  <r>
    <s v="ORD-2023-864121"/>
    <d v="2023-03-27T00:00:00"/>
    <x v="33"/>
    <s v="Q1-2023"/>
    <d v="2023-04-22T00:00:00"/>
    <d v="2023-04-22T00:00:00"/>
    <n v="26"/>
    <n v="26"/>
    <x v="0"/>
    <x v="4"/>
    <x v="1"/>
    <x v="4"/>
    <s v="Delhi"/>
    <s v="Asia - India - Delhi"/>
    <s v="Non-Profit"/>
    <x v="2"/>
    <x v="1"/>
    <x v="1"/>
    <x v="35"/>
    <n v="178.53"/>
    <n v="199.37"/>
    <n v="199.37"/>
    <s v="Low"/>
    <n v="0.10100000000000001"/>
    <n v="0.10100000000000001"/>
    <x v="0"/>
    <n v="37"/>
    <n v="6631.6443100000006"/>
    <n v="6605.61"/>
    <n v="26.034310000000914"/>
    <n v="3.9257699573457538E-3"/>
  </r>
  <r>
    <s v="ORD-2024-692673"/>
    <d v="2024-03-07T00:00:00"/>
    <x v="34"/>
    <s v="Q1-2024"/>
    <d v="2024-03-25T00:00:00"/>
    <d v="2024-03-25T00:00:00"/>
    <n v="18"/>
    <n v="18"/>
    <x v="0"/>
    <x v="5"/>
    <x v="3"/>
    <x v="6"/>
    <s v="Munich"/>
    <s v="Europe - Germany - Munich"/>
    <s v="Corporate"/>
    <x v="1"/>
    <x v="5"/>
    <x v="0"/>
    <x v="36"/>
    <n v="712.84"/>
    <n v="927.51"/>
    <n v="927.51"/>
    <s v="Medium"/>
    <n v="0.24299999999999999"/>
    <n v="0.24299999999999999"/>
    <x v="1"/>
    <n v="27"/>
    <n v="18957.37689"/>
    <n v="19246.68"/>
    <n v="-289.30311000000074"/>
    <n v="-1.5260714163076427E-2"/>
  </r>
  <r>
    <s v="ORD-2025-718992"/>
    <d v="2025-06-24T00:00:00"/>
    <x v="35"/>
    <s v="Q2-2025"/>
    <d v="2025-07-10T00:00:00"/>
    <d v="2025-07-10T00:00:00"/>
    <n v="16"/>
    <n v="16"/>
    <x v="0"/>
    <x v="8"/>
    <x v="1"/>
    <x v="9"/>
    <s v="Shanghai"/>
    <s v="Asia - China - Shanghai"/>
    <s v="Enterprise"/>
    <x v="4"/>
    <x v="13"/>
    <x v="0"/>
    <x v="37"/>
    <n v="757.19"/>
    <n v="1735.41"/>
    <n v="1735.41"/>
    <s v="High"/>
    <n v="0.13600000000000001"/>
    <n v="0.13600000000000001"/>
    <x v="0"/>
    <n v="8"/>
    <n v="11995.153920000001"/>
    <n v="6057.52"/>
    <n v="5937.6339200000002"/>
    <n v="0.4950027285685718"/>
  </r>
  <r>
    <s v="ORD-2024-599522"/>
    <d v="2024-04-19T00:00:00"/>
    <x v="36"/>
    <s v="Q2-2024"/>
    <d v="2024-05-06T00:00:00"/>
    <d v="2024-05-06T00:00:00"/>
    <n v="17"/>
    <n v="17"/>
    <x v="0"/>
    <x v="1"/>
    <x v="0"/>
    <x v="1"/>
    <s v="Port Harcourt"/>
    <s v="Africa - Nigeria - Port Harcourt"/>
    <s v="Non-Profit"/>
    <x v="1"/>
    <x v="8"/>
    <x v="1"/>
    <x v="38"/>
    <n v="865.33"/>
    <n v="1395.64"/>
    <n v="1395.64"/>
    <s v="Medium"/>
    <n v="0.17499999999999999"/>
    <n v="0.17499999999999999"/>
    <x v="0"/>
    <n v="13"/>
    <n v="14968.239"/>
    <n v="11249.29"/>
    <n v="3718.9489999999987"/>
    <n v="0.24845601409758347"/>
  </r>
  <r>
    <s v="ORD-2023-651638"/>
    <d v="2023-06-17T00:00:00"/>
    <x v="37"/>
    <s v="Q2-2023"/>
    <d v="2023-06-24T00:00:00"/>
    <d v="2023-06-24T00:00:00"/>
    <n v="7"/>
    <n v="7"/>
    <x v="1"/>
    <x v="9"/>
    <x v="2"/>
    <x v="10"/>
    <s v="San Francisco"/>
    <s v="Americas - USA - San Francisco"/>
    <s v="Corporate"/>
    <x v="0"/>
    <x v="2"/>
    <x v="1"/>
    <x v="39"/>
    <n v="313.99"/>
    <n v="454.42"/>
    <n v="454.42"/>
    <s v="Low"/>
    <n v="0.129"/>
    <n v="0.129"/>
    <x v="0"/>
    <n v="9"/>
    <n v="3562.1983800000003"/>
    <n v="2825.91"/>
    <n v="736.28838000000042"/>
    <n v="0.20669493988147858"/>
  </r>
  <r>
    <s v="ORD-2024-635626"/>
    <d v="2024-08-27T00:00:00"/>
    <x v="38"/>
    <s v="Q3-2024"/>
    <d v="2024-09-19T00:00:00"/>
    <d v="2024-09-19T00:00:00"/>
    <n v="23"/>
    <n v="23"/>
    <x v="0"/>
    <x v="5"/>
    <x v="3"/>
    <x v="6"/>
    <s v="Berlin"/>
    <s v="Europe - Germany - Berlin"/>
    <s v="Small Business"/>
    <x v="4"/>
    <x v="14"/>
    <x v="5"/>
    <x v="40"/>
    <n v="1024.01"/>
    <n v="1580.97"/>
    <n v="1580.97"/>
    <s v="Medium"/>
    <n v="3.6999999999999998E-2"/>
    <n v="3.6999999999999998E-2"/>
    <x v="0"/>
    <n v="27"/>
    <n v="41106.800970000004"/>
    <n v="27648.27"/>
    <n v="13458.530970000003"/>
    <n v="0.3274039976942531"/>
  </r>
  <r>
    <s v="ORD-2024-296582"/>
    <d v="2024-01-11T00:00:00"/>
    <x v="39"/>
    <s v="Q1-2024"/>
    <d v="2024-02-02T00:00:00"/>
    <d v="2024-02-02T00:00:00"/>
    <n v="22"/>
    <n v="22"/>
    <x v="0"/>
    <x v="10"/>
    <x v="0"/>
    <x v="11"/>
    <s v="Durban"/>
    <s v="Africa - South Africa - Durban"/>
    <s v="Consumer"/>
    <x v="1"/>
    <x v="11"/>
    <x v="2"/>
    <x v="41"/>
    <n v="1206.2"/>
    <n v="1759.79"/>
    <n v="1759.79"/>
    <s v="High"/>
    <n v="0"/>
    <n v="0"/>
    <x v="0"/>
    <n v="6"/>
    <n v="10558.74"/>
    <n v="7237.2000000000007"/>
    <n v="3321.5399999999991"/>
    <n v="0.31457730751964713"/>
  </r>
  <r>
    <s v="ORD-2024-998320"/>
    <d v="2024-10-25T00:00:00"/>
    <x v="40"/>
    <s v="Q4-2024"/>
    <d v="2024-11-14T00:00:00"/>
    <d v="2024-11-14T00:00:00"/>
    <n v="20"/>
    <n v="20"/>
    <x v="0"/>
    <x v="0"/>
    <x v="0"/>
    <x v="0"/>
    <s v="Mombasa"/>
    <s v="Africa - Kenya - Mombasa"/>
    <s v="Corporate"/>
    <x v="4"/>
    <x v="10"/>
    <x v="1"/>
    <x v="42"/>
    <n v="1396.48"/>
    <n v="3204.5"/>
    <n v="3204.5"/>
    <s v="High"/>
    <n v="0.318"/>
    <n v="0.11861439999999995"/>
    <x v="0"/>
    <n v="14"/>
    <n v="39541.602172799998"/>
    <n v="19550.72"/>
    <n v="19990.882172799997"/>
    <n v="0.50556581105232468"/>
  </r>
  <r>
    <s v="ORD-2025-820255"/>
    <d v="2025-05-29T00:00:00"/>
    <x v="41"/>
    <s v="Q2-2025"/>
    <d v="2025-06-20T00:00:00"/>
    <d v="2025-06-20T00:00:00"/>
    <n v="22"/>
    <n v="22"/>
    <x v="0"/>
    <x v="5"/>
    <x v="3"/>
    <x v="6"/>
    <s v="Berlin"/>
    <s v="Europe - Germany - Berlin"/>
    <s v="Corporate"/>
    <x v="4"/>
    <x v="8"/>
    <x v="1"/>
    <x v="43"/>
    <n v="483.47"/>
    <n v="1135.43"/>
    <n v="1135.43"/>
    <s v="Medium"/>
    <n v="0.14599999999999999"/>
    <n v="0.14599999999999999"/>
    <x v="0"/>
    <n v="11"/>
    <n v="10666.229420000001"/>
    <n v="5318.17"/>
    <n v="5348.0594200000014"/>
    <n v="0.50140112399719983"/>
  </r>
  <r>
    <s v="ORD-2024-389336"/>
    <d v="2024-05-20T00:00:00"/>
    <x v="42"/>
    <s v="Q2-2024"/>
    <d v="2024-06-02T00:00:00"/>
    <d v="2024-06-02T00:00:00"/>
    <n v="13"/>
    <n v="13"/>
    <x v="0"/>
    <x v="3"/>
    <x v="2"/>
    <x v="3"/>
    <s v="Vancouver"/>
    <s v="Americas - Canada - Vancouver"/>
    <s v="Enterprise"/>
    <x v="2"/>
    <x v="11"/>
    <x v="0"/>
    <x v="44"/>
    <n v="675.43"/>
    <n v="996.36"/>
    <n v="996.36"/>
    <s v="Medium"/>
    <n v="0.182"/>
    <n v="0.182"/>
    <x v="0"/>
    <n v="22"/>
    <n v="17930.494560000003"/>
    <n v="14859.46"/>
    <n v="3071.0345600000037"/>
    <n v="0.17127439233332575"/>
  </r>
  <r>
    <s v="ORD-2023-308124"/>
    <d v="2023-04-19T00:00:00"/>
    <x v="43"/>
    <s v="Q2-2023"/>
    <d v="2023-04-30T00:00:00"/>
    <d v="2023-04-30T00:00:00"/>
    <n v="11"/>
    <n v="11"/>
    <x v="0"/>
    <x v="4"/>
    <x v="1"/>
    <x v="4"/>
    <s v="Delhi"/>
    <s v="Asia - India - Delhi"/>
    <s v="Small Business"/>
    <x v="0"/>
    <x v="8"/>
    <x v="2"/>
    <x v="45"/>
    <n v="826.55"/>
    <n v="1397.05"/>
    <n v="1397.05"/>
    <s v="Medium"/>
    <n v="0.16900000000000001"/>
    <n v="0.16900000000000001"/>
    <x v="0"/>
    <n v="28"/>
    <n v="32506.559399999998"/>
    <n v="23143.399999999998"/>
    <n v="9363.1594000000005"/>
    <n v="0.28803907804527601"/>
  </r>
  <r>
    <s v="ORD-2023-128295"/>
    <d v="2023-06-23T00:00:00"/>
    <x v="44"/>
    <s v="Q2-2023"/>
    <d v="2023-07-03T00:00:00"/>
    <d v="2023-07-03T00:00:00"/>
    <n v="10"/>
    <n v="10"/>
    <x v="0"/>
    <x v="1"/>
    <x v="0"/>
    <x v="1"/>
    <s v="Abuja"/>
    <s v="Africa - Nigeria - Abuja"/>
    <s v="Consumer"/>
    <x v="1"/>
    <x v="1"/>
    <x v="1"/>
    <x v="46"/>
    <n v="337.75"/>
    <n v="548.89"/>
    <n v="548.89"/>
    <s v="Low"/>
    <n v="0"/>
    <n v="0"/>
    <x v="0"/>
    <n v="13"/>
    <n v="7135.57"/>
    <n v="4390.75"/>
    <n v="2744.8199999999997"/>
    <n v="0.38466723751571352"/>
  </r>
  <r>
    <s v="ORD-2024-548345"/>
    <d v="2024-05-14T00:00:00"/>
    <x v="45"/>
    <s v="Q2-2024"/>
    <d v="2024-05-28T00:00:00"/>
    <d v="2024-05-28T00:00:00"/>
    <n v="14"/>
    <n v="14"/>
    <x v="0"/>
    <x v="7"/>
    <x v="3"/>
    <x v="8"/>
    <s v="Birmingham"/>
    <s v="Europe - United Kingdom - Birmingham"/>
    <s v="Consumer"/>
    <x v="0"/>
    <x v="5"/>
    <x v="2"/>
    <x v="47"/>
    <n v="1421.14"/>
    <n v="3524"/>
    <n v="3524"/>
    <s v="High"/>
    <n v="0"/>
    <n v="0"/>
    <x v="0"/>
    <n v="31"/>
    <n v="109244"/>
    <n v="44055.340000000004"/>
    <n v="65188.659999999996"/>
    <n v="0.59672531214528945"/>
  </r>
  <r>
    <s v="ORD-2024-966651"/>
    <d v="2024-10-14T00:00:00"/>
    <x v="46"/>
    <s v="Q4-2024"/>
    <d v="2024-11-08T00:00:00"/>
    <d v="2024-11-08T00:00:00"/>
    <n v="25"/>
    <n v="25"/>
    <x v="0"/>
    <x v="1"/>
    <x v="0"/>
    <x v="1"/>
    <s v="Lagos"/>
    <s v="Africa - Nigeria - Lagos"/>
    <s v="Enterprise"/>
    <x v="1"/>
    <x v="7"/>
    <x v="2"/>
    <x v="48"/>
    <n v="859.35"/>
    <n v="1825.61"/>
    <n v="1825.61"/>
    <s v="High"/>
    <n v="0.187"/>
    <n v="0.187"/>
    <x v="0"/>
    <n v="24"/>
    <n v="35621.302319999995"/>
    <n v="20624.400000000001"/>
    <n v="14996.902319999994"/>
    <n v="0.42100937762681989"/>
  </r>
  <r>
    <s v="ORD-2023-292714"/>
    <d v="2023-07-10T00:00:00"/>
    <x v="47"/>
    <s v="Q3-2023"/>
    <d v="2023-08-01T00:00:00"/>
    <d v="2023-08-01T00:00:00"/>
    <n v="22"/>
    <n v="22"/>
    <x v="0"/>
    <x v="6"/>
    <x v="3"/>
    <x v="7"/>
    <s v="Marseille"/>
    <s v="Europe - France - Marseille"/>
    <s v="Consumer"/>
    <x v="2"/>
    <x v="5"/>
    <x v="1"/>
    <x v="49"/>
    <n v="1303.56"/>
    <n v="1791.37"/>
    <n v="1791.37"/>
    <s v="High"/>
    <n v="0.126"/>
    <n v="0.126"/>
    <x v="0"/>
    <n v="22"/>
    <n v="34444.462359999998"/>
    <n v="28678.32"/>
    <n v="5766.142359999998"/>
    <n v="0.16740404596055358"/>
  </r>
  <r>
    <s v="ORD-2024-468501"/>
    <d v="2024-11-06T00:00:00"/>
    <x v="48"/>
    <s v="Q4-2024"/>
    <d v="2024-11-22T00:00:00"/>
    <d v="2024-11-22T00:00:00"/>
    <n v="16"/>
    <n v="16"/>
    <x v="0"/>
    <x v="3"/>
    <x v="2"/>
    <x v="3"/>
    <s v="Toronto"/>
    <s v="Americas - Canada - Toronto"/>
    <s v="Non-Profit"/>
    <x v="3"/>
    <x v="14"/>
    <x v="6"/>
    <x v="50"/>
    <n v="1454.11"/>
    <n v="2629.75"/>
    <n v="2629.75"/>
    <s v="High"/>
    <n v="0.29199999999999998"/>
    <n v="0.29199999999999998"/>
    <x v="1"/>
    <n v="8"/>
    <n v="14894.903999999999"/>
    <n v="11632.88"/>
    <n v="3262.0239999999994"/>
    <n v="0.21900268709351867"/>
  </r>
  <r>
    <s v="ORD-2024-260775"/>
    <d v="2024-10-17T00:00:00"/>
    <x v="49"/>
    <s v="Q4-2024"/>
    <d v="2024-11-06T00:00:00"/>
    <d v="2024-11-06T00:00:00"/>
    <n v="20"/>
    <n v="20"/>
    <x v="0"/>
    <x v="4"/>
    <x v="1"/>
    <x v="4"/>
    <s v="Bengaluru"/>
    <s v="Asia - India - Bengaluru"/>
    <s v="Enterprise"/>
    <x v="3"/>
    <x v="7"/>
    <x v="5"/>
    <x v="51"/>
    <n v="72.94"/>
    <n v="106.3"/>
    <n v="106.3"/>
    <s v="Low"/>
    <n v="0.29499999999999998"/>
    <n v="0.29499999999999998"/>
    <x v="1"/>
    <n v="8"/>
    <n v="599.53200000000004"/>
    <n v="583.52"/>
    <n v="16.012000000000057"/>
    <n v="2.6707498515508857E-2"/>
  </r>
  <r>
    <s v="ORD-2023-419187"/>
    <d v="2023-03-31T00:00:00"/>
    <x v="50"/>
    <s v="Q1-2023"/>
    <d v="2023-04-05T00:00:00"/>
    <d v="2023-04-05T00:00:00"/>
    <n v="5"/>
    <n v="5"/>
    <x v="1"/>
    <x v="0"/>
    <x v="0"/>
    <x v="0"/>
    <s v="Nakuru"/>
    <s v="Africa - Kenya - Nakuru"/>
    <s v="Education"/>
    <x v="2"/>
    <x v="5"/>
    <x v="4"/>
    <x v="52"/>
    <n v="533.26"/>
    <n v="385.72"/>
    <n v="385.72"/>
    <s v="Low"/>
    <n v="0"/>
    <n v="0"/>
    <x v="0"/>
    <n v="15"/>
    <n v="5785.8"/>
    <n v="7998.9"/>
    <n v="-2213.0999999999995"/>
    <n v="-0.38250544436378708"/>
  </r>
  <r>
    <s v="ORD-2025-578007"/>
    <d v="2025-01-21T00:00:00"/>
    <x v="51"/>
    <s v="Q1-2025"/>
    <d v="2025-02-16T00:00:00"/>
    <d v="2025-02-16T00:00:00"/>
    <n v="26"/>
    <n v="26"/>
    <x v="0"/>
    <x v="6"/>
    <x v="3"/>
    <x v="7"/>
    <s v="Lyon"/>
    <s v="Europe - France - Lyon"/>
    <s v="Corporate"/>
    <x v="3"/>
    <x v="7"/>
    <x v="4"/>
    <x v="53"/>
    <n v="204.11"/>
    <n v="236.87"/>
    <n v="236.87"/>
    <s v="Low"/>
    <n v="0.182"/>
    <n v="0.182"/>
    <x v="0"/>
    <n v="13"/>
    <n v="2518.8755800000004"/>
    <n v="2653.4300000000003"/>
    <n v="-134.55441999999994"/>
    <n v="-5.3418446337075494E-2"/>
  </r>
  <r>
    <s v="ORD-2023-235230"/>
    <d v="2023-08-30T00:00:00"/>
    <x v="52"/>
    <s v="Q3-2023"/>
    <d v="2023-09-01T00:00:00"/>
    <d v="2023-09-01T00:00:00"/>
    <n v="2"/>
    <n v="2"/>
    <x v="1"/>
    <x v="5"/>
    <x v="3"/>
    <x v="6"/>
    <s v="Munich"/>
    <s v="Europe - Germany - Munich"/>
    <s v="Corporate"/>
    <x v="4"/>
    <x v="13"/>
    <x v="2"/>
    <x v="54"/>
    <n v="44.42"/>
    <n v="41.9"/>
    <n v="41.9"/>
    <s v="Low"/>
    <n v="0.14399999999999999"/>
    <n v="0.14399999999999999"/>
    <x v="0"/>
    <n v="6"/>
    <n v="215.19839999999996"/>
    <n v="266.52"/>
    <n v="-51.321600000000018"/>
    <n v="-0.23848504449847224"/>
  </r>
  <r>
    <s v="ORD-2025-765220"/>
    <d v="2025-04-06T00:00:00"/>
    <x v="53"/>
    <s v="Q2-2025"/>
    <d v="2025-04-30T00:00:00"/>
    <d v="2025-04-30T00:00:00"/>
    <n v="24"/>
    <n v="24"/>
    <x v="0"/>
    <x v="4"/>
    <x v="2"/>
    <x v="5"/>
    <s v="Brasília"/>
    <s v="Americas - Brazil - Brasília"/>
    <s v="Education"/>
    <x v="1"/>
    <x v="11"/>
    <x v="5"/>
    <x v="55"/>
    <n v="855.78"/>
    <n v="977.38"/>
    <n v="977.38"/>
    <s v="Medium"/>
    <n v="0.14699999999999999"/>
    <n v="0.14699999999999999"/>
    <x v="0"/>
    <n v="38"/>
    <n v="31680.795320000001"/>
    <n v="32519.64"/>
    <n v="-838.84467999999833"/>
    <n v="-2.6478018355506307E-2"/>
  </r>
  <r>
    <s v="ORD-2025-931538"/>
    <d v="2025-02-09T00:00:00"/>
    <x v="54"/>
    <s v="Q1-2025"/>
    <d v="2025-03-01T00:00:00"/>
    <d v="2025-03-01T00:00:00"/>
    <n v="20"/>
    <n v="20"/>
    <x v="0"/>
    <x v="4"/>
    <x v="2"/>
    <x v="5"/>
    <s v="São Paulo"/>
    <s v="Americas - Brazil - São Paulo"/>
    <s v="Corporate"/>
    <x v="3"/>
    <x v="5"/>
    <x v="4"/>
    <x v="56"/>
    <n v="1154.6400000000001"/>
    <n v="2794.13"/>
    <n v="2794.13"/>
    <s v="High"/>
    <n v="3.5000000000000003E-2"/>
    <n v="3.5000000000000003E-2"/>
    <x v="0"/>
    <n v="11"/>
    <n v="29659.68995"/>
    <n v="12701.04"/>
    <n v="16958.649949999999"/>
    <n v="0.57177435025749479"/>
  </r>
  <r>
    <s v="ORD-2024-289089"/>
    <d v="2024-12-17T00:00:00"/>
    <x v="55"/>
    <s v="Q4-2024"/>
    <d v="2024-12-18T00:00:00"/>
    <d v="2024-12-18T00:00:00"/>
    <n v="1"/>
    <n v="1"/>
    <x v="1"/>
    <x v="5"/>
    <x v="3"/>
    <x v="6"/>
    <s v="Munich"/>
    <s v="Europe - Germany - Munich"/>
    <s v="Education"/>
    <x v="0"/>
    <x v="4"/>
    <x v="6"/>
    <x v="57"/>
    <n v="346.82"/>
    <n v="701.95"/>
    <n v="701.95"/>
    <s v="Low"/>
    <n v="0.14699999999999999"/>
    <n v="0.14699999999999999"/>
    <x v="0"/>
    <n v="8"/>
    <n v="4790.1068000000005"/>
    <n v="2774.56"/>
    <n v="2015.5468000000005"/>
    <n v="0.42077283120284509"/>
  </r>
  <r>
    <s v="ORD-2025-639542"/>
    <d v="2025-06-09T00:00:00"/>
    <x v="56"/>
    <s v="Q2-2025"/>
    <d v="2025-06-18T00:00:00"/>
    <d v="2025-06-18T00:00:00"/>
    <n v="9"/>
    <n v="9"/>
    <x v="0"/>
    <x v="6"/>
    <x v="3"/>
    <x v="7"/>
    <s v="Marseille"/>
    <s v="Europe - France - Marseille"/>
    <s v="Small Business"/>
    <x v="2"/>
    <x v="10"/>
    <x v="6"/>
    <x v="58"/>
    <n v="1225.5"/>
    <n v="-5.27"/>
    <n v="5.27"/>
    <s v="Low"/>
    <n v="7.4999999999999997E-2"/>
    <n v="7.4999999999999997E-2"/>
    <x v="0"/>
    <n v="56"/>
    <n v="-272.98599999999999"/>
    <n v="68628"/>
    <n v="-68900.986000000004"/>
    <n v="252.39750756449052"/>
  </r>
  <r>
    <s v="ORD-2025-762301"/>
    <d v="2025-05-02T00:00:00"/>
    <x v="57"/>
    <s v="Q2-2025"/>
    <d v="2025-05-13T00:00:00"/>
    <d v="2025-05-13T00:00:00"/>
    <n v="11"/>
    <n v="11"/>
    <x v="0"/>
    <x v="0"/>
    <x v="0"/>
    <x v="0"/>
    <s v="Nakuru"/>
    <s v="Africa - Kenya - Nakuru"/>
    <s v="Small Business"/>
    <x v="1"/>
    <x v="8"/>
    <x v="6"/>
    <x v="59"/>
    <n v="1057.5999999999999"/>
    <n v="1437.06"/>
    <n v="1437.06"/>
    <s v="Medium"/>
    <n v="0.20499999999999999"/>
    <n v="0.20499999999999999"/>
    <x v="1"/>
    <n v="4"/>
    <n v="4569.8508000000002"/>
    <n v="4230.3999999999996"/>
    <n v="339.45080000000053"/>
    <n v="7.4280499485891424E-2"/>
  </r>
  <r>
    <s v="ORD-2024-906395"/>
    <d v="2024-03-10T00:00:00"/>
    <x v="58"/>
    <s v="Q1-2024"/>
    <d v="2024-04-09T00:00:00"/>
    <d v="2024-04-09T00:00:00"/>
    <n v="30"/>
    <n v="30"/>
    <x v="0"/>
    <x v="6"/>
    <x v="3"/>
    <x v="7"/>
    <s v="Lyon"/>
    <s v="Europe - France - Lyon"/>
    <s v="Corporate"/>
    <x v="4"/>
    <x v="2"/>
    <x v="0"/>
    <x v="60"/>
    <n v="1176.56"/>
    <n v="1911.89"/>
    <n v="1911.89"/>
    <s v="High"/>
    <n v="0.11899999999999999"/>
    <n v="0.11899999999999999"/>
    <x v="0"/>
    <n v="20"/>
    <n v="33687.501800000005"/>
    <n v="23531.199999999997"/>
    <n v="10156.301800000008"/>
    <n v="0.30148575160892477"/>
  </r>
  <r>
    <s v="ORD-2025-779574"/>
    <d v="2025-09-10T00:00:00"/>
    <x v="59"/>
    <s v="Q3-2025"/>
    <d v="2025-09-12T00:00:00"/>
    <d v="2025-09-12T00:00:00"/>
    <n v="2"/>
    <n v="2"/>
    <x v="1"/>
    <x v="2"/>
    <x v="1"/>
    <x v="2"/>
    <s v="Tokyo"/>
    <s v="Asia - Japan - Tokyo"/>
    <s v="Consumer"/>
    <x v="1"/>
    <x v="7"/>
    <x v="0"/>
    <x v="61"/>
    <n v="1470.15"/>
    <n v="2593.7800000000002"/>
    <n v="2593.7800000000002"/>
    <s v="High"/>
    <n v="0.11"/>
    <n v="0.11"/>
    <x v="0"/>
    <n v="12"/>
    <n v="27701.570400000001"/>
    <n v="17641.800000000003"/>
    <n v="10059.770399999998"/>
    <n v="0.36314801849645306"/>
  </r>
  <r>
    <s v="ORD-2025-526650"/>
    <d v="2025-04-27T00:00:00"/>
    <x v="60"/>
    <s v="Q2-2025"/>
    <d v="2025-05-25T00:00:00"/>
    <d v="2025-05-25T00:00:00"/>
    <n v="28"/>
    <n v="28"/>
    <x v="0"/>
    <x v="6"/>
    <x v="3"/>
    <x v="7"/>
    <s v="Paris"/>
    <s v="Europe - France - Paris"/>
    <s v="Small Business"/>
    <x v="2"/>
    <x v="2"/>
    <x v="3"/>
    <x v="62"/>
    <n v="603.45000000000005"/>
    <n v="1244.08"/>
    <n v="1244.08"/>
    <s v="Medium"/>
    <n v="0.2"/>
    <n v="0.2"/>
    <x v="0"/>
    <n v="11"/>
    <n v="10947.904"/>
    <n v="6637.9500000000007"/>
    <n v="4309.9539999999997"/>
    <n v="0.39367846119220623"/>
  </r>
  <r>
    <s v="ORD-2024-247979"/>
    <d v="2024-11-02T00:00:00"/>
    <x v="61"/>
    <s v="Q4-2024"/>
    <d v="2024-11-18T00:00:00"/>
    <d v="2024-11-18T00:00:00"/>
    <n v="16"/>
    <n v="16"/>
    <x v="0"/>
    <x v="4"/>
    <x v="1"/>
    <x v="4"/>
    <s v="Mumbai"/>
    <s v="Asia - India - Mumbai"/>
    <s v="Small Business"/>
    <x v="3"/>
    <x v="7"/>
    <x v="5"/>
    <x v="63"/>
    <n v="1233.58"/>
    <n v="1912.51"/>
    <n v="1912.51"/>
    <s v="High"/>
    <n v="0.255"/>
    <n v="0.255"/>
    <x v="1"/>
    <n v="51"/>
    <n v="72665.817450000002"/>
    <n v="62912.579999999994"/>
    <n v="9753.2374500000078"/>
    <n v="0.134220432553601"/>
  </r>
  <r>
    <s v="ORD-2023-480975"/>
    <d v="2023-02-15T00:00:00"/>
    <x v="62"/>
    <s v="Q1-2023"/>
    <d v="2023-02-26T00:00:00"/>
    <d v="2023-02-26T00:00:00"/>
    <n v="11"/>
    <n v="11"/>
    <x v="0"/>
    <x v="10"/>
    <x v="0"/>
    <x v="11"/>
    <s v="Johannesburg"/>
    <s v="Africa - South Africa - Johannesburg"/>
    <s v="Non-Profit"/>
    <x v="0"/>
    <x v="11"/>
    <x v="4"/>
    <x v="64"/>
    <n v="498.5"/>
    <n v="755.87"/>
    <n v="755.87"/>
    <s v="Low"/>
    <n v="0.13"/>
    <n v="0.13"/>
    <x v="0"/>
    <n v="40"/>
    <n v="26304.275999999998"/>
    <n v="19940"/>
    <n v="6364.275999999998"/>
    <n v="0.24194834330357537"/>
  </r>
  <r>
    <s v="ORD-2023-239789"/>
    <d v="2023-12-03T00:00:00"/>
    <x v="63"/>
    <s v="Q4-2023"/>
    <d v="2023-12-26T00:00:00"/>
    <d v="2023-12-26T00:00:00"/>
    <n v="23"/>
    <n v="23"/>
    <x v="0"/>
    <x v="4"/>
    <x v="2"/>
    <x v="5"/>
    <s v="Rio de Janeiro"/>
    <s v="Americas - Brazil - Rio de Janeiro"/>
    <s v="Education"/>
    <x v="0"/>
    <x v="7"/>
    <x v="3"/>
    <x v="65"/>
    <n v="1303.1099999999999"/>
    <n v="1145.67"/>
    <n v="1145.67"/>
    <s v="Medium"/>
    <n v="0.184"/>
    <n v="0.184"/>
    <x v="0"/>
    <n v="13"/>
    <n v="12153.267360000002"/>
    <n v="16940.43"/>
    <n v="-4787.1626399999986"/>
    <n v="-0.39389922875851208"/>
  </r>
  <r>
    <s v="ORD-2023-548874"/>
    <d v="2023-03-19T00:00:00"/>
    <x v="64"/>
    <s v="Q1-2023"/>
    <d v="2023-04-09T00:00:00"/>
    <d v="2023-04-09T00:00:00"/>
    <n v="21"/>
    <n v="21"/>
    <x v="0"/>
    <x v="7"/>
    <x v="3"/>
    <x v="8"/>
    <s v="Manchester"/>
    <s v="Europe - United Kingdom - Manchester"/>
    <s v="Consumer"/>
    <x v="0"/>
    <x v="4"/>
    <x v="6"/>
    <x v="66"/>
    <n v="1082.17"/>
    <n v="1234.0999999999999"/>
    <n v="1234.0999999999999"/>
    <s v="Medium"/>
    <n v="0.189"/>
    <n v="0.189"/>
    <x v="0"/>
    <n v="16"/>
    <n v="16013.681599999998"/>
    <n v="17314.72"/>
    <n v="-1301.0384000000031"/>
    <n v="-8.124542703534228E-2"/>
  </r>
  <r>
    <s v="ORD-2024-347736"/>
    <d v="2024-05-22T00:00:00"/>
    <x v="65"/>
    <s v="Q2-2024"/>
    <d v="2024-06-06T00:00:00"/>
    <d v="2024-06-06T00:00:00"/>
    <n v="15"/>
    <n v="15"/>
    <x v="0"/>
    <x v="2"/>
    <x v="1"/>
    <x v="2"/>
    <s v="Nagoya"/>
    <s v="Asia - Japan - Nagoya"/>
    <s v="Corporate"/>
    <x v="3"/>
    <x v="0"/>
    <x v="5"/>
    <x v="67"/>
    <n v="673.88"/>
    <n v="1228.01"/>
    <n v="1228.01"/>
    <s v="Medium"/>
    <n v="0.105"/>
    <n v="0.105"/>
    <x v="0"/>
    <n v="13"/>
    <n v="14287.896349999999"/>
    <n v="8760.44"/>
    <n v="5527.4563499999986"/>
    <n v="0.38686285332689996"/>
  </r>
  <r>
    <s v="ORD-2023-749324"/>
    <d v="2023-08-19T00:00:00"/>
    <x v="66"/>
    <s v="Q3-2023"/>
    <d v="2023-09-07T00:00:00"/>
    <d v="2023-09-07T00:00:00"/>
    <n v="19"/>
    <n v="19"/>
    <x v="0"/>
    <x v="10"/>
    <x v="0"/>
    <x v="11"/>
    <s v="Johannesburg"/>
    <s v="Africa - South Africa - Johannesburg"/>
    <s v="Enterprise"/>
    <x v="0"/>
    <x v="14"/>
    <x v="5"/>
    <x v="68"/>
    <n v="494.61"/>
    <n v="605.23"/>
    <n v="605.23"/>
    <s v="Low"/>
    <n v="0.20399999999999999"/>
    <n v="0.20399999999999999"/>
    <x v="1"/>
    <n v="18"/>
    <n v="8671.7354400000004"/>
    <n v="8902.98"/>
    <n v="-231.24455999999918"/>
    <n v="-2.6666468505639647E-2"/>
  </r>
  <r>
    <s v="ORD-2023-809913"/>
    <d v="2023-04-21T00:00:00"/>
    <x v="67"/>
    <s v="Q2-2023"/>
    <d v="2023-05-10T00:00:00"/>
    <d v="2023-05-10T00:00:00"/>
    <n v="19"/>
    <n v="19"/>
    <x v="0"/>
    <x v="8"/>
    <x v="1"/>
    <x v="9"/>
    <s v="Shanghai"/>
    <s v="Asia - China - Shanghai"/>
    <s v="Corporate"/>
    <x v="0"/>
    <x v="8"/>
    <x v="0"/>
    <x v="69"/>
    <n v="882.33"/>
    <n v="1880.15"/>
    <n v="1880.15"/>
    <s v="High"/>
    <n v="0.05"/>
    <n v="0.05"/>
    <x v="0"/>
    <n v="5"/>
    <n v="8930.7124999999996"/>
    <n v="4411.6500000000005"/>
    <n v="4519.0624999999991"/>
    <n v="0.50601365792482955"/>
  </r>
  <r>
    <s v="ORD-2024-287210"/>
    <d v="2024-03-18T00:00:00"/>
    <x v="68"/>
    <s v="Q1-2024"/>
    <d v="2024-03-21T00:00:00"/>
    <d v="2024-03-21T00:00:00"/>
    <n v="3"/>
    <n v="3"/>
    <x v="1"/>
    <x v="5"/>
    <x v="3"/>
    <x v="6"/>
    <s v="Munich"/>
    <s v="Europe - Germany - Munich"/>
    <s v="Small Business"/>
    <x v="1"/>
    <x v="12"/>
    <x v="6"/>
    <x v="70"/>
    <n v="910.63"/>
    <n v="1269.4000000000001"/>
    <n v="1269.4000000000001"/>
    <s v="Medium"/>
    <n v="6.8000000000000005E-2"/>
    <n v="6.8000000000000005E-2"/>
    <x v="0"/>
    <n v="9"/>
    <n v="10647.727199999999"/>
    <n v="8195.67"/>
    <n v="2452.0571999999993"/>
    <n v="0.23028925834989455"/>
  </r>
  <r>
    <s v="ORD-2025-640677"/>
    <d v="2025-04-09T00:00:00"/>
    <x v="69"/>
    <s v="Q2-2025"/>
    <d v="2025-05-06T00:00:00"/>
    <d v="2025-05-06T00:00:00"/>
    <n v="27"/>
    <n v="27"/>
    <x v="0"/>
    <x v="4"/>
    <x v="2"/>
    <x v="5"/>
    <s v="Brasília"/>
    <s v="Americas - Brazil - Brasília"/>
    <s v="Enterprise"/>
    <x v="2"/>
    <x v="9"/>
    <x v="4"/>
    <x v="71"/>
    <n v="264.19"/>
    <n v="620.92999999999995"/>
    <n v="620.92999999999995"/>
    <s v="Low"/>
    <n v="0.14199999999999999"/>
    <n v="0.14199999999999999"/>
    <x v="0"/>
    <n v="12"/>
    <n v="6393.0952799999995"/>
    <n v="3170.2799999999997"/>
    <n v="3222.8152799999998"/>
    <n v="0.50410875152794532"/>
  </r>
  <r>
    <s v="ORD-2024-939873"/>
    <d v="2024-04-12T00:00:00"/>
    <x v="70"/>
    <s v="Q2-2024"/>
    <d v="2024-05-07T00:00:00"/>
    <d v="2024-05-07T00:00:00"/>
    <n v="25"/>
    <n v="25"/>
    <x v="0"/>
    <x v="10"/>
    <x v="0"/>
    <x v="11"/>
    <s v="Johannesburg"/>
    <s v="Africa - South Africa - Johannesburg"/>
    <s v="Education"/>
    <x v="3"/>
    <x v="8"/>
    <x v="4"/>
    <x v="72"/>
    <n v="1376.51"/>
    <n v="1455.91"/>
    <n v="1455.91"/>
    <s v="Medium"/>
    <n v="0.185"/>
    <n v="0.185"/>
    <x v="0"/>
    <n v="17"/>
    <n v="20171.63305"/>
    <n v="23400.67"/>
    <n v="-3229.0369499999979"/>
    <n v="-0.1600781127634085"/>
  </r>
  <r>
    <s v="ORD-2024-800947"/>
    <d v="2024-12-15T00:00:00"/>
    <x v="71"/>
    <s v="Q4-2024"/>
    <d v="2024-12-20T00:00:00"/>
    <d v="2024-12-20T00:00:00"/>
    <n v="5"/>
    <n v="5"/>
    <x v="1"/>
    <x v="8"/>
    <x v="1"/>
    <x v="9"/>
    <s v="Shenzhen"/>
    <s v="Asia - China - Shenzhen"/>
    <s v="Small Business"/>
    <x v="4"/>
    <x v="1"/>
    <x v="2"/>
    <x v="73"/>
    <n v="717.55"/>
    <n v="546.42999999999995"/>
    <n v="546.42999999999995"/>
    <s v="Low"/>
    <n v="4.7E-2"/>
    <n v="4.7E-2"/>
    <x v="0"/>
    <n v="18"/>
    <n v="9373.460219999999"/>
    <n v="12915.9"/>
    <n v="-3542.4397800000006"/>
    <n v="-0.37792231437026369"/>
  </r>
  <r>
    <s v="ORD-2023-382272"/>
    <d v="2023-05-20T00:00:00"/>
    <x v="72"/>
    <s v="Q2-2023"/>
    <d v="2023-05-18T00:00:00"/>
    <d v="2023-05-31T00:00:00"/>
    <n v="-2"/>
    <n v="11"/>
    <x v="0"/>
    <x v="10"/>
    <x v="0"/>
    <x v="11"/>
    <s v="Durban"/>
    <s v="Africa - South Africa - Durban"/>
    <s v="Corporate"/>
    <x v="3"/>
    <x v="8"/>
    <x v="0"/>
    <x v="74"/>
    <n v="917.88"/>
    <n v="1347.92"/>
    <n v="1347.92"/>
    <s v="Medium"/>
    <n v="0.34300000000000003"/>
    <n v="0.11861439999999995"/>
    <x v="0"/>
    <n v="5"/>
    <n v="5940.1863897600006"/>
    <n v="4589.3999999999996"/>
    <n v="1350.7863897600009"/>
    <n v="0.22739798065740094"/>
  </r>
  <r>
    <s v="ORD-2023-722117"/>
    <d v="2023-09-18T00:00:00"/>
    <x v="73"/>
    <s v="Q3-2023"/>
    <d v="2023-10-08T00:00:00"/>
    <d v="2023-10-08T00:00:00"/>
    <n v="20"/>
    <n v="20"/>
    <x v="0"/>
    <x v="4"/>
    <x v="1"/>
    <x v="4"/>
    <s v="Delhi"/>
    <s v="Asia - India - Delhi"/>
    <s v="Small Business"/>
    <x v="4"/>
    <x v="5"/>
    <x v="0"/>
    <x v="75"/>
    <n v="825.64"/>
    <n v="1108.43"/>
    <n v="1108.43"/>
    <s v="Medium"/>
    <n v="0.114"/>
    <n v="0.114"/>
    <x v="0"/>
    <n v="7"/>
    <n v="6874.4828600000001"/>
    <n v="5779.48"/>
    <n v="1095.0028600000005"/>
    <n v="0.15928512475773349"/>
  </r>
  <r>
    <s v="ORD-2024-446699"/>
    <d v="2024-08-28T00:00:00"/>
    <x v="74"/>
    <s v="Q3-2024"/>
    <d v="2024-09-25T00:00:00"/>
    <d v="2024-09-25T00:00:00"/>
    <n v="28"/>
    <n v="28"/>
    <x v="0"/>
    <x v="4"/>
    <x v="2"/>
    <x v="5"/>
    <s v="Rio de Janeiro"/>
    <s v="Americas - Brazil - Rio de Janeiro"/>
    <s v="Non-Profit"/>
    <x v="1"/>
    <x v="12"/>
    <x v="6"/>
    <x v="76"/>
    <n v="1394.65"/>
    <n v="3144.1"/>
    <n v="3144.1"/>
    <s v="High"/>
    <n v="0.13400000000000001"/>
    <n v="0.13400000000000001"/>
    <x v="0"/>
    <n v="13"/>
    <n v="35396.277799999996"/>
    <n v="18130.45"/>
    <n v="17265.827799999995"/>
    <n v="0.4877865378263021"/>
  </r>
  <r>
    <s v="ORD-2024-451005"/>
    <d v="2024-06-30T00:00:00"/>
    <x v="24"/>
    <s v="Q2-2024"/>
    <d v="2024-06-28T00:00:00"/>
    <d v="2024-07-04T00:00:00"/>
    <n v="-2"/>
    <n v="4"/>
    <x v="1"/>
    <x v="4"/>
    <x v="2"/>
    <x v="5"/>
    <s v="Rio de Janeiro"/>
    <s v="Americas - Brazil - Rio de Janeiro"/>
    <s v="Small Business"/>
    <x v="4"/>
    <x v="4"/>
    <x v="6"/>
    <x v="77"/>
    <n v="1112.98"/>
    <n v="2095.73"/>
    <n v="2095.73"/>
    <s v="High"/>
    <n v="7.1999999999999995E-2"/>
    <n v="7.1999999999999995E-2"/>
    <x v="0"/>
    <n v="17"/>
    <n v="33062.236480000007"/>
    <n v="18920.66"/>
    <n v="14141.576480000007"/>
    <n v="0.42772594916724777"/>
  </r>
  <r>
    <s v="ORD-2023-290279"/>
    <d v="2023-06-14T00:00:00"/>
    <x v="75"/>
    <s v="Q2-2023"/>
    <d v="2023-06-16T00:00:00"/>
    <d v="2023-06-16T00:00:00"/>
    <n v="2"/>
    <n v="2"/>
    <x v="1"/>
    <x v="7"/>
    <x v="3"/>
    <x v="8"/>
    <s v="Manchester"/>
    <s v="Europe - United Kingdom - Manchester"/>
    <s v="Non-Profit"/>
    <x v="4"/>
    <x v="11"/>
    <x v="0"/>
    <x v="78"/>
    <n v="357.36"/>
    <n v="703.62"/>
    <n v="703.62"/>
    <s v="Low"/>
    <n v="0.25700000000000001"/>
    <n v="0.25700000000000001"/>
    <x v="1"/>
    <n v="20"/>
    <n v="10455.7932"/>
    <n v="7147.2000000000007"/>
    <n v="3308.5931999999993"/>
    <n v="0.31643636563125593"/>
  </r>
  <r>
    <s v="ORD-2024-192263"/>
    <d v="2024-11-21T00:00:00"/>
    <x v="76"/>
    <s v="Q4-2024"/>
    <d v="2024-12-21T00:00:00"/>
    <d v="2024-12-21T00:00:00"/>
    <n v="30"/>
    <n v="30"/>
    <x v="0"/>
    <x v="6"/>
    <x v="3"/>
    <x v="7"/>
    <s v="Marseille"/>
    <s v="Europe - France - Marseille"/>
    <s v="Small Business"/>
    <x v="4"/>
    <x v="2"/>
    <x v="5"/>
    <x v="79"/>
    <n v="1122.68"/>
    <n v="1997.19"/>
    <n v="1997.19"/>
    <s v="High"/>
    <n v="0.186"/>
    <n v="0.186"/>
    <x v="0"/>
    <n v="3"/>
    <n v="4877.1379800000004"/>
    <n v="3368.04"/>
    <n v="1509.0979800000005"/>
    <n v="0.30942285951073306"/>
  </r>
  <r>
    <s v="ORD-2023-159379"/>
    <d v="2023-02-08T00:00:00"/>
    <x v="77"/>
    <s v="Q1-2023"/>
    <d v="2023-02-11T00:00:00"/>
    <d v="2023-02-11T00:00:00"/>
    <n v="3"/>
    <n v="3"/>
    <x v="1"/>
    <x v="10"/>
    <x v="0"/>
    <x v="11"/>
    <s v="Cape Town"/>
    <s v="Africa - South Africa - Cape Town"/>
    <s v="Corporate"/>
    <x v="4"/>
    <x v="12"/>
    <x v="2"/>
    <x v="80"/>
    <n v="1410.05"/>
    <n v="2763.95"/>
    <n v="2763.95"/>
    <s v="High"/>
    <n v="0.161"/>
    <n v="0.161"/>
    <x v="0"/>
    <n v="26"/>
    <n v="60292.805299999993"/>
    <n v="36661.299999999996"/>
    <n v="23631.505299999997"/>
    <n v="0.39194569206750779"/>
  </r>
  <r>
    <s v="ORD-2023-343322"/>
    <d v="2023-08-19T00:00:00"/>
    <x v="66"/>
    <s v="Q3-2023"/>
    <d v="2023-09-12T00:00:00"/>
    <d v="2023-09-12T00:00:00"/>
    <n v="24"/>
    <n v="24"/>
    <x v="0"/>
    <x v="3"/>
    <x v="2"/>
    <x v="3"/>
    <s v="Vancouver"/>
    <s v="Americas - Canada - Vancouver"/>
    <s v="Enterprise"/>
    <x v="0"/>
    <x v="2"/>
    <x v="1"/>
    <x v="81"/>
    <n v="1183.95"/>
    <n v="1503.53"/>
    <n v="1503.53"/>
    <s v="Medium"/>
    <n v="0.24099999999999999"/>
    <n v="0.24099999999999999"/>
    <x v="1"/>
    <n v="16"/>
    <n v="18258.868320000001"/>
    <n v="18943.2"/>
    <n v="-684.33167999999932"/>
    <n v="-3.7479413729623705E-2"/>
  </r>
  <r>
    <s v="ORD-2025-114382"/>
    <d v="2025-05-14T00:00:00"/>
    <x v="78"/>
    <s v="Q2-2025"/>
    <d v="2025-05-24T00:00:00"/>
    <d v="2025-05-24T00:00:00"/>
    <n v="10"/>
    <n v="10"/>
    <x v="0"/>
    <x v="6"/>
    <x v="3"/>
    <x v="7"/>
    <s v="Paris"/>
    <s v="Europe - France - Paris"/>
    <s v="Small Business"/>
    <x v="2"/>
    <x v="11"/>
    <x v="0"/>
    <x v="82"/>
    <n v="170.39"/>
    <n v="388.04"/>
    <n v="388.04"/>
    <s v="Low"/>
    <n v="8.4000000000000005E-2"/>
    <n v="8.4000000000000005E-2"/>
    <x v="0"/>
    <n v="15"/>
    <n v="5331.6696000000002"/>
    <n v="2555.85"/>
    <n v="2775.8196000000003"/>
    <n v="0.52062858508711796"/>
  </r>
  <r>
    <s v="ORD-2025-488349"/>
    <d v="2025-04-23T00:00:00"/>
    <x v="79"/>
    <s v="Q2-2025"/>
    <d v="2025-04-22T00:00:00"/>
    <d v="2025-05-04T00:00:00"/>
    <n v="-1"/>
    <n v="11"/>
    <x v="0"/>
    <x v="9"/>
    <x v="2"/>
    <x v="10"/>
    <s v="San Francisco"/>
    <s v="Americas - USA - San Francisco"/>
    <s v="Non-Profit"/>
    <x v="3"/>
    <x v="14"/>
    <x v="5"/>
    <x v="83"/>
    <n v="23.24"/>
    <n v="44.57"/>
    <n v="44.57"/>
    <s v="Low"/>
    <n v="0.215"/>
    <n v="0.215"/>
    <x v="1"/>
    <n v="15"/>
    <n v="524.81174999999996"/>
    <n v="348.59999999999997"/>
    <n v="176.21174999999999"/>
    <n v="0.33576182316802167"/>
  </r>
  <r>
    <s v="ORD-2025-330203"/>
    <d v="2025-03-25T00:00:00"/>
    <x v="80"/>
    <s v="Q1-2025"/>
    <d v="2025-04-17T00:00:00"/>
    <d v="2025-04-17T00:00:00"/>
    <n v="23"/>
    <n v="23"/>
    <x v="0"/>
    <x v="7"/>
    <x v="3"/>
    <x v="8"/>
    <s v="London"/>
    <s v="Europe - United Kingdom - London"/>
    <s v="Consumer"/>
    <x v="0"/>
    <x v="10"/>
    <x v="2"/>
    <x v="84"/>
    <n v="1421.19"/>
    <n v="1808.26"/>
    <n v="1808.26"/>
    <s v="High"/>
    <n v="0.104"/>
    <n v="0.104"/>
    <x v="0"/>
    <n v="13"/>
    <n v="21062.61248"/>
    <n v="18475.47"/>
    <n v="2587.1424799999986"/>
    <n v="0.12283103449093123"/>
  </r>
  <r>
    <s v="ORD-2023-841426"/>
    <d v="2023-12-22T00:00:00"/>
    <x v="81"/>
    <s v="Q4-2023"/>
    <d v="2023-12-23T00:00:00"/>
    <d v="2023-12-23T00:00:00"/>
    <n v="1"/>
    <n v="1"/>
    <x v="1"/>
    <x v="10"/>
    <x v="0"/>
    <x v="11"/>
    <s v="Cape Town"/>
    <s v="Africa - South Africa - Cape Town"/>
    <s v="Non-Profit"/>
    <x v="2"/>
    <x v="14"/>
    <x v="0"/>
    <x v="85"/>
    <n v="1186.18"/>
    <n v="1285.0899999999999"/>
    <n v="1285.0899999999999"/>
    <s v="Medium"/>
    <n v="7.0000000000000007E-2"/>
    <n v="7.0000000000000007E-2"/>
    <x v="0"/>
    <n v="11"/>
    <n v="13146.470699999998"/>
    <n v="13047.980000000001"/>
    <n v="98.49069999999665"/>
    <n v="7.4917977796121861E-3"/>
  </r>
  <r>
    <s v="ORD-2024-594592"/>
    <d v="2024-04-06T00:00:00"/>
    <x v="82"/>
    <s v="Q2-2024"/>
    <d v="2024-04-25T00:00:00"/>
    <d v="2024-04-25T00:00:00"/>
    <n v="19"/>
    <n v="19"/>
    <x v="0"/>
    <x v="8"/>
    <x v="1"/>
    <x v="9"/>
    <s v="Shanghai"/>
    <s v="Asia - China - Shanghai"/>
    <s v="Corporate"/>
    <x v="0"/>
    <x v="11"/>
    <x v="0"/>
    <x v="86"/>
    <n v="1366.48"/>
    <n v="1678.14"/>
    <n v="1678.14"/>
    <s v="High"/>
    <n v="0.154"/>
    <n v="0.154"/>
    <x v="0"/>
    <n v="10"/>
    <n v="14197.064400000001"/>
    <n v="13664.8"/>
    <n v="532.26440000000184"/>
    <n v="3.7491159087790132E-2"/>
  </r>
  <r>
    <s v="ORD-2025-863978"/>
    <d v="2025-08-07T00:00:00"/>
    <x v="83"/>
    <s v="Q3-2025"/>
    <d v="2025-08-19T00:00:00"/>
    <d v="2025-08-19T00:00:00"/>
    <n v="12"/>
    <n v="12"/>
    <x v="0"/>
    <x v="0"/>
    <x v="0"/>
    <x v="0"/>
    <s v="Nakuru"/>
    <s v="Africa - Kenya - Nakuru"/>
    <s v="Corporate"/>
    <x v="4"/>
    <x v="12"/>
    <x v="0"/>
    <x v="87"/>
    <n v="601.51"/>
    <n v="679.35"/>
    <n v="679.35"/>
    <s v="Low"/>
    <n v="0.188"/>
    <n v="0.188"/>
    <x v="0"/>
    <n v="3"/>
    <n v="1654.8966000000003"/>
    <n v="1804.53"/>
    <n v="-149.63339999999971"/>
    <n v="-9.0418579626062243E-2"/>
  </r>
  <r>
    <s v="ORD-2024-604471"/>
    <d v="2024-01-21T00:00:00"/>
    <x v="84"/>
    <s v="Q1-2024"/>
    <d v="2024-01-25T00:00:00"/>
    <d v="2024-01-25T00:00:00"/>
    <n v="4"/>
    <n v="4"/>
    <x v="1"/>
    <x v="4"/>
    <x v="1"/>
    <x v="4"/>
    <s v="Delhi"/>
    <s v="Asia - India - Delhi"/>
    <s v="Consumer"/>
    <x v="4"/>
    <x v="0"/>
    <x v="5"/>
    <x v="88"/>
    <n v="523.70000000000005"/>
    <n v="1109.92"/>
    <n v="1109.92"/>
    <s v="Medium"/>
    <n v="0.03"/>
    <n v="0.03"/>
    <x v="0"/>
    <n v="11"/>
    <n v="11842.8464"/>
    <n v="5760.7000000000007"/>
    <n v="6082.1463999999996"/>
    <n v="0.51357133197302973"/>
  </r>
  <r>
    <s v="ORD-2023-258768"/>
    <d v="2023-06-29T00:00:00"/>
    <x v="85"/>
    <s v="Q2-2023"/>
    <d v="2023-07-02T00:00:00"/>
    <d v="2023-07-02T00:00:00"/>
    <n v="3"/>
    <n v="3"/>
    <x v="1"/>
    <x v="2"/>
    <x v="1"/>
    <x v="2"/>
    <s v="Nagoya"/>
    <s v="Asia - Japan - Nagoya"/>
    <s v="Education"/>
    <x v="2"/>
    <x v="9"/>
    <x v="5"/>
    <x v="89"/>
    <n v="55.65"/>
    <n v="83.57"/>
    <n v="83.57"/>
    <s v="Low"/>
    <n v="6.6000000000000003E-2"/>
    <n v="6.6000000000000003E-2"/>
    <x v="0"/>
    <n v="8"/>
    <n v="624.43503999999996"/>
    <n v="445.2"/>
    <n v="179.23503999999997"/>
    <n v="0.2870355257449998"/>
  </r>
  <r>
    <s v="ORD-2025-626047"/>
    <d v="2025-04-28T00:00:00"/>
    <x v="86"/>
    <s v="Q2-2025"/>
    <d v="2025-05-15T00:00:00"/>
    <d v="2025-05-15T00:00:00"/>
    <n v="17"/>
    <n v="17"/>
    <x v="0"/>
    <x v="2"/>
    <x v="1"/>
    <x v="2"/>
    <s v="Nagoya"/>
    <s v="Asia - Japan - Nagoya"/>
    <s v="Education"/>
    <x v="4"/>
    <x v="13"/>
    <x v="2"/>
    <x v="90"/>
    <n v="691.19"/>
    <n v="1284.3"/>
    <n v="1284.3"/>
    <s v="Medium"/>
    <n v="7.3999999999999996E-2"/>
    <n v="7.3999999999999996E-2"/>
    <x v="0"/>
    <n v="7"/>
    <n v="8324.8326000000015"/>
    <n v="4838.33"/>
    <n v="3486.5026000000016"/>
    <n v="0.41880753253825198"/>
  </r>
  <r>
    <s v="ORD-2025-526752"/>
    <d v="2025-06-09T00:00:00"/>
    <x v="56"/>
    <s v="Q2-2025"/>
    <d v="2025-06-25T00:00:00"/>
    <d v="2025-06-25T00:00:00"/>
    <n v="16"/>
    <n v="16"/>
    <x v="0"/>
    <x v="4"/>
    <x v="1"/>
    <x v="4"/>
    <s v="Hyderabad"/>
    <s v="Asia - India - Hyderabad"/>
    <s v="Enterprise"/>
    <x v="3"/>
    <x v="12"/>
    <x v="3"/>
    <x v="91"/>
    <n v="527.33000000000004"/>
    <n v="911.72"/>
    <n v="911.72"/>
    <s v="Medium"/>
    <n v="0.14399999999999999"/>
    <n v="0.14399999999999999"/>
    <x v="0"/>
    <n v="25"/>
    <n v="19510.808000000001"/>
    <n v="13183.250000000002"/>
    <n v="6327.5579999999991"/>
    <n v="0.32431040272652978"/>
  </r>
  <r>
    <s v="ORD-2023-374486"/>
    <d v="2023-06-24T00:00:00"/>
    <x v="87"/>
    <s v="Q2-2023"/>
    <d v="2023-06-23T00:00:00"/>
    <d v="2023-07-07T00:00:00"/>
    <n v="-1"/>
    <n v="13"/>
    <x v="0"/>
    <x v="4"/>
    <x v="2"/>
    <x v="5"/>
    <s v="Rio de Janeiro"/>
    <s v="Americas - Brazil - Rio de Janeiro"/>
    <s v="Non-Profit"/>
    <x v="0"/>
    <x v="6"/>
    <x v="1"/>
    <x v="92"/>
    <n v="804.01"/>
    <n v="1405.07"/>
    <n v="1405.07"/>
    <s v="Medium"/>
    <n v="9.6000000000000002E-2"/>
    <n v="9.6000000000000002E-2"/>
    <x v="0"/>
    <n v="8"/>
    <n v="10161.46624"/>
    <n v="6432.08"/>
    <n v="3729.3862399999998"/>
    <n v="0.36701260939287439"/>
  </r>
  <r>
    <s v="ORD-2024-997336"/>
    <d v="2024-10-04T00:00:00"/>
    <x v="88"/>
    <s v="Q4-2024"/>
    <d v="2024-11-02T00:00:00"/>
    <d v="2024-11-02T00:00:00"/>
    <n v="29"/>
    <n v="29"/>
    <x v="0"/>
    <x v="1"/>
    <x v="0"/>
    <x v="1"/>
    <s v="Abuja"/>
    <s v="Africa - Nigeria - Abuja"/>
    <s v="Corporate"/>
    <x v="3"/>
    <x v="9"/>
    <x v="6"/>
    <x v="93"/>
    <n v="412.09"/>
    <n v="968.94"/>
    <n v="968.94"/>
    <s v="Medium"/>
    <n v="9.9000000000000005E-2"/>
    <n v="9.9000000000000005E-2"/>
    <x v="0"/>
    <n v="23"/>
    <n v="20079.343620000003"/>
    <n v="9478.07"/>
    <n v="10601.273620000004"/>
    <n v="0.52796913189137418"/>
  </r>
  <r>
    <s v="ORD-2025-725646"/>
    <d v="2025-09-10T00:00:00"/>
    <x v="59"/>
    <s v="Q3-2025"/>
    <d v="2025-09-30T00:00:00"/>
    <d v="2025-09-30T00:00:00"/>
    <n v="20"/>
    <n v="20"/>
    <x v="0"/>
    <x v="0"/>
    <x v="0"/>
    <x v="0"/>
    <s v="Mombasa"/>
    <s v="Africa - Kenya - Mombasa"/>
    <s v="Corporate"/>
    <x v="4"/>
    <x v="4"/>
    <x v="3"/>
    <x v="94"/>
    <n v="1009.48"/>
    <n v="1088.81"/>
    <n v="1088.81"/>
    <s v="Medium"/>
    <n v="0.16"/>
    <n v="0.16"/>
    <x v="0"/>
    <n v="6"/>
    <n v="5487.6023999999998"/>
    <n v="6056.88"/>
    <n v="-569.27760000000035"/>
    <n v="-0.10373885688219693"/>
  </r>
  <r>
    <s v="ORD-2023-868734"/>
    <d v="2023-04-06T00:00:00"/>
    <x v="89"/>
    <s v="Q2-2023"/>
    <d v="2023-04-27T00:00:00"/>
    <d v="2023-04-27T00:00:00"/>
    <n v="21"/>
    <n v="21"/>
    <x v="0"/>
    <x v="7"/>
    <x v="3"/>
    <x v="8"/>
    <s v="Manchester"/>
    <s v="Europe - United Kingdom - Manchester"/>
    <s v="Enterprise"/>
    <x v="3"/>
    <x v="2"/>
    <x v="1"/>
    <x v="95"/>
    <n v="1084.79"/>
    <n v="2484.9899999999998"/>
    <n v="2484.9899999999998"/>
    <s v="High"/>
    <n v="3.4000000000000002E-2"/>
    <n v="3.4000000000000002E-2"/>
    <x v="0"/>
    <n v="18"/>
    <n v="43209.006119999991"/>
    <n v="19526.22"/>
    <n v="23682.78611999999"/>
    <n v="0.54809837685755114"/>
  </r>
  <r>
    <s v="ORD-2025-262491"/>
    <d v="2025-08-01T00:00:00"/>
    <x v="90"/>
    <s v="Q3-2025"/>
    <d v="2025-08-16T00:00:00"/>
    <d v="2025-08-16T00:00:00"/>
    <n v="15"/>
    <n v="15"/>
    <x v="0"/>
    <x v="4"/>
    <x v="1"/>
    <x v="4"/>
    <s v="Delhi"/>
    <s v="Asia - India - Delhi"/>
    <s v="Enterprise"/>
    <x v="4"/>
    <x v="7"/>
    <x v="5"/>
    <x v="96"/>
    <n v="24.44"/>
    <n v="28.69"/>
    <n v="28.69"/>
    <s v="Low"/>
    <n v="0.14599999999999999"/>
    <n v="0.14599999999999999"/>
    <x v="0"/>
    <n v="6"/>
    <n v="147.00756000000001"/>
    <n v="146.64000000000001"/>
    <n v="0.36755999999999744"/>
    <n v="2.5002795774584476E-3"/>
  </r>
  <r>
    <s v="ORD-2024-638884"/>
    <d v="2024-05-28T00:00:00"/>
    <x v="91"/>
    <s v="Q2-2024"/>
    <d v="2024-05-26T00:00:00"/>
    <d v="2024-05-31T00:00:00"/>
    <n v="-2"/>
    <n v="3"/>
    <x v="1"/>
    <x v="1"/>
    <x v="0"/>
    <x v="1"/>
    <s v="Abuja"/>
    <s v="Africa - Nigeria - Abuja"/>
    <s v="Enterprise"/>
    <x v="1"/>
    <x v="9"/>
    <x v="6"/>
    <x v="97"/>
    <n v="1227.08"/>
    <n v="1896.62"/>
    <n v="1896.62"/>
    <s v="High"/>
    <n v="0"/>
    <n v="0"/>
    <x v="0"/>
    <n v="18"/>
    <n v="34139.159999999996"/>
    <n v="22087.439999999999"/>
    <n v="12051.719999999998"/>
    <n v="0.353017473189147"/>
  </r>
  <r>
    <s v="ORD-2025-541501"/>
    <d v="2025-07-22T00:00:00"/>
    <x v="92"/>
    <s v="Q3-2025"/>
    <d v="2025-08-18T00:00:00"/>
    <d v="2025-08-18T00:00:00"/>
    <n v="27"/>
    <n v="27"/>
    <x v="0"/>
    <x v="8"/>
    <x v="1"/>
    <x v="9"/>
    <s v="Shenzhen"/>
    <s v="Asia - China - Shenzhen"/>
    <s v="Non-Profit"/>
    <x v="2"/>
    <x v="12"/>
    <x v="2"/>
    <x v="98"/>
    <n v="547.32000000000005"/>
    <n v="419.17"/>
    <n v="419.17"/>
    <s v="Low"/>
    <n v="9.1999999999999998E-2"/>
    <n v="9.1999999999999998E-2"/>
    <x v="0"/>
    <n v="14"/>
    <n v="5328.4890400000004"/>
    <n v="7662.4800000000005"/>
    <n v="-2333.9909600000001"/>
    <n v="-0.43802116181137907"/>
  </r>
  <r>
    <s v="ORD-2023-422918"/>
    <d v="2023-02-28T00:00:00"/>
    <x v="2"/>
    <s v="Q1-2023"/>
    <d v="2023-03-20T00:00:00"/>
    <d v="2023-03-20T00:00:00"/>
    <n v="20"/>
    <n v="20"/>
    <x v="0"/>
    <x v="5"/>
    <x v="3"/>
    <x v="6"/>
    <s v="Berlin"/>
    <s v="Europe - Germany - Berlin"/>
    <s v="Small Business"/>
    <x v="4"/>
    <x v="10"/>
    <x v="4"/>
    <x v="99"/>
    <n v="1200.78"/>
    <n v="2001.17"/>
    <n v="2001.17"/>
    <s v="High"/>
    <n v="0.29199999999999998"/>
    <n v="0.29199999999999998"/>
    <x v="1"/>
    <n v="18"/>
    <n v="25502.910479999999"/>
    <n v="21614.04"/>
    <n v="3888.8704799999978"/>
    <n v="0.15248732034132906"/>
  </r>
  <r>
    <s v="ORD-2025-328504"/>
    <d v="2025-01-27T00:00:00"/>
    <x v="93"/>
    <s v="Q1-2025"/>
    <d v="2025-02-15T00:00:00"/>
    <d v="2025-02-15T00:00:00"/>
    <n v="19"/>
    <n v="19"/>
    <x v="0"/>
    <x v="8"/>
    <x v="1"/>
    <x v="9"/>
    <s v="Shenzhen"/>
    <s v="Asia - China - Shenzhen"/>
    <s v="Non-Profit"/>
    <x v="4"/>
    <x v="4"/>
    <x v="3"/>
    <x v="100"/>
    <n v="1253.22"/>
    <n v="3104.71"/>
    <n v="3104.71"/>
    <s v="High"/>
    <n v="0"/>
    <n v="0"/>
    <x v="0"/>
    <n v="17"/>
    <n v="52780.07"/>
    <n v="21304.74"/>
    <n v="31475.329999999998"/>
    <n v="0.59634877331538205"/>
  </r>
  <r>
    <s v="ORD-2024-851883"/>
    <d v="2024-01-13T00:00:00"/>
    <x v="94"/>
    <s v="Q1-2024"/>
    <d v="2024-01-22T00:00:00"/>
    <d v="2024-01-22T00:00:00"/>
    <n v="9"/>
    <n v="9"/>
    <x v="0"/>
    <x v="4"/>
    <x v="1"/>
    <x v="4"/>
    <s v="Mumbai"/>
    <s v="Asia - India - Mumbai"/>
    <s v="Enterprise"/>
    <x v="2"/>
    <x v="1"/>
    <x v="0"/>
    <x v="101"/>
    <n v="313.60000000000002"/>
    <n v="334.28"/>
    <n v="334.28"/>
    <s v="Low"/>
    <n v="0.14000000000000001"/>
    <n v="0.14000000000000001"/>
    <x v="0"/>
    <n v="22"/>
    <n v="6324.5775999999996"/>
    <n v="6899.2000000000007"/>
    <n v="-574.62240000000111"/>
    <n v="-9.0855458868905517E-2"/>
  </r>
  <r>
    <s v="ORD-2025-662997"/>
    <d v="2025-03-31T00:00:00"/>
    <x v="95"/>
    <s v="Q1-2025"/>
    <d v="2025-04-04T00:00:00"/>
    <d v="2025-04-04T00:00:00"/>
    <n v="4"/>
    <n v="4"/>
    <x v="1"/>
    <x v="0"/>
    <x v="0"/>
    <x v="0"/>
    <s v="Nakuru"/>
    <s v="Africa - Kenya - Nakuru"/>
    <s v="Corporate"/>
    <x v="4"/>
    <x v="0"/>
    <x v="4"/>
    <x v="102"/>
    <n v="862.08"/>
    <n v="1952.83"/>
    <n v="1952.83"/>
    <s v="High"/>
    <n v="0"/>
    <n v="0"/>
    <x v="0"/>
    <n v="7"/>
    <n v="13669.81"/>
    <n v="6034.56"/>
    <n v="7635.2499999999991"/>
    <n v="0.5585483631447693"/>
  </r>
  <r>
    <s v="ORD-2024-478165"/>
    <d v="2024-12-05T00:00:00"/>
    <x v="96"/>
    <s v="Q4-2024"/>
    <d v="2024-12-28T00:00:00"/>
    <d v="2024-12-28T00:00:00"/>
    <n v="23"/>
    <n v="23"/>
    <x v="0"/>
    <x v="3"/>
    <x v="2"/>
    <x v="3"/>
    <s v="Vancouver"/>
    <s v="Americas - Canada - Vancouver"/>
    <s v="Corporate"/>
    <x v="4"/>
    <x v="9"/>
    <x v="6"/>
    <x v="103"/>
    <n v="107.03"/>
    <n v="242.29"/>
    <n v="242.29"/>
    <s v="Low"/>
    <n v="0.18"/>
    <n v="0.18"/>
    <x v="0"/>
    <n v="30"/>
    <n v="5960.3340000000007"/>
    <n v="3210.9"/>
    <n v="2749.4340000000007"/>
    <n v="0.46128857879440988"/>
  </r>
  <r>
    <s v="ORD-2024-771210"/>
    <d v="2024-09-14T00:00:00"/>
    <x v="97"/>
    <s v="Q3-2024"/>
    <d v="2024-10-05T00:00:00"/>
    <d v="2024-10-05T00:00:00"/>
    <n v="21"/>
    <n v="21"/>
    <x v="0"/>
    <x v="8"/>
    <x v="1"/>
    <x v="9"/>
    <s v="Shanghai"/>
    <s v="Asia - China - Shanghai"/>
    <s v="Small Business"/>
    <x v="1"/>
    <x v="10"/>
    <x v="4"/>
    <x v="104"/>
    <n v="1405.56"/>
    <n v="2968.87"/>
    <n v="2968.87"/>
    <s v="High"/>
    <n v="0.16900000000000001"/>
    <n v="0.16900000000000001"/>
    <x v="0"/>
    <n v="5"/>
    <n v="12335.654849999999"/>
    <n v="7027.7999999999993"/>
    <n v="5307.8548499999997"/>
    <n v="0.4302856163327235"/>
  </r>
  <r>
    <s v="ORD-2024-155337"/>
    <d v="2024-05-21T00:00:00"/>
    <x v="98"/>
    <s v="Q2-2024"/>
    <d v="2024-05-27T00:00:00"/>
    <d v="2024-05-27T00:00:00"/>
    <n v="6"/>
    <n v="6"/>
    <x v="1"/>
    <x v="10"/>
    <x v="0"/>
    <x v="11"/>
    <s v="Johannesburg"/>
    <s v="Africa - South Africa - Johannesburg"/>
    <s v="Non-Profit"/>
    <x v="1"/>
    <x v="12"/>
    <x v="0"/>
    <x v="105"/>
    <n v="1157.51"/>
    <n v="1394.3"/>
    <n v="1394.3"/>
    <s v="Medium"/>
    <n v="0.27800000000000002"/>
    <n v="0.27800000000000002"/>
    <x v="1"/>
    <n v="12"/>
    <n v="12080.215199999999"/>
    <n v="13890.119999999999"/>
    <n v="-1809.9048000000003"/>
    <n v="-0.14982388724333326"/>
  </r>
  <r>
    <s v="ORD-2023-251563"/>
    <d v="2023-05-11T00:00:00"/>
    <x v="20"/>
    <s v="Q2-2023"/>
    <d v="2023-06-07T00:00:00"/>
    <d v="2023-06-07T00:00:00"/>
    <n v="27"/>
    <n v="27"/>
    <x v="0"/>
    <x v="0"/>
    <x v="0"/>
    <x v="0"/>
    <s v="Mombasa"/>
    <s v="Africa - Kenya - Mombasa"/>
    <s v="Corporate"/>
    <x v="1"/>
    <x v="1"/>
    <x v="3"/>
    <x v="106"/>
    <n v="12.85"/>
    <n v="15.41"/>
    <n v="15.41"/>
    <s v="Low"/>
    <n v="0.13700000000000001"/>
    <n v="0.13700000000000001"/>
    <x v="0"/>
    <n v="39"/>
    <n v="518.65436999999997"/>
    <n v="501.15"/>
    <n v="17.504369999999994"/>
    <n v="3.3749585489851353E-2"/>
  </r>
  <r>
    <s v="ORD-2024-286833"/>
    <d v="2024-08-14T00:00:00"/>
    <x v="99"/>
    <s v="Q3-2024"/>
    <d v="2024-09-04T00:00:00"/>
    <d v="2024-09-04T00:00:00"/>
    <n v="21"/>
    <n v="21"/>
    <x v="0"/>
    <x v="7"/>
    <x v="3"/>
    <x v="8"/>
    <s v="Manchester"/>
    <s v="Europe - United Kingdom - Manchester"/>
    <s v="Non-Profit"/>
    <x v="1"/>
    <x v="1"/>
    <x v="3"/>
    <x v="107"/>
    <n v="1138.8"/>
    <n v="2250.81"/>
    <n v="2250.81"/>
    <s v="High"/>
    <n v="0.123"/>
    <n v="0.123"/>
    <x v="0"/>
    <n v="12"/>
    <n v="23687.524440000001"/>
    <n v="13665.599999999999"/>
    <n v="10021.924440000003"/>
    <n v="0.42308872188756258"/>
  </r>
  <r>
    <s v="ORD-2024-792558"/>
    <d v="2024-10-16T00:00:00"/>
    <x v="100"/>
    <s v="Q4-2024"/>
    <d v="2024-11-08T00:00:00"/>
    <d v="2024-11-08T00:00:00"/>
    <n v="23"/>
    <n v="23"/>
    <x v="0"/>
    <x v="2"/>
    <x v="1"/>
    <x v="2"/>
    <s v="Osaka"/>
    <s v="Asia - Japan - Osaka"/>
    <s v="Small Business"/>
    <x v="0"/>
    <x v="1"/>
    <x v="2"/>
    <x v="108"/>
    <n v="82.14"/>
    <n v="166.04"/>
    <n v="166.04"/>
    <s v="Low"/>
    <n v="0"/>
    <n v="0"/>
    <x v="0"/>
    <n v="10"/>
    <n v="1660.3999999999999"/>
    <n v="821.4"/>
    <n v="838.99999999999989"/>
    <n v="0.50529992772825827"/>
  </r>
  <r>
    <s v="ORD-2024-166150"/>
    <d v="2024-06-02T00:00:00"/>
    <x v="101"/>
    <s v="Q2-2024"/>
    <d v="2024-06-08T00:00:00"/>
    <d v="2024-06-08T00:00:00"/>
    <n v="6"/>
    <n v="6"/>
    <x v="1"/>
    <x v="0"/>
    <x v="0"/>
    <x v="0"/>
    <s v="Kisumu"/>
    <s v="Africa - Kenya - Kisumu"/>
    <s v="Consumer"/>
    <x v="2"/>
    <x v="8"/>
    <x v="6"/>
    <x v="109"/>
    <n v="292.94"/>
    <n v="356.55"/>
    <n v="356.55"/>
    <s v="Low"/>
    <n v="0.22900000000000001"/>
    <n v="0.22900000000000001"/>
    <x v="1"/>
    <n v="2"/>
    <n v="549.80010000000004"/>
    <n v="585.88"/>
    <n v="-36.079899999999952"/>
    <n v="-6.5623669402751925E-2"/>
  </r>
  <r>
    <s v="ORD-2024-909942"/>
    <d v="2024-06-09T00:00:00"/>
    <x v="102"/>
    <s v="Q2-2024"/>
    <d v="2024-07-07T00:00:00"/>
    <d v="2024-07-07T00:00:00"/>
    <n v="28"/>
    <n v="28"/>
    <x v="0"/>
    <x v="8"/>
    <x v="1"/>
    <x v="9"/>
    <s v="Shenzhen"/>
    <s v="Asia - China - Shenzhen"/>
    <s v="Corporate"/>
    <x v="1"/>
    <x v="1"/>
    <x v="0"/>
    <x v="110"/>
    <n v="550.22"/>
    <n v="1025.05"/>
    <n v="1025.05"/>
    <s v="Medium"/>
    <n v="0"/>
    <n v="0"/>
    <x v="0"/>
    <n v="27"/>
    <n v="27676.35"/>
    <n v="14855.94"/>
    <n v="12820.409999999998"/>
    <n v="0.46322618408858102"/>
  </r>
  <r>
    <s v="ORD-2024-223618"/>
    <d v="2024-06-10T00:00:00"/>
    <x v="103"/>
    <s v="Q2-2024"/>
    <d v="2024-06-11T00:00:00"/>
    <d v="2024-06-11T00:00:00"/>
    <n v="1"/>
    <n v="1"/>
    <x v="1"/>
    <x v="7"/>
    <x v="3"/>
    <x v="8"/>
    <s v="Birmingham"/>
    <s v="Europe - United Kingdom - Birmingham"/>
    <s v="Small Business"/>
    <x v="2"/>
    <x v="12"/>
    <x v="4"/>
    <x v="111"/>
    <n v="1187.1300000000001"/>
    <n v="1795.17"/>
    <n v="1795.17"/>
    <s v="High"/>
    <n v="1.2E-2"/>
    <n v="1.2E-2"/>
    <x v="0"/>
    <n v="17"/>
    <n v="30151.675319999998"/>
    <n v="20181.210000000003"/>
    <n v="9970.4653199999957"/>
    <n v="0.33067699271046663"/>
  </r>
  <r>
    <s v="ORD-2024-919471"/>
    <d v="2024-06-29T00:00:00"/>
    <x v="104"/>
    <s v="Q2-2024"/>
    <d v="2024-07-26T00:00:00"/>
    <d v="2024-07-26T00:00:00"/>
    <n v="27"/>
    <n v="27"/>
    <x v="0"/>
    <x v="10"/>
    <x v="0"/>
    <x v="11"/>
    <s v="Durban"/>
    <s v="Africa - South Africa - Durban"/>
    <s v="Enterprise"/>
    <x v="3"/>
    <x v="5"/>
    <x v="2"/>
    <x v="112"/>
    <n v="5.36"/>
    <n v="4.37"/>
    <n v="4.37"/>
    <s v="Low"/>
    <n v="0.11799999999999999"/>
    <n v="0.11799999999999999"/>
    <x v="0"/>
    <n v="9"/>
    <n v="34.689059999999998"/>
    <n v="48.24"/>
    <n v="-13.550940000000004"/>
    <n v="-0.39064016148030545"/>
  </r>
  <r>
    <s v="ORD-2025-649239"/>
    <d v="2025-01-17T00:00:00"/>
    <x v="105"/>
    <s v="Q1-2025"/>
    <d v="2025-01-24T00:00:00"/>
    <d v="2025-01-24T00:00:00"/>
    <n v="7"/>
    <n v="7"/>
    <x v="1"/>
    <x v="9"/>
    <x v="2"/>
    <x v="10"/>
    <s v="Austin"/>
    <s v="Americas - USA - Austin"/>
    <s v="Enterprise"/>
    <x v="1"/>
    <x v="3"/>
    <x v="6"/>
    <x v="113"/>
    <n v="142.09"/>
    <n v="218.5"/>
    <n v="218.5"/>
    <s v="Low"/>
    <n v="0.11899999999999999"/>
    <n v="0.11899999999999999"/>
    <x v="0"/>
    <n v="11"/>
    <n v="2117.4834999999998"/>
    <n v="1562.99"/>
    <n v="554.49349999999981"/>
    <n v="0.26186437816398561"/>
  </r>
  <r>
    <s v="ORD-2023-975863"/>
    <d v="2023-11-20T00:00:00"/>
    <x v="106"/>
    <s v="Q4-2023"/>
    <d v="2023-12-05T00:00:00"/>
    <d v="2023-12-05T00:00:00"/>
    <n v="15"/>
    <n v="15"/>
    <x v="0"/>
    <x v="2"/>
    <x v="1"/>
    <x v="2"/>
    <s v="Tokyo"/>
    <s v="Asia - Japan - Tokyo"/>
    <s v="Enterprise"/>
    <x v="0"/>
    <x v="4"/>
    <x v="2"/>
    <x v="114"/>
    <n v="354.24"/>
    <n v="249.87"/>
    <n v="249.87"/>
    <s v="Low"/>
    <n v="0"/>
    <n v="0"/>
    <x v="0"/>
    <n v="6"/>
    <n v="1499.22"/>
    <n v="2125.44"/>
    <n v="-626.22"/>
    <n v="-0.41769720254532355"/>
  </r>
  <r>
    <s v="ORD-2023-869884"/>
    <d v="2023-03-02T00:00:00"/>
    <x v="107"/>
    <s v="Q1-2023"/>
    <d v="2023-03-05T00:00:00"/>
    <d v="2023-03-05T00:00:00"/>
    <n v="3"/>
    <n v="3"/>
    <x v="1"/>
    <x v="4"/>
    <x v="2"/>
    <x v="5"/>
    <s v="Brasília"/>
    <s v="Americas - Brazil - Brasília"/>
    <s v="Enterprise"/>
    <x v="4"/>
    <x v="3"/>
    <x v="5"/>
    <x v="115"/>
    <n v="1473.58"/>
    <n v="3436.52"/>
    <n v="3436.52"/>
    <s v="High"/>
    <n v="0.108"/>
    <n v="0.108"/>
    <x v="0"/>
    <n v="8"/>
    <n v="24523.006720000001"/>
    <n v="11788.64"/>
    <n v="12734.366720000002"/>
    <n v="0.51928243813652564"/>
  </r>
  <r>
    <s v="ORD-2025-698069"/>
    <d v="2025-06-03T00:00:00"/>
    <x v="108"/>
    <s v="Q2-2025"/>
    <d v="2025-06-10T00:00:00"/>
    <d v="2025-06-10T00:00:00"/>
    <n v="7"/>
    <n v="7"/>
    <x v="1"/>
    <x v="3"/>
    <x v="2"/>
    <x v="3"/>
    <s v="Toronto"/>
    <s v="Americas - Canada - Toronto"/>
    <s v="Consumer"/>
    <x v="3"/>
    <x v="7"/>
    <x v="1"/>
    <x v="116"/>
    <n v="75.180000000000007"/>
    <n v="53.45"/>
    <n v="53.45"/>
    <s v="Low"/>
    <n v="0.157"/>
    <n v="0.157"/>
    <x v="0"/>
    <n v="17"/>
    <n v="765.99195000000009"/>
    <n v="1278.0600000000002"/>
    <n v="-512.06805000000008"/>
    <n v="-0.66850317421743144"/>
  </r>
  <r>
    <s v="ORD-2024-474999"/>
    <d v="2024-12-27T00:00:00"/>
    <x v="6"/>
    <s v="Q4-2024"/>
    <d v="2025-01-02T00:00:00"/>
    <d v="2025-01-02T00:00:00"/>
    <n v="6"/>
    <n v="6"/>
    <x v="1"/>
    <x v="5"/>
    <x v="3"/>
    <x v="6"/>
    <s v="Frankfurt"/>
    <s v="Europe - Germany - Frankfurt"/>
    <s v="Education"/>
    <x v="4"/>
    <x v="9"/>
    <x v="4"/>
    <x v="117"/>
    <n v="1391.99"/>
    <n v="3469.7"/>
    <n v="3469.7"/>
    <s v="High"/>
    <n v="0.184"/>
    <n v="0.184"/>
    <x v="0"/>
    <n v="23"/>
    <n v="65119.329599999997"/>
    <n v="32015.77"/>
    <n v="33103.559599999993"/>
    <n v="0.50835227886006973"/>
  </r>
  <r>
    <s v="ORD-2023-427304"/>
    <d v="2023-06-09T00:00:00"/>
    <x v="109"/>
    <s v="Q2-2023"/>
    <d v="2023-06-19T00:00:00"/>
    <d v="2023-06-19T00:00:00"/>
    <n v="10"/>
    <n v="10"/>
    <x v="0"/>
    <x v="8"/>
    <x v="1"/>
    <x v="9"/>
    <s v="Beijing"/>
    <s v="Asia - China - Beijing"/>
    <s v="Enterprise"/>
    <x v="0"/>
    <x v="9"/>
    <x v="5"/>
    <x v="118"/>
    <n v="339.61"/>
    <n v="621.02"/>
    <n v="621.02"/>
    <s v="Low"/>
    <n v="7.0999999999999994E-2"/>
    <n v="7.0999999999999994E-2"/>
    <x v="0"/>
    <n v="10"/>
    <n v="5769.2758000000003"/>
    <n v="3396.1000000000004"/>
    <n v="2373.1758"/>
    <n v="0.41134726129750981"/>
  </r>
  <r>
    <s v="ORD-2025-956101"/>
    <d v="2025-07-09T00:00:00"/>
    <x v="110"/>
    <s v="Q3-2025"/>
    <d v="2025-07-18T00:00:00"/>
    <d v="2025-07-18T00:00:00"/>
    <n v="9"/>
    <n v="9"/>
    <x v="0"/>
    <x v="3"/>
    <x v="2"/>
    <x v="3"/>
    <s v="Vancouver"/>
    <s v="Americas - Canada - Vancouver"/>
    <s v="Education"/>
    <x v="3"/>
    <x v="2"/>
    <x v="4"/>
    <x v="119"/>
    <n v="57.96"/>
    <n v="88.51"/>
    <n v="88.51"/>
    <s v="Low"/>
    <n v="4.2999999999999997E-2"/>
    <n v="4.2999999999999997E-2"/>
    <x v="0"/>
    <n v="7"/>
    <n v="592.92849000000001"/>
    <n v="405.72"/>
    <n v="187.20848999999998"/>
    <n v="0.3157353595877978"/>
  </r>
  <r>
    <s v="ORD-2025-184082"/>
    <d v="2025-06-19T00:00:00"/>
    <x v="111"/>
    <s v="Q2-2025"/>
    <d v="2025-07-12T00:00:00"/>
    <d v="2025-07-12T00:00:00"/>
    <n v="23"/>
    <n v="23"/>
    <x v="0"/>
    <x v="7"/>
    <x v="3"/>
    <x v="8"/>
    <s v="London"/>
    <s v="Europe - United Kingdom - London"/>
    <s v="Non-Profit"/>
    <x v="4"/>
    <x v="14"/>
    <x v="2"/>
    <x v="120"/>
    <n v="801.24"/>
    <n v="1959.09"/>
    <n v="1959.09"/>
    <s v="High"/>
    <n v="0.123"/>
    <n v="0.123"/>
    <x v="0"/>
    <n v="23"/>
    <n v="39516.804389999998"/>
    <n v="18428.52"/>
    <n v="21088.284389999997"/>
    <n v="0.53365358650651762"/>
  </r>
  <r>
    <s v="ORD-2023-576840"/>
    <d v="2023-11-19T00:00:00"/>
    <x v="112"/>
    <s v="Q4-2023"/>
    <d v="2023-12-13T00:00:00"/>
    <d v="2023-12-13T00:00:00"/>
    <n v="24"/>
    <n v="24"/>
    <x v="0"/>
    <x v="6"/>
    <x v="3"/>
    <x v="7"/>
    <s v="Lyon"/>
    <s v="Europe - France - Lyon"/>
    <s v="Non-Profit"/>
    <x v="4"/>
    <x v="10"/>
    <x v="5"/>
    <x v="121"/>
    <n v="1297.42"/>
    <n v="2742.97"/>
    <n v="2742.97"/>
    <s v="High"/>
    <n v="6.9000000000000006E-2"/>
    <n v="6.9000000000000006E-2"/>
    <x v="0"/>
    <n v="9"/>
    <n v="22983.34563"/>
    <n v="11676.78"/>
    <n v="11306.565629999999"/>
    <n v="0.49194602961727291"/>
  </r>
  <r>
    <s v="ORD-2023-178249"/>
    <d v="2023-12-29T00:00:00"/>
    <x v="113"/>
    <s v="Q4-2023"/>
    <d v="2024-01-20T00:00:00"/>
    <d v="2024-01-20T00:00:00"/>
    <n v="22"/>
    <n v="22"/>
    <x v="0"/>
    <x v="0"/>
    <x v="0"/>
    <x v="0"/>
    <s v="Kisumu"/>
    <s v="Africa - Kenya - Kisumu"/>
    <s v="Corporate"/>
    <x v="4"/>
    <x v="4"/>
    <x v="3"/>
    <x v="122"/>
    <n v="1395.49"/>
    <n v="1679.42"/>
    <n v="1679.42"/>
    <s v="High"/>
    <n v="0.20300000000000001"/>
    <n v="0.20300000000000001"/>
    <x v="1"/>
    <n v="12"/>
    <n v="16061.972879999999"/>
    <n v="16745.88"/>
    <n v="-683.90712000000167"/>
    <n v="-4.2579272490964493E-2"/>
  </r>
  <r>
    <s v="ORD-2024-588972"/>
    <d v="2024-11-02T00:00:00"/>
    <x v="61"/>
    <s v="Q4-2024"/>
    <d v="2024-11-29T00:00:00"/>
    <d v="2024-11-29T00:00:00"/>
    <n v="27"/>
    <n v="27"/>
    <x v="0"/>
    <x v="4"/>
    <x v="2"/>
    <x v="5"/>
    <s v="Brasília"/>
    <s v="Americas - Brazil - Brasília"/>
    <s v="Small Business"/>
    <x v="4"/>
    <x v="2"/>
    <x v="2"/>
    <x v="123"/>
    <n v="1363.51"/>
    <n v="1433.9"/>
    <n v="1433.9"/>
    <s v="Medium"/>
    <n v="5.7000000000000002E-2"/>
    <n v="5.7000000000000002E-2"/>
    <x v="0"/>
    <n v="8"/>
    <n v="10817.3416"/>
    <n v="10908.08"/>
    <n v="-90.738400000000183"/>
    <n v="-8.3882346842037592E-3"/>
  </r>
  <r>
    <s v="ORD-2023-603238"/>
    <d v="2023-08-21T00:00:00"/>
    <x v="114"/>
    <s v="Q3-2023"/>
    <d v="2023-09-04T00:00:00"/>
    <d v="2023-09-04T00:00:00"/>
    <n v="14"/>
    <n v="14"/>
    <x v="0"/>
    <x v="3"/>
    <x v="2"/>
    <x v="3"/>
    <s v="Montreal"/>
    <s v="Americas - Canada - Montreal"/>
    <s v="Education"/>
    <x v="3"/>
    <x v="9"/>
    <x v="0"/>
    <x v="124"/>
    <n v="178.19"/>
    <n v="284.43"/>
    <n v="284.43"/>
    <s v="Low"/>
    <n v="8.8999999999999996E-2"/>
    <n v="8.8999999999999996E-2"/>
    <x v="0"/>
    <n v="8"/>
    <n v="2072.9258400000003"/>
    <n v="1425.52"/>
    <n v="647.40584000000035"/>
    <n v="0.31231500302972742"/>
  </r>
  <r>
    <s v="ORD-2023-883066"/>
    <d v="2023-08-12T00:00:00"/>
    <x v="115"/>
    <s v="Q3-2023"/>
    <d v="2023-09-06T00:00:00"/>
    <d v="2023-09-06T00:00:00"/>
    <n v="25"/>
    <n v="25"/>
    <x v="0"/>
    <x v="8"/>
    <x v="1"/>
    <x v="9"/>
    <s v="Shanghai"/>
    <s v="Asia - China - Shanghai"/>
    <s v="Small Business"/>
    <x v="0"/>
    <x v="5"/>
    <x v="0"/>
    <x v="125"/>
    <n v="950.77"/>
    <n v="694.78"/>
    <n v="694.78"/>
    <s v="Low"/>
    <n v="8.4000000000000005E-2"/>
    <n v="8.4000000000000005E-2"/>
    <x v="0"/>
    <n v="14"/>
    <n v="8909.8587200000002"/>
    <n v="13310.779999999999"/>
    <n v="-4400.9212799999987"/>
    <n v="-0.49393839097821279"/>
  </r>
  <r>
    <s v="ORD-2024-584090"/>
    <d v="2024-06-07T00:00:00"/>
    <x v="116"/>
    <s v="Q2-2024"/>
    <d v="2024-06-26T00:00:00"/>
    <d v="2024-06-26T00:00:00"/>
    <n v="19"/>
    <n v="19"/>
    <x v="0"/>
    <x v="5"/>
    <x v="3"/>
    <x v="6"/>
    <s v="Berlin"/>
    <s v="Europe - Germany - Berlin"/>
    <s v="Non-Profit"/>
    <x v="2"/>
    <x v="12"/>
    <x v="0"/>
    <x v="126"/>
    <n v="1064.32"/>
    <n v="1848.39"/>
    <n v="1848.39"/>
    <s v="High"/>
    <n v="7.2999999999999995E-2"/>
    <n v="7.2999999999999995E-2"/>
    <x v="0"/>
    <n v="38"/>
    <n v="65111.38614000001"/>
    <n v="40444.159999999996"/>
    <n v="24667.226140000013"/>
    <n v="0.3788465827921631"/>
  </r>
  <r>
    <s v="ORD-2025-537785"/>
    <d v="2025-08-05T00:00:00"/>
    <x v="117"/>
    <s v="Q3-2025"/>
    <d v="2025-08-14T00:00:00"/>
    <d v="2025-08-14T00:00:00"/>
    <n v="9"/>
    <n v="9"/>
    <x v="0"/>
    <x v="7"/>
    <x v="3"/>
    <x v="8"/>
    <s v="London"/>
    <s v="Europe - United Kingdom - London"/>
    <s v="Non-Profit"/>
    <x v="4"/>
    <x v="6"/>
    <x v="0"/>
    <x v="127"/>
    <n v="41.76"/>
    <n v="45.19"/>
    <n v="45.19"/>
    <s v="Low"/>
    <n v="0.17899999999999999"/>
    <n v="0.17899999999999999"/>
    <x v="0"/>
    <n v="23"/>
    <n v="853.32276999999988"/>
    <n v="960.4799999999999"/>
    <n v="-107.15723000000003"/>
    <n v="-0.12557643340514638"/>
  </r>
  <r>
    <s v="ORD-2024-605518"/>
    <d v="2024-05-30T00:00:00"/>
    <x v="118"/>
    <s v="Q2-2024"/>
    <d v="2024-06-13T00:00:00"/>
    <d v="2024-06-13T00:00:00"/>
    <n v="14"/>
    <n v="14"/>
    <x v="0"/>
    <x v="9"/>
    <x v="2"/>
    <x v="10"/>
    <s v="San Francisco"/>
    <s v="Americas - USA - San Francisco"/>
    <s v="Small Business"/>
    <x v="0"/>
    <x v="9"/>
    <x v="3"/>
    <x v="128"/>
    <n v="157.78"/>
    <n v="361.1"/>
    <n v="361.1"/>
    <s v="Low"/>
    <n v="0.187"/>
    <n v="0.187"/>
    <x v="0"/>
    <n v="9"/>
    <n v="2642.1686999999997"/>
    <n v="1420.02"/>
    <n v="1222.1486999999997"/>
    <n v="0.46255513510549112"/>
  </r>
  <r>
    <s v="ORD-2023-521818"/>
    <d v="2023-01-22T00:00:00"/>
    <x v="119"/>
    <s v="Q1-2023"/>
    <d v="2023-01-30T00:00:00"/>
    <d v="2023-01-30T00:00:00"/>
    <n v="8"/>
    <n v="8"/>
    <x v="0"/>
    <x v="9"/>
    <x v="2"/>
    <x v="10"/>
    <s v="San Francisco"/>
    <s v="Americas - USA - San Francisco"/>
    <s v="Small Business"/>
    <x v="1"/>
    <x v="8"/>
    <x v="2"/>
    <x v="129"/>
    <n v="413.52"/>
    <n v="1004.34"/>
    <n v="1004.34"/>
    <s v="Medium"/>
    <n v="0.111"/>
    <n v="0.111"/>
    <x v="0"/>
    <n v="18"/>
    <n v="16071.44868"/>
    <n v="7443.36"/>
    <n v="8628.0886800000007"/>
    <n v="0.53685817948304593"/>
  </r>
  <r>
    <s v="ORD-2025-650719"/>
    <d v="2025-02-12T00:00:00"/>
    <x v="120"/>
    <s v="Q1-2025"/>
    <d v="2025-02-28T00:00:00"/>
    <d v="2025-02-28T00:00:00"/>
    <n v="16"/>
    <n v="16"/>
    <x v="0"/>
    <x v="4"/>
    <x v="2"/>
    <x v="5"/>
    <s v="São Paulo"/>
    <s v="Americas - Brazil - São Paulo"/>
    <s v="Non-Profit"/>
    <x v="4"/>
    <x v="5"/>
    <x v="5"/>
    <x v="130"/>
    <n v="414.95"/>
    <n v="1027.73"/>
    <n v="1027.73"/>
    <s v="Medium"/>
    <n v="6.3E-2"/>
    <n v="6.3E-2"/>
    <x v="0"/>
    <n v="8"/>
    <n v="7703.8640800000003"/>
    <n v="3319.6"/>
    <n v="4384.2640800000008"/>
    <n v="0.56909935513815568"/>
  </r>
  <r>
    <s v="ORD-2025-501927"/>
    <d v="2025-03-03T00:00:00"/>
    <x v="121"/>
    <s v="Q1-2025"/>
    <d v="2025-03-24T00:00:00"/>
    <d v="2025-03-24T00:00:00"/>
    <n v="21"/>
    <n v="21"/>
    <x v="0"/>
    <x v="1"/>
    <x v="0"/>
    <x v="1"/>
    <s v="Abuja"/>
    <s v="Africa - Nigeria - Abuja"/>
    <s v="Enterprise"/>
    <x v="4"/>
    <x v="10"/>
    <x v="6"/>
    <x v="131"/>
    <n v="555.95000000000005"/>
    <n v="468.09"/>
    <n v="468.09"/>
    <s v="Low"/>
    <n v="0.14199999999999999"/>
    <n v="0.14199999999999999"/>
    <x v="0"/>
    <n v="11"/>
    <n v="4417.8334199999999"/>
    <n v="6115.4500000000007"/>
    <n v="-1697.6165800000008"/>
    <n v="-0.38426450674095375"/>
  </r>
  <r>
    <s v="ORD-2023-430904"/>
    <d v="2023-01-27T00:00:00"/>
    <x v="122"/>
    <s v="Q1-2023"/>
    <d v="2023-01-31T00:00:00"/>
    <d v="2023-01-31T00:00:00"/>
    <n v="4"/>
    <n v="4"/>
    <x v="1"/>
    <x v="7"/>
    <x v="3"/>
    <x v="8"/>
    <s v="Manchester"/>
    <s v="Europe - United Kingdom - Manchester"/>
    <s v="Enterprise"/>
    <x v="1"/>
    <x v="13"/>
    <x v="4"/>
    <x v="132"/>
    <n v="941.2"/>
    <n v="668.02"/>
    <n v="668.02"/>
    <s v="Low"/>
    <n v="0.22"/>
    <n v="0.22"/>
    <x v="1"/>
    <n v="16"/>
    <n v="8336.8896000000004"/>
    <n v="15059.2"/>
    <n v="-6722.3104000000003"/>
    <n v="-0.80633314371825193"/>
  </r>
  <r>
    <s v="ORD-2025-354346"/>
    <d v="2025-01-09T00:00:00"/>
    <x v="123"/>
    <s v="Q1-2025"/>
    <d v="2025-01-15T00:00:00"/>
    <d v="2025-01-15T00:00:00"/>
    <n v="6"/>
    <n v="6"/>
    <x v="1"/>
    <x v="8"/>
    <x v="1"/>
    <x v="9"/>
    <s v="Beijing"/>
    <s v="Asia - China - Beijing"/>
    <s v="Education"/>
    <x v="1"/>
    <x v="0"/>
    <x v="3"/>
    <x v="133"/>
    <n v="304.77999999999997"/>
    <n v="537.27"/>
    <n v="537.27"/>
    <s v="Low"/>
    <n v="0.187"/>
    <n v="0.187"/>
    <x v="0"/>
    <n v="8"/>
    <n v="3494.4040799999998"/>
    <n v="2438.2399999999998"/>
    <n v="1056.16408"/>
    <n v="0.3022444044307549"/>
  </r>
  <r>
    <s v="ORD-2024-164288"/>
    <d v="2024-12-21T00:00:00"/>
    <x v="124"/>
    <s v="Q4-2024"/>
    <d v="2024-12-26T00:00:00"/>
    <d v="2024-12-26T00:00:00"/>
    <n v="5"/>
    <n v="5"/>
    <x v="1"/>
    <x v="9"/>
    <x v="2"/>
    <x v="10"/>
    <s v="San Francisco"/>
    <s v="Americas - USA - San Francisco"/>
    <s v="Consumer"/>
    <x v="2"/>
    <x v="12"/>
    <x v="1"/>
    <x v="134"/>
    <n v="699.57"/>
    <n v="572.71"/>
    <n v="572.71"/>
    <s v="Low"/>
    <n v="0.192"/>
    <n v="0.192"/>
    <x v="0"/>
    <n v="26"/>
    <n v="12031.491680000001"/>
    <n v="18188.82"/>
    <n v="-6157.3283199999987"/>
    <n v="-0.51176765805651114"/>
  </r>
  <r>
    <s v="ORD-2023-867285"/>
    <d v="2023-04-12T00:00:00"/>
    <x v="125"/>
    <s v="Q2-2023"/>
    <d v="2023-04-17T00:00:00"/>
    <d v="2023-04-17T00:00:00"/>
    <n v="5"/>
    <n v="5"/>
    <x v="1"/>
    <x v="6"/>
    <x v="3"/>
    <x v="7"/>
    <s v="Lyon"/>
    <s v="Europe - France - Lyon"/>
    <s v="Enterprise"/>
    <x v="4"/>
    <x v="6"/>
    <x v="5"/>
    <x v="135"/>
    <n v="1087.81"/>
    <n v="2323.87"/>
    <n v="2323.87"/>
    <s v="High"/>
    <n v="9.4E-2"/>
    <n v="9.4E-2"/>
    <x v="0"/>
    <n v="13"/>
    <n v="27370.540859999997"/>
    <n v="14141.529999999999"/>
    <n v="13229.010859999999"/>
    <n v="0.48333026839572651"/>
  </r>
  <r>
    <s v="ORD-2024-836421"/>
    <d v="2024-12-14T00:00:00"/>
    <x v="126"/>
    <s v="Q4-2024"/>
    <d v="2025-01-12T00:00:00"/>
    <d v="2025-01-12T00:00:00"/>
    <n v="29"/>
    <n v="29"/>
    <x v="0"/>
    <x v="8"/>
    <x v="1"/>
    <x v="9"/>
    <s v="Shenzhen"/>
    <s v="Asia - China - Shenzhen"/>
    <s v="Education"/>
    <x v="1"/>
    <x v="1"/>
    <x v="0"/>
    <x v="136"/>
    <n v="1412.15"/>
    <n v="1631.04"/>
    <n v="1631.04"/>
    <s v="Medium"/>
    <n v="8.9999999999999993E-3"/>
    <n v="8.9999999999999993E-3"/>
    <x v="0"/>
    <n v="6"/>
    <n v="9698.1638399999993"/>
    <n v="8472.9000000000015"/>
    <n v="1225.2638399999978"/>
    <n v="0.12633977526203535"/>
  </r>
  <r>
    <s v="ORD-2023-613287"/>
    <d v="2023-03-31T00:00:00"/>
    <x v="50"/>
    <s v="Q1-2023"/>
    <d v="2023-04-12T00:00:00"/>
    <d v="2023-04-12T00:00:00"/>
    <n v="12"/>
    <n v="12"/>
    <x v="0"/>
    <x v="0"/>
    <x v="0"/>
    <x v="0"/>
    <s v="Mombasa"/>
    <s v="Africa - Kenya - Mombasa"/>
    <s v="Small Business"/>
    <x v="1"/>
    <x v="0"/>
    <x v="3"/>
    <x v="137"/>
    <n v="304.22000000000003"/>
    <n v="393.31"/>
    <n v="393.31"/>
    <s v="Low"/>
    <n v="0.26500000000000001"/>
    <n v="0.26500000000000001"/>
    <x v="1"/>
    <n v="15"/>
    <n v="4336.2427499999994"/>
    <n v="4563.3"/>
    <n v="-227.05725000000075"/>
    <n v="-5.2362670424759034E-2"/>
  </r>
  <r>
    <s v="ORD-2024-783321"/>
    <d v="2024-11-20T00:00:00"/>
    <x v="127"/>
    <s v="Q4-2024"/>
    <d v="2024-12-15T00:00:00"/>
    <d v="2024-12-15T00:00:00"/>
    <n v="25"/>
    <n v="25"/>
    <x v="0"/>
    <x v="6"/>
    <x v="3"/>
    <x v="7"/>
    <s v="Paris"/>
    <s v="Europe - France - Paris"/>
    <s v="Corporate"/>
    <x v="1"/>
    <x v="3"/>
    <x v="1"/>
    <x v="138"/>
    <n v="1203.58"/>
    <n v="1856.16"/>
    <n v="1856.16"/>
    <s v="High"/>
    <n v="0.129"/>
    <n v="0.129"/>
    <x v="0"/>
    <n v="22"/>
    <n v="35567.737920000007"/>
    <n v="26478.76"/>
    <n v="9088.9779200000085"/>
    <n v="0.25553994860295032"/>
  </r>
  <r>
    <s v="ORD-2024-232632"/>
    <d v="2024-02-14T00:00:00"/>
    <x v="128"/>
    <s v="Q1-2024"/>
    <d v="2024-02-14T00:00:00"/>
    <d v="2024-02-14T00:00:00"/>
    <n v="0"/>
    <n v="0"/>
    <x v="1"/>
    <x v="8"/>
    <x v="1"/>
    <x v="9"/>
    <s v="Beijing"/>
    <s v="Asia - China - Beijing"/>
    <s v="Corporate"/>
    <x v="3"/>
    <x v="4"/>
    <x v="6"/>
    <x v="139"/>
    <n v="65.930000000000007"/>
    <n v="84.9"/>
    <n v="84.9"/>
    <s v="Low"/>
    <n v="0.25900000000000001"/>
    <n v="0.25900000000000001"/>
    <x v="1"/>
    <n v="23"/>
    <n v="1446.9507000000001"/>
    <n v="1516.39"/>
    <n v="-69.439300000000003"/>
    <n v="-4.7990093926489688E-2"/>
  </r>
  <r>
    <s v="ORD-2023-906481"/>
    <d v="2023-05-02T00:00:00"/>
    <x v="129"/>
    <s v="Q2-2023"/>
    <d v="2023-05-18T00:00:00"/>
    <d v="2023-05-18T00:00:00"/>
    <n v="16"/>
    <n v="16"/>
    <x v="0"/>
    <x v="4"/>
    <x v="1"/>
    <x v="4"/>
    <s v="Delhi"/>
    <s v="Asia - India - Delhi"/>
    <s v="Small Business"/>
    <x v="2"/>
    <x v="11"/>
    <x v="5"/>
    <x v="140"/>
    <n v="1463.92"/>
    <n v="2252.2399999999998"/>
    <n v="2252.2399999999998"/>
    <s v="High"/>
    <n v="0.11799999999999999"/>
    <n v="0.11799999999999999"/>
    <x v="0"/>
    <n v="44"/>
    <n v="87404.929919999995"/>
    <n v="64412.480000000003"/>
    <n v="22992.449919999992"/>
    <n v="0.26305667130040061"/>
  </r>
  <r>
    <s v="ORD-2024-902741"/>
    <d v="2024-12-23T00:00:00"/>
    <x v="130"/>
    <s v="Q4-2024"/>
    <d v="2025-01-11T00:00:00"/>
    <d v="2025-01-11T00:00:00"/>
    <n v="19"/>
    <n v="19"/>
    <x v="0"/>
    <x v="5"/>
    <x v="3"/>
    <x v="6"/>
    <s v="Berlin"/>
    <s v="Europe - Germany - Berlin"/>
    <s v="Education"/>
    <x v="0"/>
    <x v="11"/>
    <x v="3"/>
    <x v="141"/>
    <n v="501.81"/>
    <n v="921.62"/>
    <n v="921.62"/>
    <s v="Medium"/>
    <n v="0.01"/>
    <n v="0.01"/>
    <x v="0"/>
    <n v="9"/>
    <n v="8211.6342000000004"/>
    <n v="4516.29"/>
    <n v="3695.3442000000005"/>
    <n v="0.45001325071202031"/>
  </r>
  <r>
    <s v="ORD-2023-912395"/>
    <d v="2023-07-26T00:00:00"/>
    <x v="131"/>
    <s v="Q3-2023"/>
    <d v="2023-08-25T00:00:00"/>
    <d v="2023-08-25T00:00:00"/>
    <n v="30"/>
    <n v="30"/>
    <x v="0"/>
    <x v="9"/>
    <x v="2"/>
    <x v="10"/>
    <s v="New York"/>
    <s v="Americas - USA - New York"/>
    <s v="Consumer"/>
    <x v="0"/>
    <x v="12"/>
    <x v="6"/>
    <x v="142"/>
    <n v="1261.48"/>
    <n v="1643.18"/>
    <n v="1643.18"/>
    <s v="High"/>
    <n v="0.151"/>
    <n v="0.151"/>
    <x v="0"/>
    <n v="23"/>
    <n v="32086.37586"/>
    <n v="29014.04"/>
    <n v="3072.3358599999992"/>
    <n v="9.5752037357079045E-2"/>
  </r>
  <r>
    <s v="ORD-2024-389102"/>
    <d v="2024-06-15T00:00:00"/>
    <x v="132"/>
    <s v="Q2-2024"/>
    <d v="2024-07-06T00:00:00"/>
    <d v="2024-07-06T00:00:00"/>
    <n v="21"/>
    <n v="21"/>
    <x v="0"/>
    <x v="3"/>
    <x v="2"/>
    <x v="3"/>
    <s v="Toronto"/>
    <s v="Americas - Canada - Toronto"/>
    <s v="Enterprise"/>
    <x v="3"/>
    <x v="4"/>
    <x v="1"/>
    <x v="143"/>
    <n v="817.23"/>
    <n v="1467.17"/>
    <n v="1467.17"/>
    <s v="Medium"/>
    <n v="0.245"/>
    <n v="0.245"/>
    <x v="1"/>
    <n v="9"/>
    <n v="9969.4201499999999"/>
    <n v="7355.07"/>
    <n v="2614.3501500000002"/>
    <n v="0.26223693160328893"/>
  </r>
  <r>
    <s v="ORD-2023-309373"/>
    <d v="2023-07-05T00:00:00"/>
    <x v="133"/>
    <s v="Q3-2023"/>
    <d v="2023-07-14T00:00:00"/>
    <d v="2023-07-14T00:00:00"/>
    <n v="9"/>
    <n v="9"/>
    <x v="0"/>
    <x v="4"/>
    <x v="2"/>
    <x v="5"/>
    <s v="Brasília"/>
    <s v="Americas - Brazil - Brasília"/>
    <s v="Enterprise"/>
    <x v="4"/>
    <x v="5"/>
    <x v="2"/>
    <x v="144"/>
    <n v="578.85"/>
    <n v="998.76"/>
    <n v="998.76"/>
    <s v="Medium"/>
    <n v="8.2000000000000003E-2"/>
    <n v="8.2000000000000003E-2"/>
    <x v="0"/>
    <n v="28"/>
    <n v="25672.127039999999"/>
    <n v="16207.800000000001"/>
    <n v="9464.3270399999983"/>
    <n v="0.36866158480960831"/>
  </r>
  <r>
    <s v="ORD-2023-825495"/>
    <d v="2023-11-30T00:00:00"/>
    <x v="134"/>
    <s v="Q4-2023"/>
    <d v="2023-11-29T00:00:00"/>
    <d v="2023-12-17T00:00:00"/>
    <n v="-1"/>
    <n v="17"/>
    <x v="0"/>
    <x v="10"/>
    <x v="0"/>
    <x v="11"/>
    <s v="Durban"/>
    <s v="Africa - South Africa - Durban"/>
    <s v="Small Business"/>
    <x v="2"/>
    <x v="6"/>
    <x v="4"/>
    <x v="145"/>
    <n v="275.56"/>
    <n v="630.72"/>
    <n v="630.72"/>
    <s v="Low"/>
    <n v="0.107"/>
    <n v="0.107"/>
    <x v="0"/>
    <n v="23"/>
    <n v="12954.358080000002"/>
    <n v="6337.88"/>
    <n v="6616.4780800000017"/>
    <n v="0.5107530638831933"/>
  </r>
  <r>
    <s v="ORD-2025-244832"/>
    <d v="2025-09-11T00:00:00"/>
    <x v="135"/>
    <s v="Q3-2025"/>
    <d v="2025-09-28T00:00:00"/>
    <d v="2025-09-28T00:00:00"/>
    <n v="17"/>
    <n v="17"/>
    <x v="0"/>
    <x v="0"/>
    <x v="0"/>
    <x v="0"/>
    <s v="Nairobi"/>
    <s v="Africa - Kenya - Nairobi"/>
    <s v="Non-Profit"/>
    <x v="3"/>
    <x v="1"/>
    <x v="4"/>
    <x v="146"/>
    <n v="891.46"/>
    <n v="728.61"/>
    <n v="728.61"/>
    <s v="Low"/>
    <n v="0.185"/>
    <n v="0.185"/>
    <x v="0"/>
    <n v="6"/>
    <n v="3562.9028999999996"/>
    <n v="5348.76"/>
    <n v="-1785.8571000000006"/>
    <n v="-0.50123653383874167"/>
  </r>
  <r>
    <s v="ORD-2024-211453"/>
    <d v="2024-04-04T00:00:00"/>
    <x v="136"/>
    <s v="Q2-2024"/>
    <d v="2024-04-24T00:00:00"/>
    <d v="2024-04-24T00:00:00"/>
    <n v="20"/>
    <n v="20"/>
    <x v="0"/>
    <x v="5"/>
    <x v="3"/>
    <x v="6"/>
    <s v="Frankfurt"/>
    <s v="Europe - Germany - Frankfurt"/>
    <s v="Non-Profit"/>
    <x v="4"/>
    <x v="7"/>
    <x v="6"/>
    <x v="147"/>
    <n v="683.42"/>
    <n v="951.51"/>
    <n v="951.51"/>
    <s v="Medium"/>
    <n v="0"/>
    <n v="0"/>
    <x v="0"/>
    <n v="14"/>
    <n v="13321.14"/>
    <n v="9567.8799999999992"/>
    <n v="3753.26"/>
    <n v="0.28175216235247136"/>
  </r>
  <r>
    <s v="ORD-2023-192324"/>
    <d v="2023-09-14T00:00:00"/>
    <x v="137"/>
    <s v="Q3-2023"/>
    <d v="2023-09-16T00:00:00"/>
    <d v="2023-09-16T00:00:00"/>
    <n v="2"/>
    <n v="2"/>
    <x v="1"/>
    <x v="6"/>
    <x v="3"/>
    <x v="7"/>
    <s v="Lyon"/>
    <s v="Europe - France - Lyon"/>
    <s v="Non-Profit"/>
    <x v="4"/>
    <x v="5"/>
    <x v="1"/>
    <x v="148"/>
    <n v="376.83"/>
    <n v="732.88"/>
    <n v="732.88"/>
    <s v="Low"/>
    <n v="0.188"/>
    <n v="0.188"/>
    <x v="0"/>
    <n v="25"/>
    <n v="14877.464000000002"/>
    <n v="9420.75"/>
    <n v="5456.7140000000018"/>
    <n v="0.36677716040852132"/>
  </r>
  <r>
    <s v="ORD-2024-438404"/>
    <d v="2024-09-23T00:00:00"/>
    <x v="138"/>
    <s v="Q3-2024"/>
    <d v="2024-10-18T00:00:00"/>
    <d v="2024-10-18T00:00:00"/>
    <n v="25"/>
    <n v="25"/>
    <x v="0"/>
    <x v="3"/>
    <x v="2"/>
    <x v="3"/>
    <s v="Vancouver"/>
    <s v="Americas - Canada - Vancouver"/>
    <s v="Small Business"/>
    <x v="1"/>
    <x v="13"/>
    <x v="3"/>
    <x v="149"/>
    <n v="1297"/>
    <n v="2411.52"/>
    <n v="2411.52"/>
    <s v="High"/>
    <n v="2.1000000000000001E-2"/>
    <n v="2.1000000000000001E-2"/>
    <x v="0"/>
    <n v="18"/>
    <n v="42495.805439999996"/>
    <n v="23346"/>
    <n v="19149.805439999996"/>
    <n v="0.45062813239385913"/>
  </r>
  <r>
    <s v="ORD-2025-246470"/>
    <d v="2025-04-16T00:00:00"/>
    <x v="139"/>
    <s v="Q2-2025"/>
    <d v="2025-05-16T00:00:00"/>
    <d v="2025-05-16T00:00:00"/>
    <n v="30"/>
    <n v="30"/>
    <x v="0"/>
    <x v="3"/>
    <x v="2"/>
    <x v="3"/>
    <s v="Montreal"/>
    <s v="Americas - Canada - Montreal"/>
    <s v="Enterprise"/>
    <x v="3"/>
    <x v="11"/>
    <x v="1"/>
    <x v="150"/>
    <n v="763.32"/>
    <n v="568.29"/>
    <n v="568.29"/>
    <s v="Low"/>
    <n v="0.13100000000000001"/>
    <n v="0.13100000000000001"/>
    <x v="0"/>
    <n v="16"/>
    <n v="7901.5041599999995"/>
    <n v="12213.12"/>
    <n v="-4311.6158400000013"/>
    <n v="-0.54567026134426555"/>
  </r>
  <r>
    <s v="ORD-2023-497686"/>
    <d v="2023-07-03T00:00:00"/>
    <x v="140"/>
    <s v="Q3-2023"/>
    <d v="2023-07-23T00:00:00"/>
    <d v="2023-07-23T00:00:00"/>
    <n v="20"/>
    <n v="20"/>
    <x v="0"/>
    <x v="10"/>
    <x v="0"/>
    <x v="11"/>
    <s v="Johannesburg"/>
    <s v="Africa - South Africa - Johannesburg"/>
    <s v="Small Business"/>
    <x v="3"/>
    <x v="9"/>
    <x v="4"/>
    <x v="151"/>
    <n v="1001.96"/>
    <n v="1254.95"/>
    <n v="1254.95"/>
    <s v="Medium"/>
    <n v="4.4999999999999998E-2"/>
    <n v="4.4999999999999998E-2"/>
    <x v="0"/>
    <n v="18"/>
    <n v="21572.590500000002"/>
    <n v="18035.28"/>
    <n v="3537.3105000000032"/>
    <n v="0.16397244920585699"/>
  </r>
  <r>
    <s v="ORD-2023-596758"/>
    <d v="2023-12-07T00:00:00"/>
    <x v="141"/>
    <s v="Q4-2023"/>
    <d v="2023-12-05T00:00:00"/>
    <d v="2023-12-15T00:00:00"/>
    <n v="-2"/>
    <n v="8"/>
    <x v="0"/>
    <x v="2"/>
    <x v="1"/>
    <x v="2"/>
    <s v="Tokyo"/>
    <s v="Asia - Japan - Tokyo"/>
    <s v="Non-Profit"/>
    <x v="2"/>
    <x v="10"/>
    <x v="1"/>
    <x v="152"/>
    <n v="1097.5899999999999"/>
    <n v="845.55"/>
    <n v="845.55"/>
    <s v="Medium"/>
    <n v="0.184"/>
    <n v="0.184"/>
    <x v="0"/>
    <n v="6"/>
    <n v="4139.8127999999997"/>
    <n v="6585.5399999999991"/>
    <n v="-2445.7271999999994"/>
    <n v="-0.59078207594314402"/>
  </r>
  <r>
    <s v="ORD-2024-201376"/>
    <d v="2024-02-18T00:00:00"/>
    <x v="142"/>
    <s v="Q1-2024"/>
    <d v="2024-03-04T00:00:00"/>
    <d v="2024-03-04T00:00:00"/>
    <n v="15"/>
    <n v="15"/>
    <x v="0"/>
    <x v="0"/>
    <x v="0"/>
    <x v="0"/>
    <s v="Kisumu"/>
    <s v="Africa - Kenya - Kisumu"/>
    <s v="Education"/>
    <x v="4"/>
    <x v="11"/>
    <x v="1"/>
    <x v="153"/>
    <n v="928.68"/>
    <n v="2145.17"/>
    <n v="2145.17"/>
    <s v="High"/>
    <n v="0.13600000000000001"/>
    <n v="0.13600000000000001"/>
    <x v="0"/>
    <n v="16"/>
    <n v="29654.83008"/>
    <n v="14858.88"/>
    <n v="14795.950080000001"/>
    <n v="0.49893896003062177"/>
  </r>
  <r>
    <s v="ORD-2023-842488"/>
    <d v="2023-10-31T00:00:00"/>
    <x v="143"/>
    <s v="Q4-2023"/>
    <d v="2023-11-02T00:00:00"/>
    <d v="2023-11-02T00:00:00"/>
    <n v="2"/>
    <n v="2"/>
    <x v="1"/>
    <x v="0"/>
    <x v="0"/>
    <x v="0"/>
    <s v="Kisumu"/>
    <s v="Africa - Kenya - Kisumu"/>
    <s v="Education"/>
    <x v="0"/>
    <x v="7"/>
    <x v="6"/>
    <x v="154"/>
    <n v="867.89"/>
    <n v="1349.94"/>
    <n v="1349.94"/>
    <s v="Medium"/>
    <n v="0.184"/>
    <n v="0.184"/>
    <x v="0"/>
    <n v="10"/>
    <n v="11015.510400000003"/>
    <n v="8678.9"/>
    <n v="2336.6104000000032"/>
    <n v="0.21212003031652557"/>
  </r>
  <r>
    <s v="ORD-2024-136321"/>
    <d v="2024-08-07T00:00:00"/>
    <x v="144"/>
    <s v="Q3-2024"/>
    <d v="2024-08-17T00:00:00"/>
    <d v="2024-08-17T00:00:00"/>
    <n v="10"/>
    <n v="10"/>
    <x v="0"/>
    <x v="2"/>
    <x v="1"/>
    <x v="2"/>
    <s v="Osaka"/>
    <s v="Asia - Japan - Osaka"/>
    <s v="Consumer"/>
    <x v="1"/>
    <x v="11"/>
    <x v="2"/>
    <x v="155"/>
    <n v="436.58"/>
    <n v="527.48"/>
    <n v="527.48"/>
    <s v="Low"/>
    <n v="0.111"/>
    <n v="0.111"/>
    <x v="0"/>
    <n v="19"/>
    <n v="8909.6646800000017"/>
    <n v="8295.02"/>
    <n v="614.64468000000124"/>
    <n v="6.8986286473802644E-2"/>
  </r>
  <r>
    <s v="ORD-2024-764468"/>
    <d v="2024-02-01T00:00:00"/>
    <x v="145"/>
    <s v="Q1-2024"/>
    <d v="2024-02-21T00:00:00"/>
    <d v="2024-02-21T00:00:00"/>
    <n v="20"/>
    <n v="20"/>
    <x v="0"/>
    <x v="6"/>
    <x v="3"/>
    <x v="7"/>
    <s v="Paris"/>
    <s v="Europe - France - Paris"/>
    <s v="Small Business"/>
    <x v="2"/>
    <x v="8"/>
    <x v="2"/>
    <x v="156"/>
    <n v="656.2"/>
    <n v="1467.17"/>
    <n v="1467.17"/>
    <s v="Medium"/>
    <n v="1.7999999999999999E-2"/>
    <n v="1.7999999999999999E-2"/>
    <x v="0"/>
    <n v="5"/>
    <n v="7203.8047000000006"/>
    <n v="3281"/>
    <n v="3922.8047000000006"/>
    <n v="0.54454623124360946"/>
  </r>
  <r>
    <s v="ORD-2024-553449"/>
    <d v="2024-08-27T00:00:00"/>
    <x v="38"/>
    <s v="Q3-2024"/>
    <d v="2024-09-18T00:00:00"/>
    <d v="2024-09-18T00:00:00"/>
    <n v="22"/>
    <n v="22"/>
    <x v="0"/>
    <x v="4"/>
    <x v="1"/>
    <x v="4"/>
    <s v="Delhi"/>
    <s v="Asia - India - Delhi"/>
    <s v="Consumer"/>
    <x v="4"/>
    <x v="5"/>
    <x v="0"/>
    <x v="157"/>
    <n v="896.75"/>
    <n v="1651.14"/>
    <n v="1651.14"/>
    <s v="High"/>
    <n v="2.5000000000000001E-2"/>
    <n v="2.5000000000000001E-2"/>
    <x v="0"/>
    <n v="15"/>
    <n v="24147.922500000001"/>
    <n v="13451.25"/>
    <n v="10696.672500000001"/>
    <n v="0.44296450346815552"/>
  </r>
  <r>
    <s v="ORD-2025-766923"/>
    <d v="2025-02-15T00:00:00"/>
    <x v="146"/>
    <s v="Q1-2025"/>
    <d v="2025-02-15T00:00:00"/>
    <d v="2025-02-15T00:00:00"/>
    <n v="0"/>
    <n v="0"/>
    <x v="1"/>
    <x v="5"/>
    <x v="3"/>
    <x v="6"/>
    <s v="Frankfurt"/>
    <s v="Europe - Germany - Frankfurt"/>
    <s v="Small Business"/>
    <x v="2"/>
    <x v="4"/>
    <x v="6"/>
    <x v="158"/>
    <n v="815.83"/>
    <n v="1982.18"/>
    <n v="1982.18"/>
    <s v="High"/>
    <n v="0.127"/>
    <n v="0.127"/>
    <x v="0"/>
    <n v="6"/>
    <n v="10382.65884"/>
    <n v="4894.9800000000005"/>
    <n v="5487.6788399999996"/>
    <n v="0.52854272923408507"/>
  </r>
  <r>
    <s v="ORD-2025-418232"/>
    <d v="2025-08-01T00:00:00"/>
    <x v="90"/>
    <s v="Q3-2025"/>
    <d v="2025-08-21T00:00:00"/>
    <d v="2025-08-21T00:00:00"/>
    <n v="20"/>
    <n v="20"/>
    <x v="0"/>
    <x v="8"/>
    <x v="1"/>
    <x v="9"/>
    <s v="Shanghai"/>
    <s v="Asia - China - Shanghai"/>
    <s v="Corporate"/>
    <x v="4"/>
    <x v="2"/>
    <x v="3"/>
    <x v="159"/>
    <n v="1220.4100000000001"/>
    <n v="2552.2199999999998"/>
    <n v="2552.2199999999998"/>
    <s v="High"/>
    <n v="0.18099999999999999"/>
    <n v="0.18099999999999999"/>
    <x v="0"/>
    <n v="14"/>
    <n v="29263.754519999995"/>
    <n v="17085.740000000002"/>
    <n v="12178.014519999993"/>
    <n v="0.41614668793360271"/>
  </r>
  <r>
    <s v="ORD-2023-848013"/>
    <d v="2023-02-20T00:00:00"/>
    <x v="147"/>
    <s v="Q1-2023"/>
    <d v="2023-03-04T00:00:00"/>
    <d v="2023-03-04T00:00:00"/>
    <n v="12"/>
    <n v="12"/>
    <x v="0"/>
    <x v="4"/>
    <x v="1"/>
    <x v="4"/>
    <s v="Delhi"/>
    <s v="Asia - India - Delhi"/>
    <s v="Consumer"/>
    <x v="3"/>
    <x v="12"/>
    <x v="5"/>
    <x v="160"/>
    <n v="299.75"/>
    <n v="523.01"/>
    <n v="523.01"/>
    <s v="Low"/>
    <n v="0.157"/>
    <n v="0.157"/>
    <x v="0"/>
    <n v="50"/>
    <n v="22044.871499999997"/>
    <n v="14987.5"/>
    <n v="7057.3714999999975"/>
    <n v="0.32013665854210122"/>
  </r>
  <r>
    <s v="ORD-2024-357368"/>
    <d v="2024-10-30T00:00:00"/>
    <x v="148"/>
    <s v="Q4-2024"/>
    <d v="2024-11-24T00:00:00"/>
    <d v="2024-11-24T00:00:00"/>
    <n v="25"/>
    <n v="25"/>
    <x v="0"/>
    <x v="8"/>
    <x v="1"/>
    <x v="9"/>
    <s v="Shenzhen"/>
    <s v="Asia - China - Shenzhen"/>
    <s v="Small Business"/>
    <x v="1"/>
    <x v="6"/>
    <x v="0"/>
    <x v="161"/>
    <n v="811.05"/>
    <n v="1217.71"/>
    <n v="1217.71"/>
    <s v="Medium"/>
    <n v="7.1999999999999995E-2"/>
    <n v="7.1999999999999995E-2"/>
    <x v="0"/>
    <n v="5"/>
    <n v="5650.1744000000008"/>
    <n v="4055.25"/>
    <n v="1594.9244000000008"/>
    <n v="0.28227879125288602"/>
  </r>
  <r>
    <s v="ORD-2024-219735"/>
    <d v="2024-04-03T00:00:00"/>
    <x v="149"/>
    <s v="Q2-2024"/>
    <d v="2024-04-07T00:00:00"/>
    <d v="2024-04-07T00:00:00"/>
    <n v="4"/>
    <n v="4"/>
    <x v="1"/>
    <x v="4"/>
    <x v="2"/>
    <x v="5"/>
    <s v="Brasília"/>
    <s v="Americas - Brazil - Brasília"/>
    <s v="Non-Profit"/>
    <x v="4"/>
    <x v="13"/>
    <x v="3"/>
    <x v="162"/>
    <n v="1023.27"/>
    <n v="1343.64"/>
    <n v="1343.64"/>
    <s v="Medium"/>
    <n v="0.13300000000000001"/>
    <n v="0.13300000000000001"/>
    <x v="0"/>
    <n v="7"/>
    <n v="8154.5511600000009"/>
    <n v="7162.8899999999994"/>
    <n v="991.66116000000147"/>
    <n v="0.12160830688810116"/>
  </r>
  <r>
    <s v="ORD-2023-240507"/>
    <d v="2023-03-25T00:00:00"/>
    <x v="150"/>
    <s v="Q1-2023"/>
    <d v="2023-03-26T00:00:00"/>
    <d v="2023-03-26T00:00:00"/>
    <n v="1"/>
    <n v="1"/>
    <x v="1"/>
    <x v="2"/>
    <x v="1"/>
    <x v="2"/>
    <s v="Osaka"/>
    <s v="Asia - Japan - Osaka"/>
    <s v="Small Business"/>
    <x v="3"/>
    <x v="2"/>
    <x v="5"/>
    <x v="163"/>
    <n v="135.12"/>
    <n v="301.7"/>
    <n v="301.7"/>
    <s v="Low"/>
    <n v="0.14000000000000001"/>
    <n v="0.14000000000000001"/>
    <x v="0"/>
    <n v="47"/>
    <n v="12194.714"/>
    <n v="6350.64"/>
    <n v="5844.0739999999996"/>
    <n v="0.47923009920527859"/>
  </r>
  <r>
    <s v="ORD-2024-134084"/>
    <d v="2024-06-04T00:00:00"/>
    <x v="151"/>
    <s v="Q2-2024"/>
    <d v="2024-06-16T00:00:00"/>
    <d v="2024-06-16T00:00:00"/>
    <n v="12"/>
    <n v="12"/>
    <x v="0"/>
    <x v="8"/>
    <x v="1"/>
    <x v="9"/>
    <s v="Shanghai"/>
    <s v="Asia - China - Shanghai"/>
    <s v="Corporate"/>
    <x v="0"/>
    <x v="1"/>
    <x v="1"/>
    <x v="164"/>
    <n v="918.42"/>
    <n v="1511.71"/>
    <n v="1511.71"/>
    <s v="Medium"/>
    <n v="0.02"/>
    <n v="0.02"/>
    <x v="0"/>
    <n v="8"/>
    <n v="11851.806399999999"/>
    <n v="7347.36"/>
    <n v="4504.4463999999998"/>
    <n v="0.38006412254590999"/>
  </r>
  <r>
    <s v="ORD-2023-884625"/>
    <d v="2023-02-19T00:00:00"/>
    <x v="152"/>
    <s v="Q1-2023"/>
    <d v="2023-03-12T00:00:00"/>
    <d v="2023-03-12T00:00:00"/>
    <n v="21"/>
    <n v="21"/>
    <x v="0"/>
    <x v="5"/>
    <x v="3"/>
    <x v="6"/>
    <s v="Berlin"/>
    <s v="Europe - Germany - Berlin"/>
    <s v="Small Business"/>
    <x v="4"/>
    <x v="4"/>
    <x v="5"/>
    <x v="165"/>
    <n v="1234.81"/>
    <n v="2055.2399999999998"/>
    <n v="2055.2399999999998"/>
    <s v="High"/>
    <n v="5.2999999999999999E-2"/>
    <n v="5.2999999999999999E-2"/>
    <x v="0"/>
    <n v="44"/>
    <n v="85637.740319999997"/>
    <n v="54331.64"/>
    <n v="31306.100319999998"/>
    <n v="0.36556429680441616"/>
  </r>
  <r>
    <s v="ORD-2023-157993"/>
    <d v="2023-04-18T00:00:00"/>
    <x v="153"/>
    <s v="Q2-2023"/>
    <d v="2023-05-18T00:00:00"/>
    <d v="2023-05-18T00:00:00"/>
    <n v="30"/>
    <n v="30"/>
    <x v="0"/>
    <x v="8"/>
    <x v="1"/>
    <x v="9"/>
    <s v="Shenzhen"/>
    <s v="Asia - China - Shenzhen"/>
    <s v="Non-Profit"/>
    <x v="0"/>
    <x v="10"/>
    <x v="4"/>
    <x v="166"/>
    <n v="329.03"/>
    <n v="391.15"/>
    <n v="391.15"/>
    <s v="Low"/>
    <n v="0.19700000000000001"/>
    <n v="0.19700000000000001"/>
    <x v="0"/>
    <n v="46"/>
    <n v="14448.298699999998"/>
    <n v="15135.38"/>
    <n v="-687.08130000000165"/>
    <n v="-4.7554477815440081E-2"/>
  </r>
  <r>
    <s v="ORD-2024-329104"/>
    <d v="2024-05-23T00:00:00"/>
    <x v="154"/>
    <s v="Q2-2024"/>
    <d v="2024-06-14T00:00:00"/>
    <d v="2024-06-14T00:00:00"/>
    <n v="22"/>
    <n v="22"/>
    <x v="0"/>
    <x v="6"/>
    <x v="3"/>
    <x v="7"/>
    <s v="Marseille"/>
    <s v="Europe - France - Marseille"/>
    <s v="Small Business"/>
    <x v="1"/>
    <x v="13"/>
    <x v="5"/>
    <x v="167"/>
    <n v="1481.74"/>
    <n v="1848.97"/>
    <n v="1848.97"/>
    <s v="High"/>
    <n v="0.254"/>
    <n v="0.254"/>
    <x v="1"/>
    <n v="9"/>
    <n v="12413.98458"/>
    <n v="13335.66"/>
    <n v="-921.67541999999958"/>
    <n v="-7.4244930309072407E-2"/>
  </r>
  <r>
    <s v="ORD-2023-304451"/>
    <d v="2023-10-07T00:00:00"/>
    <x v="155"/>
    <s v="Q4-2023"/>
    <d v="2023-10-23T00:00:00"/>
    <d v="2023-10-23T00:00:00"/>
    <n v="16"/>
    <n v="16"/>
    <x v="0"/>
    <x v="4"/>
    <x v="1"/>
    <x v="4"/>
    <s v="Hyderabad"/>
    <s v="Asia - India - Hyderabad"/>
    <s v="Consumer"/>
    <x v="0"/>
    <x v="3"/>
    <x v="5"/>
    <x v="168"/>
    <n v="906.81"/>
    <n v="1395.56"/>
    <n v="1395.56"/>
    <s v="Medium"/>
    <n v="0.185"/>
    <n v="0.185"/>
    <x v="0"/>
    <n v="6"/>
    <n v="6824.2884000000004"/>
    <n v="5440.86"/>
    <n v="1383.4284000000007"/>
    <n v="0.20272126834498974"/>
  </r>
  <r>
    <s v="ORD-2024-942981"/>
    <d v="2024-10-09T00:00:00"/>
    <x v="156"/>
    <s v="Q4-2024"/>
    <d v="2024-11-08T00:00:00"/>
    <d v="2024-11-08T00:00:00"/>
    <n v="30"/>
    <n v="30"/>
    <x v="0"/>
    <x v="7"/>
    <x v="3"/>
    <x v="8"/>
    <s v="Manchester"/>
    <s v="Europe - United Kingdom - Manchester"/>
    <s v="Small Business"/>
    <x v="3"/>
    <x v="1"/>
    <x v="0"/>
    <x v="169"/>
    <n v="343.85"/>
    <n v="538.04"/>
    <n v="538.04"/>
    <s v="Low"/>
    <n v="0.13900000000000001"/>
    <n v="0.13900000000000001"/>
    <x v="0"/>
    <n v="5"/>
    <n v="2316.2621999999997"/>
    <n v="1719.25"/>
    <n v="597.01219999999967"/>
    <n v="0.25774810813732563"/>
  </r>
  <r>
    <s v="ORD-2024-605629"/>
    <d v="2024-07-15T00:00:00"/>
    <x v="157"/>
    <s v="Q3-2024"/>
    <d v="2024-07-15T00:00:00"/>
    <d v="2024-07-15T00:00:00"/>
    <n v="0"/>
    <n v="0"/>
    <x v="1"/>
    <x v="2"/>
    <x v="1"/>
    <x v="2"/>
    <s v="Tokyo"/>
    <s v="Asia - Japan - Tokyo"/>
    <s v="Small Business"/>
    <x v="2"/>
    <x v="3"/>
    <x v="6"/>
    <x v="170"/>
    <n v="801.77"/>
    <n v="1218.92"/>
    <n v="1218.92"/>
    <s v="Medium"/>
    <n v="0.254"/>
    <n v="0.254"/>
    <x v="1"/>
    <n v="16"/>
    <n v="14549.029120000001"/>
    <n v="12828.32"/>
    <n v="1720.7091200000013"/>
    <n v="0.11826968698788344"/>
  </r>
  <r>
    <s v="ORD-2023-450877"/>
    <d v="2023-09-21T00:00:00"/>
    <x v="158"/>
    <s v="Q3-2023"/>
    <d v="2023-10-10T00:00:00"/>
    <d v="2023-10-10T00:00:00"/>
    <n v="19"/>
    <n v="19"/>
    <x v="0"/>
    <x v="2"/>
    <x v="1"/>
    <x v="2"/>
    <s v="Tokyo"/>
    <s v="Asia - Japan - Tokyo"/>
    <s v="Education"/>
    <x v="1"/>
    <x v="14"/>
    <x v="0"/>
    <x v="171"/>
    <n v="845.63"/>
    <n v="2062.12"/>
    <n v="2062.12"/>
    <s v="High"/>
    <n v="0.13400000000000001"/>
    <n v="0.13400000000000001"/>
    <x v="0"/>
    <n v="5"/>
    <n v="8928.9795999999988"/>
    <n v="4228.1499999999996"/>
    <n v="4700.8295999999991"/>
    <n v="0.52646884757133949"/>
  </r>
  <r>
    <s v="ORD-2023-286994"/>
    <d v="2023-02-24T00:00:00"/>
    <x v="159"/>
    <s v="Q1-2023"/>
    <d v="2023-03-09T00:00:00"/>
    <d v="2023-03-09T00:00:00"/>
    <n v="13"/>
    <n v="13"/>
    <x v="0"/>
    <x v="9"/>
    <x v="2"/>
    <x v="10"/>
    <s v="New York"/>
    <s v="Americas - USA - New York"/>
    <s v="Enterprise"/>
    <x v="1"/>
    <x v="12"/>
    <x v="0"/>
    <x v="172"/>
    <n v="6.85"/>
    <n v="10.18"/>
    <n v="10.18"/>
    <s v="Low"/>
    <n v="4.7E-2"/>
    <n v="4.7E-2"/>
    <x v="0"/>
    <n v="10"/>
    <n v="97.0154"/>
    <n v="68.5"/>
    <n v="28.5154"/>
    <n v="0.2939265312517394"/>
  </r>
  <r>
    <s v="ORD-2025-700847"/>
    <d v="2025-05-21T00:00:00"/>
    <x v="9"/>
    <s v="Q2-2025"/>
    <d v="2025-05-19T00:00:00"/>
    <d v="2025-06-01T00:00:00"/>
    <n v="-2"/>
    <n v="11"/>
    <x v="0"/>
    <x v="10"/>
    <x v="0"/>
    <x v="11"/>
    <s v="Johannesburg"/>
    <s v="Africa - South Africa - Johannesburg"/>
    <s v="Non-Profit"/>
    <x v="3"/>
    <x v="7"/>
    <x v="4"/>
    <x v="173"/>
    <n v="1263.8399999999999"/>
    <n v="2281.7199999999998"/>
    <n v="2281.7199999999998"/>
    <s v="High"/>
    <n v="7.8E-2"/>
    <n v="7.8E-2"/>
    <x v="0"/>
    <n v="15"/>
    <n v="31556.187599999997"/>
    <n v="18957.599999999999"/>
    <n v="12598.587599999999"/>
    <n v="0.39924301882398494"/>
  </r>
  <r>
    <s v="ORD-2024-970848"/>
    <d v="2024-05-23T00:00:00"/>
    <x v="154"/>
    <s v="Q2-2024"/>
    <d v="2024-06-03T00:00:00"/>
    <d v="2024-06-03T00:00:00"/>
    <n v="11"/>
    <n v="11"/>
    <x v="0"/>
    <x v="10"/>
    <x v="0"/>
    <x v="11"/>
    <s v="Johannesburg"/>
    <s v="Africa - South Africa - Johannesburg"/>
    <s v="Small Business"/>
    <x v="3"/>
    <x v="9"/>
    <x v="1"/>
    <x v="174"/>
    <n v="180.89"/>
    <n v="249.57"/>
    <n v="249.57"/>
    <s v="Low"/>
    <n v="2.1999999999999999E-2"/>
    <n v="2.1999999999999999E-2"/>
    <x v="0"/>
    <n v="8"/>
    <n v="1952.6356799999999"/>
    <n v="1447.12"/>
    <n v="505.51567999999997"/>
    <n v="0.25888888806948362"/>
  </r>
  <r>
    <s v="ORD-2025-845715"/>
    <d v="2025-04-14T00:00:00"/>
    <x v="160"/>
    <s v="Q2-2025"/>
    <d v="2025-05-04T00:00:00"/>
    <d v="2025-05-04T00:00:00"/>
    <n v="20"/>
    <n v="20"/>
    <x v="0"/>
    <x v="7"/>
    <x v="3"/>
    <x v="8"/>
    <s v="Birmingham"/>
    <s v="Europe - United Kingdom - Birmingham"/>
    <s v="Enterprise"/>
    <x v="2"/>
    <x v="11"/>
    <x v="5"/>
    <x v="175"/>
    <n v="1413.87"/>
    <n v="3275"/>
    <n v="3275"/>
    <s v="High"/>
    <n v="0.255"/>
    <n v="0.255"/>
    <x v="1"/>
    <n v="38"/>
    <n v="92715.25"/>
    <n v="53727.06"/>
    <n v="38988.19"/>
    <n v="0.42051539525590453"/>
  </r>
  <r>
    <s v="ORD-2023-664749"/>
    <d v="2023-08-27T00:00:00"/>
    <x v="161"/>
    <s v="Q3-2023"/>
    <d v="2023-09-11T00:00:00"/>
    <d v="2023-09-11T00:00:00"/>
    <n v="15"/>
    <n v="15"/>
    <x v="0"/>
    <x v="7"/>
    <x v="3"/>
    <x v="8"/>
    <s v="London"/>
    <s v="Europe - United Kingdom - London"/>
    <s v="Consumer"/>
    <x v="2"/>
    <x v="13"/>
    <x v="1"/>
    <x v="176"/>
    <n v="943.79"/>
    <n v="1913.76"/>
    <n v="1913.76"/>
    <s v="High"/>
    <n v="9.0999999999999998E-2"/>
    <n v="9.0999999999999998E-2"/>
    <x v="0"/>
    <n v="9"/>
    <n v="15656.47056"/>
    <n v="8494.11"/>
    <n v="7162.3605599999992"/>
    <n v="0.45746967891338081"/>
  </r>
  <r>
    <s v="ORD-2024-960952"/>
    <d v="2024-02-03T00:00:00"/>
    <x v="162"/>
    <s v="Q1-2024"/>
    <d v="2024-02-21T00:00:00"/>
    <d v="2024-02-21T00:00:00"/>
    <n v="18"/>
    <n v="18"/>
    <x v="0"/>
    <x v="5"/>
    <x v="3"/>
    <x v="6"/>
    <s v="Frankfurt"/>
    <s v="Europe - Germany - Frankfurt"/>
    <s v="Corporate"/>
    <x v="0"/>
    <x v="10"/>
    <x v="0"/>
    <x v="177"/>
    <n v="39.229999999999997"/>
    <n v="30.09"/>
    <n v="30.09"/>
    <s v="Low"/>
    <n v="0.17699999999999999"/>
    <n v="0.17699999999999999"/>
    <x v="0"/>
    <n v="13"/>
    <n v="321.93290999999999"/>
    <n v="509.98999999999995"/>
    <n v="-188.05708999999996"/>
    <n v="-0.58414993981199359"/>
  </r>
  <r>
    <s v="ORD-2023-987700"/>
    <d v="2023-04-05T00:00:00"/>
    <x v="163"/>
    <s v="Q2-2023"/>
    <d v="2023-04-16T00:00:00"/>
    <d v="2023-04-16T00:00:00"/>
    <n v="11"/>
    <n v="11"/>
    <x v="0"/>
    <x v="3"/>
    <x v="2"/>
    <x v="3"/>
    <s v="Vancouver"/>
    <s v="Americas - Canada - Vancouver"/>
    <s v="Non-Profit"/>
    <x v="1"/>
    <x v="7"/>
    <x v="5"/>
    <x v="178"/>
    <n v="213.1"/>
    <n v="501.31"/>
    <n v="501.31"/>
    <s v="Low"/>
    <n v="5.6000000000000001E-2"/>
    <n v="5.6000000000000001E-2"/>
    <x v="0"/>
    <n v="15"/>
    <n v="7098.5495999999994"/>
    <n v="3196.5"/>
    <n v="3902.0495999999994"/>
    <n v="0.54969674368409005"/>
  </r>
  <r>
    <s v="ORD-2025-652467"/>
    <d v="2025-08-21T00:00:00"/>
    <x v="164"/>
    <s v="Q3-2025"/>
    <d v="2025-09-12T00:00:00"/>
    <d v="2025-09-12T00:00:00"/>
    <n v="22"/>
    <n v="22"/>
    <x v="0"/>
    <x v="8"/>
    <x v="1"/>
    <x v="9"/>
    <s v="Shenzhen"/>
    <s v="Asia - China - Shenzhen"/>
    <s v="Education"/>
    <x v="0"/>
    <x v="5"/>
    <x v="1"/>
    <x v="179"/>
    <n v="352.66"/>
    <n v="411.18"/>
    <n v="411.18"/>
    <s v="Low"/>
    <n v="0.17299999999999999"/>
    <n v="0.17299999999999999"/>
    <x v="0"/>
    <n v="13"/>
    <n v="4420.5961799999995"/>
    <n v="4584.58"/>
    <n v="-163.98382000000038"/>
    <n v="-3.7095408248758066E-2"/>
  </r>
  <r>
    <s v="ORD-2025-667201"/>
    <d v="2025-09-15T00:00:00"/>
    <x v="165"/>
    <s v="Q3-2025"/>
    <d v="2025-09-18T00:00:00"/>
    <d v="2025-09-18T00:00:00"/>
    <n v="3"/>
    <n v="3"/>
    <x v="1"/>
    <x v="4"/>
    <x v="2"/>
    <x v="5"/>
    <s v="Rio de Janeiro"/>
    <s v="Americas - Brazil - Rio de Janeiro"/>
    <s v="Non-Profit"/>
    <x v="4"/>
    <x v="4"/>
    <x v="6"/>
    <x v="180"/>
    <n v="5.5"/>
    <n v="5.92"/>
    <n v="5.92"/>
    <s v="Low"/>
    <n v="0.21199999999999999"/>
    <n v="0.21199999999999999"/>
    <x v="1"/>
    <n v="4"/>
    <n v="18.659839999999999"/>
    <n v="22"/>
    <n v="-3.3401600000000009"/>
    <n v="-0.17900260666758133"/>
  </r>
  <r>
    <s v="ORD-2024-237478"/>
    <d v="2024-10-03T00:00:00"/>
    <x v="166"/>
    <s v="Q4-2024"/>
    <d v="2024-10-11T00:00:00"/>
    <d v="2024-10-11T00:00:00"/>
    <n v="8"/>
    <n v="8"/>
    <x v="0"/>
    <x v="8"/>
    <x v="1"/>
    <x v="9"/>
    <s v="Beijing"/>
    <s v="Asia - China - Beijing"/>
    <s v="Enterprise"/>
    <x v="4"/>
    <x v="5"/>
    <x v="3"/>
    <x v="181"/>
    <n v="1132.6099999999999"/>
    <n v="2206.63"/>
    <n v="2206.63"/>
    <s v="High"/>
    <n v="6.3E-2"/>
    <n v="6.3E-2"/>
    <x v="0"/>
    <n v="20"/>
    <n v="41352.246200000009"/>
    <n v="22652.199999999997"/>
    <n v="18700.046200000012"/>
    <n v="0.45221355351671338"/>
  </r>
  <r>
    <s v="ORD-2025-898843"/>
    <d v="2025-02-02T00:00:00"/>
    <x v="167"/>
    <s v="Q1-2025"/>
    <d v="2025-03-04T00:00:00"/>
    <d v="2025-03-04T00:00:00"/>
    <n v="30"/>
    <n v="30"/>
    <x v="0"/>
    <x v="2"/>
    <x v="1"/>
    <x v="2"/>
    <s v="Osaka"/>
    <s v="Asia - Japan - Osaka"/>
    <s v="Education"/>
    <x v="3"/>
    <x v="4"/>
    <x v="6"/>
    <x v="182"/>
    <n v="766.59"/>
    <n v="1912.8"/>
    <n v="1912.8"/>
    <s v="High"/>
    <n v="0.19600000000000001"/>
    <n v="0.19600000000000001"/>
    <x v="0"/>
    <n v="5"/>
    <n v="7689.4560000000001"/>
    <n v="3832.9500000000003"/>
    <n v="3856.5059999999999"/>
    <n v="0.50153170783472845"/>
  </r>
  <r>
    <s v="ORD-2023-334213"/>
    <d v="2023-08-19T00:00:00"/>
    <x v="66"/>
    <s v="Q3-2023"/>
    <d v="2023-08-23T00:00:00"/>
    <d v="2023-08-23T00:00:00"/>
    <n v="4"/>
    <n v="4"/>
    <x v="1"/>
    <x v="1"/>
    <x v="0"/>
    <x v="1"/>
    <s v="Abuja"/>
    <s v="Africa - Nigeria - Abuja"/>
    <s v="Small Business"/>
    <x v="1"/>
    <x v="1"/>
    <x v="5"/>
    <x v="183"/>
    <n v="790.63"/>
    <n v="1382.31"/>
    <n v="1382.31"/>
    <s v="Medium"/>
    <n v="0.10100000000000001"/>
    <n v="0.10100000000000001"/>
    <x v="0"/>
    <n v="7"/>
    <n v="8698.8768300000011"/>
    <n v="5534.41"/>
    <n v="3164.4668300000012"/>
    <n v="0.36377878338116448"/>
  </r>
  <r>
    <s v="ORD-2024-640340"/>
    <d v="2024-10-22T00:00:00"/>
    <x v="168"/>
    <s v="Q4-2024"/>
    <d v="2024-10-29T00:00:00"/>
    <d v="2024-10-29T00:00:00"/>
    <n v="7"/>
    <n v="7"/>
    <x v="1"/>
    <x v="1"/>
    <x v="0"/>
    <x v="1"/>
    <s v="Port Harcourt"/>
    <s v="Africa - Nigeria - Port Harcourt"/>
    <s v="Enterprise"/>
    <x v="3"/>
    <x v="12"/>
    <x v="5"/>
    <x v="184"/>
    <n v="1023.06"/>
    <n v="1355.61"/>
    <n v="1355.61"/>
    <s v="Medium"/>
    <n v="0.153"/>
    <n v="0.153"/>
    <x v="0"/>
    <n v="23"/>
    <n v="26408.63841"/>
    <n v="23530.379999999997"/>
    <n v="2878.2584100000022"/>
    <n v="0.10898927711888809"/>
  </r>
  <r>
    <s v="ORD-2023-399631"/>
    <d v="2023-06-22T00:00:00"/>
    <x v="169"/>
    <s v="Q2-2023"/>
    <d v="2023-07-21T00:00:00"/>
    <d v="2023-07-21T00:00:00"/>
    <n v="29"/>
    <n v="29"/>
    <x v="0"/>
    <x v="6"/>
    <x v="3"/>
    <x v="7"/>
    <s v="Lyon"/>
    <s v="Europe - France - Lyon"/>
    <s v="Corporate"/>
    <x v="0"/>
    <x v="1"/>
    <x v="6"/>
    <x v="185"/>
    <n v="734.34"/>
    <n v="887.9"/>
    <n v="887.9"/>
    <s v="Medium"/>
    <n v="2.5000000000000001E-2"/>
    <n v="2.5000000000000001E-2"/>
    <x v="0"/>
    <n v="12"/>
    <n v="10388.429999999998"/>
    <n v="8812.08"/>
    <n v="1576.3499999999985"/>
    <n v="0.15174092716608753"/>
  </r>
  <r>
    <s v="ORD-2025-542939"/>
    <d v="2025-01-13T00:00:00"/>
    <x v="170"/>
    <s v="Q1-2025"/>
    <d v="2025-02-08T00:00:00"/>
    <d v="2025-02-08T00:00:00"/>
    <n v="26"/>
    <n v="26"/>
    <x v="0"/>
    <x v="6"/>
    <x v="3"/>
    <x v="7"/>
    <s v="Paris"/>
    <s v="Europe - France - Paris"/>
    <s v="Non-Profit"/>
    <x v="4"/>
    <x v="6"/>
    <x v="5"/>
    <x v="186"/>
    <n v="594.74"/>
    <n v="1020.69"/>
    <n v="1020.69"/>
    <s v="Medium"/>
    <n v="0.21099999999999999"/>
    <n v="0.21099999999999999"/>
    <x v="1"/>
    <n v="6"/>
    <n v="4831.9464600000001"/>
    <n v="3568.44"/>
    <n v="1263.5064600000001"/>
    <n v="0.26149016146176424"/>
  </r>
  <r>
    <s v="ORD-2023-521818"/>
    <d v="2023-01-29T00:00:00"/>
    <x v="171"/>
    <s v="Q1-2023"/>
    <d v="2023-02-28T00:00:00"/>
    <d v="2023-02-28T00:00:00"/>
    <n v="30"/>
    <n v="30"/>
    <x v="0"/>
    <x v="4"/>
    <x v="1"/>
    <x v="4"/>
    <s v="Bengaluru"/>
    <s v="Asia - India - Bengaluru"/>
    <s v="Non-Profit"/>
    <x v="0"/>
    <x v="5"/>
    <x v="6"/>
    <x v="187"/>
    <n v="1262.0999999999999"/>
    <n v="1395.53"/>
    <n v="1395.53"/>
    <s v="Medium"/>
    <n v="0.23300000000000001"/>
    <n v="0.23300000000000001"/>
    <x v="1"/>
    <n v="25"/>
    <n v="26759.28775"/>
    <n v="31552.499999999996"/>
    <n v="-4793.2122499999969"/>
    <n v="-0.17912331205452198"/>
  </r>
  <r>
    <s v="ORD-2023-825836"/>
    <d v="2023-07-19T00:00:00"/>
    <x v="172"/>
    <s v="Q3-2023"/>
    <d v="2023-07-31T00:00:00"/>
    <d v="2023-07-31T00:00:00"/>
    <n v="12"/>
    <n v="12"/>
    <x v="0"/>
    <x v="4"/>
    <x v="2"/>
    <x v="5"/>
    <s v="Rio de Janeiro"/>
    <s v="Americas - Brazil - Rio de Janeiro"/>
    <s v="Corporate"/>
    <x v="0"/>
    <x v="0"/>
    <x v="5"/>
    <x v="188"/>
    <n v="1334.64"/>
    <n v="2273.42"/>
    <n v="2273.42"/>
    <s v="High"/>
    <n v="0.11799999999999999"/>
    <n v="0.11799999999999999"/>
    <x v="0"/>
    <n v="14"/>
    <n v="28072.190160000002"/>
    <n v="18684.960000000003"/>
    <n v="9387.2301599999992"/>
    <n v="0.33439607335575267"/>
  </r>
  <r>
    <s v="ORD-2024-503082"/>
    <d v="2024-05-19T00:00:00"/>
    <x v="173"/>
    <s v="Q2-2024"/>
    <d v="2024-06-08T00:00:00"/>
    <d v="2024-06-08T00:00:00"/>
    <n v="20"/>
    <n v="20"/>
    <x v="0"/>
    <x v="4"/>
    <x v="2"/>
    <x v="5"/>
    <s v="Brasília"/>
    <s v="Americas - Brazil - Brasília"/>
    <s v="Small Business"/>
    <x v="0"/>
    <x v="6"/>
    <x v="5"/>
    <x v="189"/>
    <n v="1075.9000000000001"/>
    <n v="1242.1500000000001"/>
    <n v="1242.1500000000001"/>
    <s v="Medium"/>
    <n v="1.2E-2"/>
    <n v="1.2E-2"/>
    <x v="0"/>
    <n v="7"/>
    <n v="8590.7094000000016"/>
    <n v="7531.3000000000011"/>
    <n v="1059.4094000000005"/>
    <n v="0.12332036280961853"/>
  </r>
  <r>
    <s v="ORD-2024-760799"/>
    <d v="2024-02-03T00:00:00"/>
    <x v="162"/>
    <s v="Q1-2024"/>
    <d v="2024-02-19T00:00:00"/>
    <d v="2024-02-19T00:00:00"/>
    <n v="16"/>
    <n v="16"/>
    <x v="0"/>
    <x v="8"/>
    <x v="1"/>
    <x v="9"/>
    <s v="Shenzhen"/>
    <s v="Asia - China - Shenzhen"/>
    <s v="Small Business"/>
    <x v="1"/>
    <x v="10"/>
    <x v="4"/>
    <x v="190"/>
    <n v="993.75"/>
    <n v="1310.29"/>
    <n v="1310.29"/>
    <s v="Medium"/>
    <n v="0.215"/>
    <n v="0.215"/>
    <x v="1"/>
    <n v="19"/>
    <n v="19542.975350000001"/>
    <n v="18881.25"/>
    <n v="661.72535000000062"/>
    <n v="3.3860010471742245E-2"/>
  </r>
  <r>
    <s v="ORD-2023-197661"/>
    <d v="2023-08-08T00:00:00"/>
    <x v="174"/>
    <s v="Q3-2023"/>
    <d v="2023-08-22T00:00:00"/>
    <d v="2023-08-22T00:00:00"/>
    <n v="14"/>
    <n v="14"/>
    <x v="0"/>
    <x v="7"/>
    <x v="3"/>
    <x v="8"/>
    <s v="Birmingham"/>
    <s v="Europe - United Kingdom - Birmingham"/>
    <s v="Non-Profit"/>
    <x v="4"/>
    <x v="13"/>
    <x v="5"/>
    <x v="191"/>
    <n v="446.69"/>
    <n v="967.25"/>
    <n v="967.25"/>
    <s v="Medium"/>
    <n v="9.4E-2"/>
    <n v="9.4E-2"/>
    <x v="0"/>
    <n v="10"/>
    <n v="8763.2849999999999"/>
    <n v="4466.8999999999996"/>
    <n v="4296.3850000000002"/>
    <n v="0.49027105702941309"/>
  </r>
  <r>
    <s v="ORD-2024-212990"/>
    <d v="2024-08-12T00:00:00"/>
    <x v="175"/>
    <s v="Q3-2024"/>
    <d v="2024-09-03T00:00:00"/>
    <d v="2024-09-03T00:00:00"/>
    <n v="22"/>
    <n v="22"/>
    <x v="0"/>
    <x v="9"/>
    <x v="2"/>
    <x v="10"/>
    <s v="Austin"/>
    <s v="Americas - USA - Austin"/>
    <s v="Consumer"/>
    <x v="3"/>
    <x v="2"/>
    <x v="4"/>
    <x v="192"/>
    <n v="797.8"/>
    <n v="886.22"/>
    <n v="886.22"/>
    <s v="Medium"/>
    <n v="0.23599999999999999"/>
    <n v="0.23599999999999999"/>
    <x v="1"/>
    <n v="36"/>
    <n v="24374.594880000001"/>
    <n v="28720.799999999999"/>
    <n v="-4346.2051199999987"/>
    <n v="-0.17830881462428633"/>
  </r>
  <r>
    <s v="ORD-2023-925146"/>
    <d v="2023-10-15T00:00:00"/>
    <x v="176"/>
    <s v="Q4-2023"/>
    <d v="2023-11-13T00:00:00"/>
    <d v="2023-11-13T00:00:00"/>
    <n v="29"/>
    <n v="29"/>
    <x v="0"/>
    <x v="8"/>
    <x v="1"/>
    <x v="9"/>
    <s v="Shenzhen"/>
    <s v="Asia - China - Shenzhen"/>
    <s v="Non-Profit"/>
    <x v="3"/>
    <x v="1"/>
    <x v="1"/>
    <x v="193"/>
    <n v="986.44"/>
    <n v="790.61"/>
    <n v="790.61"/>
    <s v="Low"/>
    <n v="7.1999999999999995E-2"/>
    <n v="7.1999999999999995E-2"/>
    <x v="0"/>
    <n v="6"/>
    <n v="4402.1164799999997"/>
    <n v="5918.64"/>
    <n v="-1516.5235200000006"/>
    <n v="-0.34449872621271499"/>
  </r>
  <r>
    <s v="ORD-2023-177794"/>
    <d v="2023-05-04T00:00:00"/>
    <x v="177"/>
    <s v="Q2-2023"/>
    <d v="2023-05-26T00:00:00"/>
    <d v="2023-05-26T00:00:00"/>
    <n v="22"/>
    <n v="22"/>
    <x v="0"/>
    <x v="9"/>
    <x v="2"/>
    <x v="10"/>
    <s v="San Francisco"/>
    <s v="Americas - USA - San Francisco"/>
    <s v="Enterprise"/>
    <x v="1"/>
    <x v="1"/>
    <x v="2"/>
    <x v="194"/>
    <n v="249.71"/>
    <n v="361.33"/>
    <n v="361.33"/>
    <s v="Low"/>
    <n v="9.4E-2"/>
    <n v="9.4E-2"/>
    <x v="0"/>
    <n v="12"/>
    <n v="3928.3797600000003"/>
    <n v="2996.52"/>
    <n v="931.85976000000028"/>
    <n v="0.23721223937881206"/>
  </r>
  <r>
    <s v="ORD-2024-444710"/>
    <d v="2024-09-22T00:00:00"/>
    <x v="178"/>
    <s v="Q3-2024"/>
    <d v="2024-10-01T00:00:00"/>
    <d v="2024-10-01T00:00:00"/>
    <n v="9"/>
    <n v="9"/>
    <x v="0"/>
    <x v="4"/>
    <x v="2"/>
    <x v="5"/>
    <s v="São Paulo"/>
    <s v="Americas - Brazil - São Paulo"/>
    <s v="Non-Profit"/>
    <x v="1"/>
    <x v="11"/>
    <x v="5"/>
    <x v="195"/>
    <n v="1378.8"/>
    <n v="1952.04"/>
    <n v="1952.04"/>
    <s v="High"/>
    <n v="0.159"/>
    <n v="0.159"/>
    <x v="0"/>
    <n v="19"/>
    <n v="31191.64716"/>
    <n v="26197.200000000001"/>
    <n v="4994.4471599999997"/>
    <n v="0.16012130216723058"/>
  </r>
  <r>
    <s v="ORD-2024-668926"/>
    <d v="2024-10-23T00:00:00"/>
    <x v="1"/>
    <s v="Q4-2024"/>
    <d v="2024-11-14T00:00:00"/>
    <d v="2024-11-14T00:00:00"/>
    <n v="22"/>
    <n v="22"/>
    <x v="0"/>
    <x v="2"/>
    <x v="1"/>
    <x v="2"/>
    <s v="Osaka"/>
    <s v="Asia - Japan - Osaka"/>
    <s v="Non-Profit"/>
    <x v="4"/>
    <x v="5"/>
    <x v="3"/>
    <x v="196"/>
    <n v="1406.4"/>
    <n v="1564.76"/>
    <n v="1564.76"/>
    <s v="Medium"/>
    <n v="0.185"/>
    <n v="0.185"/>
    <x v="0"/>
    <n v="17"/>
    <n v="21679.749799999998"/>
    <n v="23908.800000000003"/>
    <n v="-2229.0502000000051"/>
    <n v="-0.10281715520536151"/>
  </r>
  <r>
    <s v="ORD-2024-968374"/>
    <d v="2024-02-11T00:00:00"/>
    <x v="179"/>
    <s v="Q1-2024"/>
    <d v="2024-03-03T00:00:00"/>
    <d v="2024-03-03T00:00:00"/>
    <n v="21"/>
    <n v="21"/>
    <x v="0"/>
    <x v="0"/>
    <x v="0"/>
    <x v="0"/>
    <s v="Kisumu"/>
    <s v="Africa - Kenya - Kisumu"/>
    <s v="Enterprise"/>
    <x v="1"/>
    <x v="5"/>
    <x v="3"/>
    <x v="197"/>
    <n v="516.86"/>
    <n v="852.54"/>
    <n v="852.54"/>
    <s v="Medium"/>
    <n v="5.0999999999999997E-2"/>
    <n v="5.0999999999999997E-2"/>
    <x v="0"/>
    <n v="14"/>
    <n v="11326.846439999999"/>
    <n v="7236.04"/>
    <n v="4090.8064399999994"/>
    <n v="0.36116022775355994"/>
  </r>
  <r>
    <s v="ORD-2023-575584"/>
    <d v="2023-01-30T00:00:00"/>
    <x v="180"/>
    <s v="Q1-2023"/>
    <d v="2023-02-21T00:00:00"/>
    <d v="2023-02-21T00:00:00"/>
    <n v="22"/>
    <n v="22"/>
    <x v="0"/>
    <x v="5"/>
    <x v="3"/>
    <x v="6"/>
    <s v="Munich"/>
    <s v="Europe - Germany - Munich"/>
    <s v="Small Business"/>
    <x v="2"/>
    <x v="3"/>
    <x v="2"/>
    <x v="198"/>
    <n v="1142.8800000000001"/>
    <n v="1465.29"/>
    <n v="1465.29"/>
    <s v="Medium"/>
    <n v="0.186"/>
    <n v="0.186"/>
    <x v="0"/>
    <n v="7"/>
    <n v="8349.2224200000001"/>
    <n v="8000.1600000000008"/>
    <n v="349.06241999999929"/>
    <n v="4.1807775915017401E-2"/>
  </r>
  <r>
    <s v="ORD-2023-701153"/>
    <d v="2023-04-14T00:00:00"/>
    <x v="27"/>
    <s v="Q2-2023"/>
    <d v="2023-05-13T00:00:00"/>
    <d v="2023-05-13T00:00:00"/>
    <n v="29"/>
    <n v="29"/>
    <x v="0"/>
    <x v="5"/>
    <x v="3"/>
    <x v="6"/>
    <s v="Frankfurt"/>
    <s v="Europe - Germany - Frankfurt"/>
    <s v="Consumer"/>
    <x v="4"/>
    <x v="1"/>
    <x v="1"/>
    <x v="199"/>
    <n v="1320.33"/>
    <n v="2645.23"/>
    <n v="2645.23"/>
    <s v="High"/>
    <n v="0.155"/>
    <n v="0.155"/>
    <x v="0"/>
    <n v="25"/>
    <n v="55880.483749999999"/>
    <n v="33008.25"/>
    <n v="22872.233749999999"/>
    <n v="0.40930629470436536"/>
  </r>
  <r>
    <s v="ORD-2023-382017"/>
    <d v="2023-01-13T00:00:00"/>
    <x v="181"/>
    <s v="Q1-2023"/>
    <d v="2023-01-19T00:00:00"/>
    <d v="2023-01-19T00:00:00"/>
    <n v="6"/>
    <n v="6"/>
    <x v="1"/>
    <x v="9"/>
    <x v="2"/>
    <x v="10"/>
    <s v="Chicago"/>
    <s v="Americas - USA - Chicago"/>
    <s v="Corporate"/>
    <x v="4"/>
    <x v="10"/>
    <x v="3"/>
    <x v="200"/>
    <n v="833.57"/>
    <n v="881.57"/>
    <n v="881.57"/>
    <s v="Medium"/>
    <n v="5.7000000000000002E-2"/>
    <n v="5.7000000000000002E-2"/>
    <x v="0"/>
    <n v="18"/>
    <n v="14963.769179999999"/>
    <n v="15004.26"/>
    <n v="-40.490820000000895"/>
    <n v="-2.7059238560107821E-3"/>
  </r>
  <r>
    <s v="ORD-2024-999607"/>
    <d v="2024-01-12T00:00:00"/>
    <x v="182"/>
    <s v="Q1-2024"/>
    <d v="2024-01-29T00:00:00"/>
    <d v="2024-01-29T00:00:00"/>
    <n v="17"/>
    <n v="17"/>
    <x v="0"/>
    <x v="9"/>
    <x v="2"/>
    <x v="10"/>
    <s v="Chicago"/>
    <s v="Americas - USA - Chicago"/>
    <s v="Education"/>
    <x v="3"/>
    <x v="8"/>
    <x v="1"/>
    <x v="201"/>
    <n v="493.76"/>
    <n v="625.04"/>
    <n v="625.04"/>
    <s v="Low"/>
    <n v="0.25800000000000001"/>
    <n v="0.25800000000000001"/>
    <x v="1"/>
    <n v="10"/>
    <n v="4637.7968000000001"/>
    <n v="4937.6000000000004"/>
    <n v="-299.80320000000029"/>
    <n v="-6.464345311549663E-2"/>
  </r>
  <r>
    <s v="ORD-2023-133848"/>
    <d v="2023-08-15T00:00:00"/>
    <x v="183"/>
    <s v="Q3-2023"/>
    <d v="2023-09-07T00:00:00"/>
    <d v="2023-09-07T00:00:00"/>
    <n v="23"/>
    <n v="23"/>
    <x v="0"/>
    <x v="9"/>
    <x v="2"/>
    <x v="10"/>
    <s v="New York"/>
    <s v="Americas - USA - New York"/>
    <s v="Enterprise"/>
    <x v="1"/>
    <x v="11"/>
    <x v="3"/>
    <x v="202"/>
    <n v="590.33000000000004"/>
    <n v="973.04"/>
    <n v="973.04"/>
    <s v="Medium"/>
    <n v="0"/>
    <n v="0"/>
    <x v="0"/>
    <n v="26"/>
    <n v="25299.040000000001"/>
    <n v="15348.580000000002"/>
    <n v="9950.4599999999991"/>
    <n v="0.39331373838691108"/>
  </r>
  <r>
    <s v="ORD-2023-586275"/>
    <d v="2023-01-20T00:00:00"/>
    <x v="184"/>
    <s v="Q1-2023"/>
    <d v="2023-02-03T00:00:00"/>
    <d v="2023-02-03T00:00:00"/>
    <n v="14"/>
    <n v="14"/>
    <x v="0"/>
    <x v="0"/>
    <x v="0"/>
    <x v="0"/>
    <s v="Kisumu"/>
    <s v="Africa - Kenya - Kisumu"/>
    <s v="Corporate"/>
    <x v="0"/>
    <x v="12"/>
    <x v="2"/>
    <x v="203"/>
    <n v="884.36"/>
    <n v="1545.34"/>
    <n v="1545.34"/>
    <s v="Medium"/>
    <n v="0.24299999999999999"/>
    <n v="0.24299999999999999"/>
    <x v="1"/>
    <n v="41"/>
    <n v="47962.717579999997"/>
    <n v="36258.76"/>
    <n v="11703.957579999995"/>
    <n v="0.24402198562827965"/>
  </r>
  <r>
    <s v="ORD-2025-964661"/>
    <d v="2025-02-04T00:00:00"/>
    <x v="185"/>
    <s v="Q1-2025"/>
    <d v="2025-02-25T00:00:00"/>
    <d v="2025-02-25T00:00:00"/>
    <n v="21"/>
    <n v="21"/>
    <x v="0"/>
    <x v="7"/>
    <x v="3"/>
    <x v="8"/>
    <s v="Birmingham"/>
    <s v="Europe - United Kingdom - Birmingham"/>
    <s v="Corporate"/>
    <x v="2"/>
    <x v="14"/>
    <x v="5"/>
    <x v="204"/>
    <n v="1016.32"/>
    <n v="2253.42"/>
    <n v="2253.42"/>
    <s v="High"/>
    <n v="5.5E-2"/>
    <n v="5.5E-2"/>
    <x v="0"/>
    <n v="12"/>
    <n v="25553.782800000001"/>
    <n v="12195.84"/>
    <n v="13357.942800000001"/>
    <n v="0.52273837124419797"/>
  </r>
  <r>
    <s v="ORD-2023-390998"/>
    <d v="2023-04-19T00:00:00"/>
    <x v="43"/>
    <s v="Q2-2023"/>
    <d v="2023-04-28T00:00:00"/>
    <d v="2023-04-28T00:00:00"/>
    <n v="9"/>
    <n v="9"/>
    <x v="0"/>
    <x v="5"/>
    <x v="3"/>
    <x v="6"/>
    <s v="Berlin"/>
    <s v="Europe - Germany - Berlin"/>
    <s v="Education"/>
    <x v="1"/>
    <x v="6"/>
    <x v="5"/>
    <x v="205"/>
    <n v="1178.42"/>
    <n v="2446.56"/>
    <n v="2446.56"/>
    <s v="High"/>
    <n v="2.9000000000000001E-2"/>
    <n v="2.9000000000000001E-2"/>
    <x v="0"/>
    <n v="11"/>
    <n v="26131.70736"/>
    <n v="12962.62"/>
    <n v="13169.08736"/>
    <n v="0.5039505141618883"/>
  </r>
  <r>
    <s v="ORD-2023-920483"/>
    <d v="2023-07-02T00:00:00"/>
    <x v="186"/>
    <s v="Q3-2023"/>
    <d v="2023-08-01T00:00:00"/>
    <d v="2023-08-01T00:00:00"/>
    <n v="30"/>
    <n v="30"/>
    <x v="0"/>
    <x v="7"/>
    <x v="3"/>
    <x v="8"/>
    <s v="Birmingham"/>
    <s v="Europe - United Kingdom - Birmingham"/>
    <s v="Small Business"/>
    <x v="0"/>
    <x v="5"/>
    <x v="0"/>
    <x v="206"/>
    <n v="137.46"/>
    <n v="188.3"/>
    <n v="188.3"/>
    <s v="Low"/>
    <n v="3.7999999999999999E-2"/>
    <n v="3.7999999999999999E-2"/>
    <x v="0"/>
    <n v="37"/>
    <n v="6702.3501999999999"/>
    <n v="5086.0200000000004"/>
    <n v="1616.3301999999994"/>
    <n v="0.24115872071262398"/>
  </r>
  <r>
    <s v="ORD-2025-146850"/>
    <d v="2025-01-21T00:00:00"/>
    <x v="51"/>
    <s v="Q1-2025"/>
    <d v="2025-02-14T00:00:00"/>
    <d v="2025-02-14T00:00:00"/>
    <n v="24"/>
    <n v="24"/>
    <x v="0"/>
    <x v="0"/>
    <x v="0"/>
    <x v="0"/>
    <s v="Nairobi"/>
    <s v="Africa - Kenya - Nairobi"/>
    <s v="Small Business"/>
    <x v="0"/>
    <x v="1"/>
    <x v="6"/>
    <x v="207"/>
    <n v="1030.44"/>
    <n v="2562.84"/>
    <n v="2562.84"/>
    <s v="High"/>
    <n v="0.14799999999999999"/>
    <n v="0.14799999999999999"/>
    <x v="0"/>
    <n v="13"/>
    <n v="28386.015839999996"/>
    <n v="13395.720000000001"/>
    <n v="14990.295839999995"/>
    <n v="0.52808734852027039"/>
  </r>
  <r>
    <s v="ORD-2024-687100"/>
    <d v="2024-09-10T00:00:00"/>
    <x v="187"/>
    <s v="Q3-2024"/>
    <d v="2024-10-07T00:00:00"/>
    <d v="2024-10-07T00:00:00"/>
    <n v="27"/>
    <n v="27"/>
    <x v="0"/>
    <x v="0"/>
    <x v="0"/>
    <x v="0"/>
    <s v="Kisumu"/>
    <s v="Africa - Kenya - Kisumu"/>
    <s v="Consumer"/>
    <x v="0"/>
    <x v="4"/>
    <x v="1"/>
    <x v="208"/>
    <n v="1248.3900000000001"/>
    <n v="1805.11"/>
    <n v="1805.11"/>
    <s v="High"/>
    <n v="0.20300000000000001"/>
    <n v="0.20300000000000001"/>
    <x v="1"/>
    <n v="11"/>
    <n v="15825.399369999997"/>
    <n v="13732.29"/>
    <n v="2093.1093699999965"/>
    <n v="0.13226265707820786"/>
  </r>
  <r>
    <s v="ORD-2025-629393"/>
    <d v="2025-07-21T00:00:00"/>
    <x v="188"/>
    <s v="Q3-2025"/>
    <d v="2025-08-07T00:00:00"/>
    <d v="2025-08-07T00:00:00"/>
    <n v="17"/>
    <n v="17"/>
    <x v="0"/>
    <x v="1"/>
    <x v="0"/>
    <x v="1"/>
    <s v="Lagos"/>
    <s v="Africa - Nigeria - Lagos"/>
    <s v="Enterprise"/>
    <x v="4"/>
    <x v="12"/>
    <x v="6"/>
    <x v="209"/>
    <n v="1204.95"/>
    <n v="2065.73"/>
    <n v="2065.73"/>
    <s v="High"/>
    <n v="0.13600000000000001"/>
    <n v="0.13600000000000001"/>
    <x v="0"/>
    <n v="10"/>
    <n v="17847.907199999998"/>
    <n v="12049.5"/>
    <n v="5798.4071999999978"/>
    <n v="0.32487882949100039"/>
  </r>
  <r>
    <s v="ORD-2024-686712"/>
    <d v="2024-10-02T00:00:00"/>
    <x v="189"/>
    <s v="Q4-2024"/>
    <d v="2024-10-23T00:00:00"/>
    <d v="2024-10-23T00:00:00"/>
    <n v="21"/>
    <n v="21"/>
    <x v="0"/>
    <x v="10"/>
    <x v="0"/>
    <x v="11"/>
    <s v="Durban"/>
    <s v="Africa - South Africa - Durban"/>
    <s v="Corporate"/>
    <x v="2"/>
    <x v="8"/>
    <x v="0"/>
    <x v="210"/>
    <n v="1095.6099999999999"/>
    <n v="2366.5100000000002"/>
    <n v="2366.5100000000002"/>
    <s v="High"/>
    <n v="0.152"/>
    <n v="0.152"/>
    <x v="0"/>
    <n v="9"/>
    <n v="18061.204320000004"/>
    <n v="9860.49"/>
    <n v="8200.7143200000046"/>
    <n v="0.4540513564158607"/>
  </r>
  <r>
    <s v="ORD-2025-586799"/>
    <d v="2025-07-14T00:00:00"/>
    <x v="190"/>
    <s v="Q3-2025"/>
    <d v="2025-08-04T00:00:00"/>
    <d v="2025-08-04T00:00:00"/>
    <n v="21"/>
    <n v="21"/>
    <x v="0"/>
    <x v="3"/>
    <x v="2"/>
    <x v="3"/>
    <s v="Montreal"/>
    <s v="Americas - Canada - Montreal"/>
    <s v="Consumer"/>
    <x v="1"/>
    <x v="10"/>
    <x v="5"/>
    <x v="211"/>
    <n v="90.3"/>
    <n v="131.76"/>
    <n v="131.76"/>
    <s v="Low"/>
    <n v="0.10199999999999999"/>
    <n v="0.10199999999999999"/>
    <x v="0"/>
    <n v="15"/>
    <n v="1774.8072"/>
    <n v="1354.5"/>
    <n v="420.30719999999997"/>
    <n v="0.23681851189244668"/>
  </r>
  <r>
    <s v="ORD-2024-988736"/>
    <d v="2024-09-09T00:00:00"/>
    <x v="191"/>
    <s v="Q3-2024"/>
    <d v="2024-10-01T00:00:00"/>
    <d v="2024-10-01T00:00:00"/>
    <n v="22"/>
    <n v="22"/>
    <x v="0"/>
    <x v="8"/>
    <x v="1"/>
    <x v="9"/>
    <s v="Shenzhen"/>
    <s v="Asia - China - Shenzhen"/>
    <s v="Consumer"/>
    <x v="4"/>
    <x v="4"/>
    <x v="1"/>
    <x v="212"/>
    <n v="1166.18"/>
    <n v="1335.02"/>
    <n v="1335.02"/>
    <s v="Medium"/>
    <n v="0.128"/>
    <n v="0.128"/>
    <x v="0"/>
    <n v="6"/>
    <n v="6984.8246399999998"/>
    <n v="6997.08"/>
    <n v="-12.25536000000011"/>
    <n v="-1.7545694604582242E-3"/>
  </r>
  <r>
    <s v="ORD-2025-564184"/>
    <d v="2025-01-29T00:00:00"/>
    <x v="192"/>
    <s v="Q1-2025"/>
    <d v="2025-02-06T00:00:00"/>
    <d v="2025-02-06T00:00:00"/>
    <n v="8"/>
    <n v="8"/>
    <x v="0"/>
    <x v="0"/>
    <x v="0"/>
    <x v="0"/>
    <s v="Kisumu"/>
    <s v="Africa - Kenya - Kisumu"/>
    <s v="Education"/>
    <x v="0"/>
    <x v="5"/>
    <x v="3"/>
    <x v="213"/>
    <n v="1445.27"/>
    <n v="2691.45"/>
    <n v="2691.45"/>
    <s v="High"/>
    <n v="0"/>
    <n v="0"/>
    <x v="0"/>
    <n v="9"/>
    <n v="24223.05"/>
    <n v="13007.43"/>
    <n v="11215.619999999999"/>
    <n v="0.46301436028906351"/>
  </r>
  <r>
    <s v="ORD-2023-653343"/>
    <d v="2023-11-10T00:00:00"/>
    <x v="193"/>
    <s v="Q4-2023"/>
    <d v="2023-11-28T00:00:00"/>
    <d v="2023-11-28T00:00:00"/>
    <n v="18"/>
    <n v="18"/>
    <x v="0"/>
    <x v="4"/>
    <x v="2"/>
    <x v="5"/>
    <s v="Brasília"/>
    <s v="Americas - Brazil - Brasília"/>
    <s v="Education"/>
    <x v="2"/>
    <x v="4"/>
    <x v="6"/>
    <x v="214"/>
    <n v="388.51"/>
    <n v="776.46"/>
    <n v="776.46"/>
    <s v="Low"/>
    <n v="0.157"/>
    <n v="0.157"/>
    <x v="0"/>
    <n v="12"/>
    <n v="7854.6693599999999"/>
    <n v="4662.12"/>
    <n v="3192.54936"/>
    <n v="0.40645241876864946"/>
  </r>
  <r>
    <s v="ORD-2024-197852"/>
    <d v="2024-02-29T00:00:00"/>
    <x v="194"/>
    <s v="Q1-2024"/>
    <d v="2024-03-30T00:00:00"/>
    <d v="2024-03-30T00:00:00"/>
    <n v="30"/>
    <n v="30"/>
    <x v="0"/>
    <x v="2"/>
    <x v="1"/>
    <x v="2"/>
    <s v="Nagoya"/>
    <s v="Asia - Japan - Nagoya"/>
    <s v="Small Business"/>
    <x v="4"/>
    <x v="2"/>
    <x v="2"/>
    <x v="215"/>
    <n v="231.11"/>
    <n v="318.17"/>
    <n v="318.17"/>
    <s v="Low"/>
    <n v="0.20100000000000001"/>
    <n v="0.20100000000000001"/>
    <x v="1"/>
    <n v="60"/>
    <n v="15253.069799999999"/>
    <n v="13866.6"/>
    <n v="1386.4697999999989"/>
    <n v="9.0897754889969692E-2"/>
  </r>
  <r>
    <s v="ORD-2023-431328"/>
    <d v="2023-12-20T00:00:00"/>
    <x v="195"/>
    <s v="Q4-2023"/>
    <d v="2024-01-14T00:00:00"/>
    <d v="2024-01-14T00:00:00"/>
    <n v="25"/>
    <n v="25"/>
    <x v="0"/>
    <x v="4"/>
    <x v="1"/>
    <x v="4"/>
    <s v="Mumbai"/>
    <s v="Asia - India - Mumbai"/>
    <s v="Non-Profit"/>
    <x v="2"/>
    <x v="4"/>
    <x v="5"/>
    <x v="216"/>
    <n v="1085.6099999999999"/>
    <n v="1246.4100000000001"/>
    <n v="1246.4100000000001"/>
    <s v="Medium"/>
    <n v="0.113"/>
    <n v="0.113"/>
    <x v="0"/>
    <n v="7"/>
    <n v="7738.9596900000006"/>
    <n v="7599.2699999999995"/>
    <n v="139.68969000000106"/>
    <n v="1.8050189637310417E-2"/>
  </r>
  <r>
    <s v="ORD-2023-613317"/>
    <d v="2023-01-22T00:00:00"/>
    <x v="119"/>
    <s v="Q1-2023"/>
    <d v="2023-01-21T00:00:00"/>
    <d v="2023-01-25T00:00:00"/>
    <n v="-1"/>
    <n v="3"/>
    <x v="1"/>
    <x v="5"/>
    <x v="3"/>
    <x v="6"/>
    <s v="Munich"/>
    <s v="Europe - Germany - Munich"/>
    <s v="Corporate"/>
    <x v="4"/>
    <x v="9"/>
    <x v="5"/>
    <x v="217"/>
    <n v="150.86000000000001"/>
    <n v="346.96"/>
    <n v="346.96"/>
    <s v="Low"/>
    <n v="0.19600000000000001"/>
    <n v="0.19600000000000001"/>
    <x v="0"/>
    <n v="8"/>
    <n v="2231.6467200000002"/>
    <n v="1206.8800000000001"/>
    <n v="1024.7667200000001"/>
    <n v="0.45919755614365343"/>
  </r>
  <r>
    <s v="ORD-2024-720756"/>
    <d v="2024-10-11T00:00:00"/>
    <x v="196"/>
    <s v="Q4-2024"/>
    <d v="2024-11-09T00:00:00"/>
    <d v="2024-11-09T00:00:00"/>
    <n v="29"/>
    <n v="29"/>
    <x v="0"/>
    <x v="8"/>
    <x v="1"/>
    <x v="9"/>
    <s v="Shanghai"/>
    <s v="Asia - China - Shanghai"/>
    <s v="Non-Profit"/>
    <x v="1"/>
    <x v="9"/>
    <x v="1"/>
    <x v="218"/>
    <n v="391.64"/>
    <n v="504.76"/>
    <n v="504.76"/>
    <s v="Low"/>
    <n v="4.0000000000000001E-3"/>
    <n v="4.0000000000000001E-3"/>
    <x v="0"/>
    <n v="13"/>
    <n v="6535.6324800000002"/>
    <n v="5091.32"/>
    <n v="1444.3124800000005"/>
    <n v="0.22099046793402319"/>
  </r>
  <r>
    <s v="ORD-2024-777623"/>
    <d v="2024-09-19T00:00:00"/>
    <x v="197"/>
    <s v="Q3-2024"/>
    <d v="2024-10-14T00:00:00"/>
    <d v="2024-10-14T00:00:00"/>
    <n v="25"/>
    <n v="25"/>
    <x v="0"/>
    <x v="4"/>
    <x v="2"/>
    <x v="5"/>
    <s v="Rio de Janeiro"/>
    <s v="Americas - Brazil - Rio de Janeiro"/>
    <s v="Small Business"/>
    <x v="0"/>
    <x v="11"/>
    <x v="1"/>
    <x v="219"/>
    <n v="386.96"/>
    <n v="937.46"/>
    <n v="937.46"/>
    <s v="Medium"/>
    <n v="0.26600000000000001"/>
    <n v="0.26600000000000001"/>
    <x v="1"/>
    <n v="41"/>
    <n v="28211.92124"/>
    <n v="15865.359999999999"/>
    <n v="12346.561240000001"/>
    <n v="0.43763631462626335"/>
  </r>
  <r>
    <s v="ORD-2025-762212"/>
    <d v="2025-08-25T00:00:00"/>
    <x v="198"/>
    <s v="Q3-2025"/>
    <d v="2025-09-24T00:00:00"/>
    <d v="2025-09-24T00:00:00"/>
    <n v="30"/>
    <n v="30"/>
    <x v="0"/>
    <x v="0"/>
    <x v="0"/>
    <x v="0"/>
    <s v="Nairobi"/>
    <s v="Africa - Kenya - Nairobi"/>
    <s v="Consumer"/>
    <x v="4"/>
    <x v="5"/>
    <x v="0"/>
    <x v="220"/>
    <n v="589.14"/>
    <n v="1300.58"/>
    <n v="1300.58"/>
    <s v="Medium"/>
    <n v="5.5E-2"/>
    <n v="5.5E-2"/>
    <x v="0"/>
    <n v="11"/>
    <n v="13519.529099999998"/>
    <n v="6480.54"/>
    <n v="7038.989099999998"/>
    <n v="0.52065342275863724"/>
  </r>
  <r>
    <s v="ORD-2023-271918"/>
    <d v="2023-09-25T00:00:00"/>
    <x v="199"/>
    <s v="Q3-2023"/>
    <d v="2023-10-02T00:00:00"/>
    <d v="2023-10-02T00:00:00"/>
    <n v="7"/>
    <n v="7"/>
    <x v="1"/>
    <x v="9"/>
    <x v="2"/>
    <x v="10"/>
    <s v="New York"/>
    <s v="Americas - USA - New York"/>
    <s v="Education"/>
    <x v="2"/>
    <x v="2"/>
    <x v="6"/>
    <x v="221"/>
    <n v="145.58000000000001"/>
    <n v="228.15"/>
    <n v="228.15"/>
    <s v="Low"/>
    <n v="0.20399999999999999"/>
    <n v="0.20399999999999999"/>
    <x v="1"/>
    <n v="5"/>
    <n v="908.03700000000003"/>
    <n v="727.90000000000009"/>
    <n v="180.13699999999994"/>
    <n v="0.19838068272548359"/>
  </r>
  <r>
    <s v="ORD-2023-713375"/>
    <d v="2023-08-26T00:00:00"/>
    <x v="200"/>
    <s v="Q3-2023"/>
    <d v="2023-09-10T00:00:00"/>
    <d v="2023-09-10T00:00:00"/>
    <n v="15"/>
    <n v="15"/>
    <x v="0"/>
    <x v="10"/>
    <x v="0"/>
    <x v="11"/>
    <s v="Cape Town"/>
    <s v="Africa - South Africa - Cape Town"/>
    <s v="Non-Profit"/>
    <x v="4"/>
    <x v="13"/>
    <x v="0"/>
    <x v="222"/>
    <n v="241.14"/>
    <n v="496.52"/>
    <n v="496.52"/>
    <s v="Low"/>
    <n v="9.2999999999999999E-2"/>
    <n v="9.2999999999999999E-2"/>
    <x v="0"/>
    <n v="10"/>
    <n v="4503.4363999999996"/>
    <n v="2411.3999999999996"/>
    <n v="2092.0364"/>
    <n v="0.46454223268257994"/>
  </r>
  <r>
    <s v="ORD-2025-678688"/>
    <d v="2025-07-16T00:00:00"/>
    <x v="201"/>
    <s v="Q3-2025"/>
    <d v="2025-07-17T00:00:00"/>
    <d v="2025-07-17T00:00:00"/>
    <n v="1"/>
    <n v="1"/>
    <x v="1"/>
    <x v="10"/>
    <x v="0"/>
    <x v="11"/>
    <s v="Durban"/>
    <s v="Africa - South Africa - Durban"/>
    <s v="Small Business"/>
    <x v="3"/>
    <x v="5"/>
    <x v="2"/>
    <x v="223"/>
    <n v="1198.9000000000001"/>
    <n v="2941.2"/>
    <n v="2941.2"/>
    <s v="High"/>
    <n v="5.0999999999999997E-2"/>
    <n v="5.0999999999999997E-2"/>
    <x v="0"/>
    <n v="24"/>
    <n v="66988.771199999988"/>
    <n v="28773.600000000002"/>
    <n v="38215.171199999982"/>
    <n v="0.57047129713583977"/>
  </r>
  <r>
    <s v="ORD-2023-501220"/>
    <d v="2023-04-19T00:00:00"/>
    <x v="43"/>
    <s v="Q2-2023"/>
    <d v="2023-05-07T00:00:00"/>
    <d v="2023-05-07T00:00:00"/>
    <n v="18"/>
    <n v="18"/>
    <x v="0"/>
    <x v="7"/>
    <x v="3"/>
    <x v="8"/>
    <s v="Birmingham"/>
    <s v="Europe - United Kingdom - Birmingham"/>
    <s v="Enterprise"/>
    <x v="0"/>
    <x v="13"/>
    <x v="4"/>
    <x v="224"/>
    <n v="1089.1500000000001"/>
    <n v="1088.2"/>
    <n v="1088.2"/>
    <s v="Medium"/>
    <n v="5.0999999999999997E-2"/>
    <n v="5.0999999999999997E-2"/>
    <x v="0"/>
    <n v="15"/>
    <n v="15490.527"/>
    <n v="16337.250000000002"/>
    <n v="-846.72300000000178"/>
    <n v="-5.4660696824582002E-2"/>
  </r>
  <r>
    <s v="ORD-2023-195665"/>
    <d v="2023-12-19T00:00:00"/>
    <x v="202"/>
    <s v="Q4-2023"/>
    <d v="2023-12-20T00:00:00"/>
    <d v="2023-12-20T00:00:00"/>
    <n v="1"/>
    <n v="1"/>
    <x v="1"/>
    <x v="4"/>
    <x v="2"/>
    <x v="5"/>
    <s v="Rio de Janeiro"/>
    <s v="Americas - Brazil - Rio de Janeiro"/>
    <s v="Consumer"/>
    <x v="3"/>
    <x v="1"/>
    <x v="3"/>
    <x v="225"/>
    <n v="1080.43"/>
    <n v="2529.15"/>
    <n v="2529.15"/>
    <s v="High"/>
    <n v="0.14699999999999999"/>
    <n v="0.14699999999999999"/>
    <x v="0"/>
    <n v="10"/>
    <n v="21573.6495"/>
    <n v="10804.300000000001"/>
    <n v="10769.349499999998"/>
    <n v="0.49918997247081437"/>
  </r>
  <r>
    <s v="ORD-2023-290237"/>
    <d v="2023-07-30T00:00:00"/>
    <x v="203"/>
    <s v="Q3-2023"/>
    <d v="2023-08-07T00:00:00"/>
    <d v="2023-08-07T00:00:00"/>
    <n v="8"/>
    <n v="8"/>
    <x v="0"/>
    <x v="2"/>
    <x v="1"/>
    <x v="2"/>
    <s v="Nagoya"/>
    <s v="Asia - Japan - Nagoya"/>
    <s v="Education"/>
    <x v="2"/>
    <x v="8"/>
    <x v="2"/>
    <x v="226"/>
    <n v="1352.44"/>
    <n v="2698.01"/>
    <n v="2698.01"/>
    <s v="High"/>
    <n v="0.13100000000000001"/>
    <n v="0.13100000000000001"/>
    <x v="0"/>
    <n v="13"/>
    <n v="30479.418970000002"/>
    <n v="17581.72"/>
    <n v="12897.698970000001"/>
    <n v="0.42316091992090887"/>
  </r>
  <r>
    <s v="ORD-2023-302041"/>
    <d v="2023-10-04T00:00:00"/>
    <x v="204"/>
    <s v="Q4-2023"/>
    <d v="2023-10-29T00:00:00"/>
    <d v="2023-10-29T00:00:00"/>
    <n v="25"/>
    <n v="25"/>
    <x v="0"/>
    <x v="9"/>
    <x v="2"/>
    <x v="10"/>
    <s v="San Francisco"/>
    <s v="Americas - USA - San Francisco"/>
    <s v="Small Business"/>
    <x v="3"/>
    <x v="7"/>
    <x v="6"/>
    <x v="227"/>
    <n v="1239.8399999999999"/>
    <n v="1482.75"/>
    <n v="1482.75"/>
    <s v="Medium"/>
    <n v="6.7000000000000004E-2"/>
    <n v="6.7000000000000004E-2"/>
    <x v="0"/>
    <n v="4"/>
    <n v="5533.6230000000005"/>
    <n v="4959.3599999999997"/>
    <n v="574.26300000000083"/>
    <n v="0.10377703721413634"/>
  </r>
  <r>
    <s v="ORD-2025-289139"/>
    <d v="2025-08-10T00:00:00"/>
    <x v="205"/>
    <s v="Q3-2025"/>
    <d v="2025-08-30T00:00:00"/>
    <d v="2025-08-30T00:00:00"/>
    <n v="20"/>
    <n v="20"/>
    <x v="0"/>
    <x v="9"/>
    <x v="2"/>
    <x v="10"/>
    <s v="San Francisco"/>
    <s v="Americas - USA - San Francisco"/>
    <s v="Corporate"/>
    <x v="2"/>
    <x v="11"/>
    <x v="1"/>
    <x v="228"/>
    <n v="933.29"/>
    <n v="1456.81"/>
    <n v="1456.81"/>
    <s v="Medium"/>
    <n v="0.123"/>
    <n v="0.123"/>
    <x v="0"/>
    <n v="13"/>
    <n v="16609.090809999998"/>
    <n v="12132.77"/>
    <n v="4476.3208099999974"/>
    <n v="0.26951028573489977"/>
  </r>
  <r>
    <s v="ORD-2023-949710"/>
    <d v="2023-03-07T00:00:00"/>
    <x v="206"/>
    <s v="Q1-2023"/>
    <d v="2023-04-01T00:00:00"/>
    <d v="2023-04-01T00:00:00"/>
    <n v="25"/>
    <n v="25"/>
    <x v="0"/>
    <x v="0"/>
    <x v="0"/>
    <x v="0"/>
    <s v="Nairobi"/>
    <s v="Africa - Kenya - Nairobi"/>
    <s v="Consumer"/>
    <x v="2"/>
    <x v="14"/>
    <x v="1"/>
    <x v="229"/>
    <n v="1024.0999999999999"/>
    <n v="918.19"/>
    <n v="918.19"/>
    <s v="Medium"/>
    <n v="0.189"/>
    <n v="0.189"/>
    <x v="0"/>
    <n v="10"/>
    <n v="7446.5209000000004"/>
    <n v="10241"/>
    <n v="-2794.4790999999996"/>
    <n v="-0.37527311579827827"/>
  </r>
  <r>
    <s v="ORD-2023-603650"/>
    <d v="2023-05-23T00:00:00"/>
    <x v="207"/>
    <s v="Q2-2023"/>
    <d v="2023-06-10T00:00:00"/>
    <d v="2023-06-10T00:00:00"/>
    <n v="18"/>
    <n v="18"/>
    <x v="0"/>
    <x v="8"/>
    <x v="1"/>
    <x v="9"/>
    <s v="Shanghai"/>
    <s v="Asia - China - Shanghai"/>
    <s v="Corporate"/>
    <x v="3"/>
    <x v="6"/>
    <x v="0"/>
    <x v="230"/>
    <n v="54.62"/>
    <n v="48.94"/>
    <n v="48.94"/>
    <s v="Low"/>
    <n v="0.14799999999999999"/>
    <n v="0.14799999999999999"/>
    <x v="0"/>
    <n v="16"/>
    <n v="667.15008"/>
    <n v="873.92"/>
    <n v="-206.76991999999996"/>
    <n v="-0.3099301434543783"/>
  </r>
  <r>
    <s v="ORD-2025-757957"/>
    <d v="2025-04-24T00:00:00"/>
    <x v="208"/>
    <s v="Q2-2025"/>
    <d v="2025-05-06T00:00:00"/>
    <d v="2025-05-06T00:00:00"/>
    <n v="12"/>
    <n v="12"/>
    <x v="0"/>
    <x v="4"/>
    <x v="2"/>
    <x v="5"/>
    <s v="Brasília"/>
    <s v="Americas - Brazil - Brasília"/>
    <s v="Consumer"/>
    <x v="1"/>
    <x v="0"/>
    <x v="3"/>
    <x v="231"/>
    <n v="394.13"/>
    <n v="932.29"/>
    <n v="932.29"/>
    <s v="Medium"/>
    <n v="0.109"/>
    <n v="0.109"/>
    <x v="0"/>
    <n v="7"/>
    <n v="5814.6927299999998"/>
    <n v="2758.91"/>
    <n v="3055.7827299999999"/>
    <n v="0.5255278089303268"/>
  </r>
  <r>
    <s v="ORD-2024-423853"/>
    <d v="2024-09-03T00:00:00"/>
    <x v="209"/>
    <s v="Q3-2024"/>
    <d v="2024-09-08T00:00:00"/>
    <d v="2024-09-08T00:00:00"/>
    <n v="5"/>
    <n v="5"/>
    <x v="1"/>
    <x v="1"/>
    <x v="0"/>
    <x v="1"/>
    <s v="Lagos"/>
    <s v="Africa - Nigeria - Lagos"/>
    <s v="Small Business"/>
    <x v="4"/>
    <x v="11"/>
    <x v="1"/>
    <x v="232"/>
    <n v="197.63"/>
    <n v="325.79000000000002"/>
    <n v="325.79000000000002"/>
    <s v="Low"/>
    <n v="0.11600000000000001"/>
    <n v="0.11600000000000001"/>
    <x v="0"/>
    <n v="10"/>
    <n v="2879.9836"/>
    <n v="1976.3"/>
    <n v="903.68360000000007"/>
    <n v="0.31378081458519419"/>
  </r>
  <r>
    <s v="ORD-2024-569164"/>
    <d v="2024-09-05T00:00:00"/>
    <x v="210"/>
    <s v="Q3-2024"/>
    <d v="2024-09-25T00:00:00"/>
    <d v="2024-09-25T00:00:00"/>
    <n v="20"/>
    <n v="20"/>
    <x v="0"/>
    <x v="2"/>
    <x v="1"/>
    <x v="2"/>
    <s v="Osaka"/>
    <s v="Asia - Japan - Osaka"/>
    <s v="Enterprise"/>
    <x v="3"/>
    <x v="14"/>
    <x v="5"/>
    <x v="233"/>
    <n v="195.54"/>
    <n v="405.97"/>
    <n v="405.97"/>
    <s v="Low"/>
    <n v="0.187"/>
    <n v="0.187"/>
    <x v="0"/>
    <n v="16"/>
    <n v="5280.8577599999999"/>
    <n v="3128.64"/>
    <n v="2152.21776"/>
    <n v="0.40755079152141377"/>
  </r>
  <r>
    <s v="ORD-2023-946143"/>
    <d v="2023-03-14T00:00:00"/>
    <x v="211"/>
    <s v="Q1-2023"/>
    <d v="2023-03-30T00:00:00"/>
    <d v="2023-03-30T00:00:00"/>
    <n v="16"/>
    <n v="16"/>
    <x v="0"/>
    <x v="10"/>
    <x v="0"/>
    <x v="11"/>
    <s v="Cape Town"/>
    <s v="Africa - South Africa - Cape Town"/>
    <s v="Consumer"/>
    <x v="3"/>
    <x v="11"/>
    <x v="0"/>
    <x v="234"/>
    <n v="1309.77"/>
    <n v="1589.07"/>
    <n v="1589.07"/>
    <s v="Medium"/>
    <n v="0.10199999999999999"/>
    <n v="0.10199999999999999"/>
    <x v="0"/>
    <n v="10"/>
    <n v="14269.848599999999"/>
    <n v="13097.7"/>
    <n v="1172.1485999999986"/>
    <n v="8.2141628328137886E-2"/>
  </r>
  <r>
    <s v="ORD-2024-281211"/>
    <d v="2024-01-11T00:00:00"/>
    <x v="39"/>
    <s v="Q1-2024"/>
    <d v="2024-02-02T00:00:00"/>
    <d v="2024-02-02T00:00:00"/>
    <n v="22"/>
    <n v="22"/>
    <x v="0"/>
    <x v="2"/>
    <x v="1"/>
    <x v="2"/>
    <s v="Nagoya"/>
    <s v="Asia - Japan - Nagoya"/>
    <s v="Small Business"/>
    <x v="1"/>
    <x v="5"/>
    <x v="1"/>
    <x v="235"/>
    <n v="1237.68"/>
    <n v="1432.8"/>
    <n v="1432.8"/>
    <s v="Medium"/>
    <n v="6.8000000000000005E-2"/>
    <n v="6.8000000000000005E-2"/>
    <x v="0"/>
    <n v="13"/>
    <n v="17359.804799999998"/>
    <n v="16089.84"/>
    <n v="1269.9647999999979"/>
    <n v="7.315547695559331E-2"/>
  </r>
  <r>
    <s v="ORD-2024-805860"/>
    <d v="2024-09-13T00:00:00"/>
    <x v="212"/>
    <s v="Q3-2024"/>
    <d v="2024-10-02T00:00:00"/>
    <d v="2024-10-02T00:00:00"/>
    <n v="19"/>
    <n v="19"/>
    <x v="0"/>
    <x v="0"/>
    <x v="0"/>
    <x v="0"/>
    <s v="Mombasa"/>
    <s v="Africa - Kenya - Mombasa"/>
    <s v="Small Business"/>
    <x v="0"/>
    <x v="12"/>
    <x v="3"/>
    <x v="236"/>
    <n v="1338.99"/>
    <n v="1765.76"/>
    <n v="1765.76"/>
    <s v="High"/>
    <n v="0.126"/>
    <n v="0.126"/>
    <x v="0"/>
    <n v="24"/>
    <n v="37038.581760000001"/>
    <n v="32135.760000000002"/>
    <n v="4902.8217599999989"/>
    <n v="0.1323706666677725"/>
  </r>
  <r>
    <s v="ORD-2025-132174"/>
    <d v="2025-07-17T00:00:00"/>
    <x v="213"/>
    <s v="Q3-2025"/>
    <d v="2025-07-23T00:00:00"/>
    <d v="2025-07-23T00:00:00"/>
    <n v="6"/>
    <n v="6"/>
    <x v="1"/>
    <x v="3"/>
    <x v="2"/>
    <x v="3"/>
    <s v="Vancouver"/>
    <s v="Americas - Canada - Vancouver"/>
    <s v="Consumer"/>
    <x v="1"/>
    <x v="10"/>
    <x v="0"/>
    <x v="237"/>
    <n v="1364.89"/>
    <n v="2757.54"/>
    <n v="2757.54"/>
    <s v="High"/>
    <n v="0.17199999999999999"/>
    <n v="0.17199999999999999"/>
    <x v="0"/>
    <n v="61"/>
    <n v="139277.83032000001"/>
    <n v="83258.290000000008"/>
    <n v="56019.54032"/>
    <n v="0.4022143379983118"/>
  </r>
  <r>
    <s v="ORD-2023-964434"/>
    <d v="2023-11-28T00:00:00"/>
    <x v="214"/>
    <s v="Q4-2023"/>
    <d v="2023-12-07T00:00:00"/>
    <d v="2023-12-07T00:00:00"/>
    <n v="9"/>
    <n v="9"/>
    <x v="0"/>
    <x v="4"/>
    <x v="1"/>
    <x v="4"/>
    <s v="Delhi"/>
    <s v="Asia - India - Delhi"/>
    <s v="Enterprise"/>
    <x v="2"/>
    <x v="4"/>
    <x v="3"/>
    <x v="238"/>
    <n v="699.33"/>
    <n v="873.75"/>
    <n v="873.75"/>
    <s v="Medium"/>
    <n v="0.23499999999999999"/>
    <n v="0.23499999999999999"/>
    <x v="1"/>
    <n v="10"/>
    <n v="6684.1875"/>
    <n v="6993.3"/>
    <n v="-309.11250000000018"/>
    <n v="-4.6245336475076469E-2"/>
  </r>
  <r>
    <s v="ORD-2024-897622"/>
    <d v="2024-03-30T00:00:00"/>
    <x v="215"/>
    <s v="Q1-2024"/>
    <d v="2024-04-24T00:00:00"/>
    <d v="2024-04-24T00:00:00"/>
    <n v="25"/>
    <n v="25"/>
    <x v="0"/>
    <x v="9"/>
    <x v="2"/>
    <x v="10"/>
    <s v="Austin"/>
    <s v="Americas - USA - Austin"/>
    <s v="Non-Profit"/>
    <x v="1"/>
    <x v="3"/>
    <x v="4"/>
    <x v="239"/>
    <n v="160.82"/>
    <n v="258.52"/>
    <n v="258.52"/>
    <s v="Low"/>
    <n v="0.13"/>
    <n v="0.13"/>
    <x v="0"/>
    <n v="17"/>
    <n v="3823.5108"/>
    <n v="2733.94"/>
    <n v="1089.5708"/>
    <n v="0.28496605789631874"/>
  </r>
  <r>
    <s v="ORD-2023-517216"/>
    <d v="2023-09-19T00:00:00"/>
    <x v="216"/>
    <s v="Q3-2023"/>
    <d v="2023-10-08T00:00:00"/>
    <d v="2023-10-08T00:00:00"/>
    <n v="19"/>
    <n v="19"/>
    <x v="0"/>
    <x v="4"/>
    <x v="1"/>
    <x v="4"/>
    <s v="Bengaluru"/>
    <s v="Asia - India - Bengaluru"/>
    <s v="Education"/>
    <x v="4"/>
    <x v="1"/>
    <x v="1"/>
    <x v="240"/>
    <n v="385.32"/>
    <n v="606.76"/>
    <n v="606.76"/>
    <s v="Low"/>
    <n v="8.5999999999999993E-2"/>
    <n v="8.5999999999999993E-2"/>
    <x v="0"/>
    <n v="8"/>
    <n v="4436.6291200000005"/>
    <n v="3082.56"/>
    <n v="1354.0691200000006"/>
    <n v="0.30520223425842735"/>
  </r>
  <r>
    <s v="ORD-2025-509940"/>
    <d v="2025-05-16T00:00:00"/>
    <x v="217"/>
    <s v="Q2-2025"/>
    <d v="2025-05-27T00:00:00"/>
    <d v="2025-05-27T00:00:00"/>
    <n v="11"/>
    <n v="11"/>
    <x v="0"/>
    <x v="8"/>
    <x v="1"/>
    <x v="9"/>
    <s v="Beijing"/>
    <s v="Asia - China - Beijing"/>
    <s v="Enterprise"/>
    <x v="1"/>
    <x v="9"/>
    <x v="3"/>
    <x v="241"/>
    <n v="918.12"/>
    <n v="1337.69"/>
    <n v="1337.69"/>
    <s v="Medium"/>
    <n v="9.5000000000000001E-2"/>
    <n v="9.5000000000000001E-2"/>
    <x v="0"/>
    <n v="8"/>
    <n v="9684.8756000000012"/>
    <n v="7344.96"/>
    <n v="2339.9156000000012"/>
    <n v="0.24160512707050164"/>
  </r>
  <r>
    <s v="ORD-2025-646342"/>
    <d v="2025-08-02T00:00:00"/>
    <x v="218"/>
    <s v="Q3-2025"/>
    <d v="2025-08-08T00:00:00"/>
    <d v="2025-08-08T00:00:00"/>
    <n v="6"/>
    <n v="6"/>
    <x v="1"/>
    <x v="2"/>
    <x v="1"/>
    <x v="2"/>
    <s v="Osaka"/>
    <s v="Asia - Japan - Osaka"/>
    <s v="Consumer"/>
    <x v="4"/>
    <x v="13"/>
    <x v="4"/>
    <x v="242"/>
    <n v="1225.94"/>
    <n v="1793.08"/>
    <n v="1793.08"/>
    <s v="High"/>
    <n v="0.13600000000000001"/>
    <n v="0.13600000000000001"/>
    <x v="0"/>
    <n v="22"/>
    <n v="34082.864639999993"/>
    <n v="26970.68"/>
    <n v="7112.1846399999922"/>
    <n v="0.20867332353434462"/>
  </r>
  <r>
    <s v="ORD-2024-866535"/>
    <d v="2024-12-04T00:00:00"/>
    <x v="219"/>
    <s v="Q4-2024"/>
    <d v="2024-12-12T00:00:00"/>
    <d v="2024-12-12T00:00:00"/>
    <n v="8"/>
    <n v="8"/>
    <x v="0"/>
    <x v="5"/>
    <x v="3"/>
    <x v="6"/>
    <s v="Frankfurt"/>
    <s v="Europe - Germany - Frankfurt"/>
    <s v="Enterprise"/>
    <x v="2"/>
    <x v="5"/>
    <x v="1"/>
    <x v="243"/>
    <n v="72.06"/>
    <n v="122.74"/>
    <n v="122.74"/>
    <s v="Low"/>
    <n v="0.23799999999999999"/>
    <n v="0.23799999999999999"/>
    <x v="1"/>
    <n v="8"/>
    <n v="748.22303999999997"/>
    <n v="576.48"/>
    <n v="171.74303999999995"/>
    <n v="0.22953455162246802"/>
  </r>
  <r>
    <s v="ORD-2023-747341"/>
    <d v="2023-04-19T00:00:00"/>
    <x v="43"/>
    <s v="Q2-2023"/>
    <d v="2023-04-28T00:00:00"/>
    <d v="2023-04-28T00:00:00"/>
    <n v="9"/>
    <n v="9"/>
    <x v="0"/>
    <x v="4"/>
    <x v="2"/>
    <x v="5"/>
    <s v="Rio de Janeiro"/>
    <s v="Americas - Brazil - Rio de Janeiro"/>
    <s v="Corporate"/>
    <x v="3"/>
    <x v="12"/>
    <x v="3"/>
    <x v="244"/>
    <n v="1013.54"/>
    <n v="927.93"/>
    <n v="927.93"/>
    <s v="Medium"/>
    <n v="0.17499999999999999"/>
    <n v="0.17499999999999999"/>
    <x v="0"/>
    <n v="16"/>
    <n v="12248.675999999999"/>
    <n v="16216.64"/>
    <n v="-3967.9639999999999"/>
    <n v="-0.32395044166406234"/>
  </r>
  <r>
    <s v="ORD-2024-853298"/>
    <d v="2024-03-06T00:00:00"/>
    <x v="220"/>
    <s v="Q1-2024"/>
    <d v="2024-03-26T00:00:00"/>
    <d v="2024-03-26T00:00:00"/>
    <n v="20"/>
    <n v="20"/>
    <x v="0"/>
    <x v="1"/>
    <x v="0"/>
    <x v="1"/>
    <s v="Port Harcourt"/>
    <s v="Africa - Nigeria - Port Harcourt"/>
    <s v="Consumer"/>
    <x v="2"/>
    <x v="2"/>
    <x v="3"/>
    <x v="245"/>
    <n v="65.64"/>
    <n v="151.88"/>
    <n v="151.88"/>
    <s v="Low"/>
    <n v="0.16700000000000001"/>
    <n v="0.16700000000000001"/>
    <x v="0"/>
    <n v="23"/>
    <n v="2909.8689199999999"/>
    <n v="1509.72"/>
    <n v="1400.1489199999999"/>
    <n v="0.48117250587356353"/>
  </r>
  <r>
    <s v="ORD-2024-544865"/>
    <d v="2024-02-16T00:00:00"/>
    <x v="221"/>
    <s v="Q1-2024"/>
    <d v="2024-03-04T00:00:00"/>
    <d v="2024-03-04T00:00:00"/>
    <n v="17"/>
    <n v="17"/>
    <x v="0"/>
    <x v="3"/>
    <x v="2"/>
    <x v="3"/>
    <s v="Montreal"/>
    <s v="Americas - Canada - Montreal"/>
    <s v="Non-Profit"/>
    <x v="0"/>
    <x v="14"/>
    <x v="4"/>
    <x v="246"/>
    <n v="1350.98"/>
    <n v="2210.4"/>
    <n v="2210.4"/>
    <s v="High"/>
    <n v="0.26300000000000001"/>
    <n v="0.26300000000000001"/>
    <x v="1"/>
    <n v="6"/>
    <n v="9774.3888000000006"/>
    <n v="8105.88"/>
    <n v="1668.5088000000005"/>
    <n v="0.17070211080615091"/>
  </r>
  <r>
    <s v="ORD-2025-946490"/>
    <d v="2025-04-22T00:00:00"/>
    <x v="222"/>
    <s v="Q2-2025"/>
    <d v="2025-05-02T00:00:00"/>
    <d v="2025-05-02T00:00:00"/>
    <n v="10"/>
    <n v="10"/>
    <x v="0"/>
    <x v="5"/>
    <x v="3"/>
    <x v="6"/>
    <s v="Berlin"/>
    <s v="Europe - Germany - Berlin"/>
    <s v="Corporate"/>
    <x v="2"/>
    <x v="0"/>
    <x v="5"/>
    <x v="247"/>
    <n v="20.149999999999999"/>
    <n v="39.74"/>
    <n v="39.74"/>
    <s v="Low"/>
    <n v="0.151"/>
    <n v="0.151"/>
    <x v="0"/>
    <n v="18"/>
    <n v="607.30668000000003"/>
    <n v="362.7"/>
    <n v="244.60668000000004"/>
    <n v="0.4027729120318585"/>
  </r>
  <r>
    <s v="ORD-2024-320972"/>
    <d v="2024-11-08T00:00:00"/>
    <x v="223"/>
    <s v="Q4-2024"/>
    <d v="2024-11-08T00:00:00"/>
    <d v="2024-11-08T00:00:00"/>
    <n v="0"/>
    <n v="0"/>
    <x v="1"/>
    <x v="0"/>
    <x v="0"/>
    <x v="0"/>
    <s v="Nakuru"/>
    <s v="Africa - Kenya - Nakuru"/>
    <s v="Enterprise"/>
    <x v="2"/>
    <x v="12"/>
    <x v="2"/>
    <x v="248"/>
    <n v="803.28"/>
    <n v="1009"/>
    <n v="1009"/>
    <s v="Medium"/>
    <n v="0.11"/>
    <n v="0.11"/>
    <x v="0"/>
    <n v="4"/>
    <n v="3592.04"/>
    <n v="3213.12"/>
    <n v="378.92000000000007"/>
    <n v="0.10548880302001093"/>
  </r>
  <r>
    <s v="ORD-2025-248586"/>
    <d v="2025-09-12T00:00:00"/>
    <x v="224"/>
    <s v="Q3-2025"/>
    <d v="2025-09-30T00:00:00"/>
    <d v="2025-09-30T00:00:00"/>
    <n v="18"/>
    <n v="18"/>
    <x v="0"/>
    <x v="2"/>
    <x v="1"/>
    <x v="2"/>
    <s v="Nagoya"/>
    <s v="Asia - Japan - Nagoya"/>
    <s v="Non-Profit"/>
    <x v="2"/>
    <x v="9"/>
    <x v="5"/>
    <x v="249"/>
    <n v="1212.99"/>
    <n v="1653.64"/>
    <n v="1653.64"/>
    <s v="High"/>
    <n v="0.107"/>
    <n v="0.107"/>
    <x v="0"/>
    <n v="8"/>
    <n v="11813.604160000001"/>
    <n v="9703.92"/>
    <n v="2109.6841600000007"/>
    <n v="0.17858090819931455"/>
  </r>
  <r>
    <s v="ORD-2024-664046"/>
    <d v="2024-09-02T00:00:00"/>
    <x v="225"/>
    <s v="Q3-2024"/>
    <d v="2024-09-08T00:00:00"/>
    <d v="2024-09-08T00:00:00"/>
    <n v="6"/>
    <n v="6"/>
    <x v="1"/>
    <x v="9"/>
    <x v="2"/>
    <x v="10"/>
    <s v="Austin"/>
    <s v="Americas - USA - Austin"/>
    <s v="Consumer"/>
    <x v="4"/>
    <x v="10"/>
    <x v="0"/>
    <x v="250"/>
    <n v="462.94"/>
    <n v="1015.7"/>
    <n v="1015.7"/>
    <s v="Medium"/>
    <n v="0.14299999999999999"/>
    <n v="0.14299999999999999"/>
    <x v="0"/>
    <n v="14"/>
    <n v="12186.368600000002"/>
    <n v="6481.16"/>
    <n v="5705.2086000000018"/>
    <n v="0.46816314090483041"/>
  </r>
  <r>
    <s v="ORD-2023-276806"/>
    <d v="2023-03-04T00:00:00"/>
    <x v="226"/>
    <s v="Q1-2023"/>
    <d v="2023-03-24T00:00:00"/>
    <d v="2023-03-24T00:00:00"/>
    <n v="20"/>
    <n v="20"/>
    <x v="0"/>
    <x v="3"/>
    <x v="2"/>
    <x v="3"/>
    <s v="Montreal"/>
    <s v="Americas - Canada - Montreal"/>
    <s v="Consumer"/>
    <x v="3"/>
    <x v="2"/>
    <x v="4"/>
    <x v="251"/>
    <n v="481.71"/>
    <n v="912.45"/>
    <n v="912.45"/>
    <s v="Medium"/>
    <n v="0.20300000000000001"/>
    <n v="0.20300000000000001"/>
    <x v="1"/>
    <n v="24"/>
    <n v="17453.3436"/>
    <n v="11561.039999999999"/>
    <n v="5892.3036000000011"/>
    <n v="0.33760313983619739"/>
  </r>
  <r>
    <s v="ORD-2024-220234"/>
    <d v="2024-03-15T00:00:00"/>
    <x v="227"/>
    <s v="Q1-2024"/>
    <d v="2024-04-09T00:00:00"/>
    <d v="2024-04-09T00:00:00"/>
    <n v="25"/>
    <n v="25"/>
    <x v="0"/>
    <x v="3"/>
    <x v="2"/>
    <x v="3"/>
    <s v="Vancouver"/>
    <s v="Americas - Canada - Vancouver"/>
    <s v="Consumer"/>
    <x v="1"/>
    <x v="9"/>
    <x v="5"/>
    <x v="252"/>
    <n v="648.64"/>
    <n v="815.19"/>
    <n v="815.19"/>
    <s v="Low"/>
    <n v="0.22500000000000001"/>
    <n v="0.22500000000000001"/>
    <x v="1"/>
    <n v="28"/>
    <n v="17689.623"/>
    <n v="18161.919999999998"/>
    <n v="-472.29699999999866"/>
    <n v="-2.6699099240272032E-2"/>
  </r>
  <r>
    <s v="ORD-2024-301260"/>
    <d v="2024-07-29T00:00:00"/>
    <x v="228"/>
    <s v="Q3-2024"/>
    <d v="2024-07-31T00:00:00"/>
    <d v="2024-07-31T00:00:00"/>
    <n v="2"/>
    <n v="2"/>
    <x v="1"/>
    <x v="9"/>
    <x v="2"/>
    <x v="10"/>
    <s v="New York"/>
    <s v="Americas - USA - New York"/>
    <s v="Education"/>
    <x v="2"/>
    <x v="2"/>
    <x v="1"/>
    <x v="253"/>
    <n v="798.97"/>
    <n v="1814.06"/>
    <n v="1814.06"/>
    <s v="High"/>
    <n v="0.122"/>
    <n v="0.122"/>
    <x v="0"/>
    <n v="16"/>
    <n v="25483.91488"/>
    <n v="12783.52"/>
    <n v="12700.39488"/>
    <n v="0.49836906691159061"/>
  </r>
  <r>
    <s v="ORD-2024-350100"/>
    <d v="2024-10-27T00:00:00"/>
    <x v="229"/>
    <s v="Q4-2024"/>
    <d v="2024-11-20T00:00:00"/>
    <d v="2024-11-20T00:00:00"/>
    <n v="24"/>
    <n v="24"/>
    <x v="0"/>
    <x v="2"/>
    <x v="1"/>
    <x v="2"/>
    <s v="Nagoya"/>
    <s v="Asia - Japan - Nagoya"/>
    <s v="Non-Profit"/>
    <x v="1"/>
    <x v="10"/>
    <x v="5"/>
    <x v="254"/>
    <n v="317.25"/>
    <n v="758.92"/>
    <n v="758.92"/>
    <s v="Low"/>
    <n v="5.2999999999999999E-2"/>
    <n v="5.2999999999999999E-2"/>
    <x v="0"/>
    <n v="9"/>
    <n v="6468.2751599999992"/>
    <n v="2855.25"/>
    <n v="3613.0251599999992"/>
    <n v="0.5585762928489888"/>
  </r>
  <r>
    <s v="ORD-2024-855600"/>
    <d v="2024-04-29T00:00:00"/>
    <x v="230"/>
    <s v="Q2-2024"/>
    <d v="2024-05-19T00:00:00"/>
    <d v="2024-05-19T00:00:00"/>
    <n v="20"/>
    <n v="20"/>
    <x v="0"/>
    <x v="5"/>
    <x v="3"/>
    <x v="6"/>
    <s v="Frankfurt"/>
    <s v="Europe - Germany - Frankfurt"/>
    <s v="Enterprise"/>
    <x v="2"/>
    <x v="0"/>
    <x v="4"/>
    <x v="255"/>
    <n v="668.97"/>
    <n v="1667.44"/>
    <n v="1667.44"/>
    <s v="High"/>
    <n v="3.4000000000000002E-2"/>
    <n v="3.4000000000000002E-2"/>
    <x v="0"/>
    <n v="15"/>
    <n v="24161.205600000001"/>
    <n v="10034.550000000001"/>
    <n v="14126.6556"/>
    <n v="0.58468339013679016"/>
  </r>
  <r>
    <s v="ORD-2023-474313"/>
    <d v="2023-10-05T00:00:00"/>
    <x v="231"/>
    <s v="Q4-2023"/>
    <d v="2023-10-06T00:00:00"/>
    <d v="2023-10-06T00:00:00"/>
    <n v="1"/>
    <n v="1"/>
    <x v="1"/>
    <x v="4"/>
    <x v="1"/>
    <x v="4"/>
    <s v="Bengaluru"/>
    <s v="Asia - India - Bengaluru"/>
    <s v="Non-Profit"/>
    <x v="1"/>
    <x v="2"/>
    <x v="0"/>
    <x v="256"/>
    <n v="1470.26"/>
    <n v="2562.5500000000002"/>
    <n v="2562.5500000000002"/>
    <s v="High"/>
    <n v="0.17299999999999999"/>
    <n v="0.17299999999999999"/>
    <x v="0"/>
    <n v="9"/>
    <n v="19073.059649999999"/>
    <n v="13232.34"/>
    <n v="5840.7196499999991"/>
    <n v="0.30622877279157462"/>
  </r>
  <r>
    <s v="ORD-2023-256951"/>
    <d v="2023-04-19T00:00:00"/>
    <x v="43"/>
    <s v="Q2-2023"/>
    <d v="2023-05-07T00:00:00"/>
    <d v="2023-05-07T00:00:00"/>
    <n v="18"/>
    <n v="18"/>
    <x v="0"/>
    <x v="7"/>
    <x v="3"/>
    <x v="8"/>
    <s v="London"/>
    <s v="Europe - United Kingdom - London"/>
    <s v="Non-Profit"/>
    <x v="4"/>
    <x v="10"/>
    <x v="2"/>
    <x v="257"/>
    <n v="516.96"/>
    <n v="745.38"/>
    <n v="745.38"/>
    <s v="Low"/>
    <n v="0.19700000000000001"/>
    <n v="0.19700000000000001"/>
    <x v="0"/>
    <n v="4"/>
    <n v="2394.1605599999998"/>
    <n v="2067.84"/>
    <n v="326.32055999999966"/>
    <n v="0.13629852794835101"/>
  </r>
  <r>
    <s v="ORD-2025-184754"/>
    <d v="2025-06-27T00:00:00"/>
    <x v="232"/>
    <s v="Q2-2025"/>
    <d v="2025-07-05T00:00:00"/>
    <d v="2025-07-05T00:00:00"/>
    <n v="8"/>
    <n v="8"/>
    <x v="0"/>
    <x v="5"/>
    <x v="3"/>
    <x v="6"/>
    <s v="Munich"/>
    <s v="Europe - Germany - Munich"/>
    <s v="Small Business"/>
    <x v="4"/>
    <x v="3"/>
    <x v="5"/>
    <x v="258"/>
    <n v="314.93"/>
    <n v="687.95"/>
    <n v="687.95"/>
    <s v="Low"/>
    <n v="0.20499999999999999"/>
    <n v="0.20499999999999999"/>
    <x v="1"/>
    <n v="8"/>
    <n v="4375.3620000000001"/>
    <n v="2519.44"/>
    <n v="1855.922"/>
    <n v="0.424175645352316"/>
  </r>
  <r>
    <s v="ORD-2023-888140"/>
    <d v="2023-10-11T00:00:00"/>
    <x v="233"/>
    <s v="Q4-2023"/>
    <d v="2023-10-13T00:00:00"/>
    <d v="2023-10-13T00:00:00"/>
    <n v="2"/>
    <n v="2"/>
    <x v="1"/>
    <x v="4"/>
    <x v="2"/>
    <x v="5"/>
    <s v="Brasília"/>
    <s v="Americas - Brazil - Brasília"/>
    <s v="Consumer"/>
    <x v="3"/>
    <x v="9"/>
    <x v="6"/>
    <x v="259"/>
    <n v="715.94"/>
    <n v="550.07000000000005"/>
    <n v="550.07000000000005"/>
    <s v="Low"/>
    <n v="0.14000000000000001"/>
    <n v="0.14000000000000001"/>
    <x v="0"/>
    <n v="16"/>
    <n v="7568.9632000000001"/>
    <n v="11455.04"/>
    <n v="-3886.0768000000007"/>
    <n v="-0.51342260456491595"/>
  </r>
  <r>
    <s v="ORD-2023-638181"/>
    <d v="2023-05-20T00:00:00"/>
    <x v="72"/>
    <s v="Q2-2023"/>
    <d v="2023-06-07T00:00:00"/>
    <d v="2023-06-07T00:00:00"/>
    <n v="18"/>
    <n v="18"/>
    <x v="0"/>
    <x v="1"/>
    <x v="0"/>
    <x v="1"/>
    <s v="Port Harcourt"/>
    <s v="Africa - Nigeria - Port Harcourt"/>
    <s v="Enterprise"/>
    <x v="3"/>
    <x v="6"/>
    <x v="0"/>
    <x v="260"/>
    <n v="1120.06"/>
    <n v="2068.21"/>
    <n v="2068.21"/>
    <s v="High"/>
    <n v="7.8E-2"/>
    <n v="7.8E-2"/>
    <x v="0"/>
    <n v="12"/>
    <n v="22882.675440000003"/>
    <n v="13440.72"/>
    <n v="9441.9554400000034"/>
    <n v="0.41262462795303284"/>
  </r>
  <r>
    <s v="ORD-2023-521280"/>
    <d v="2023-05-27T00:00:00"/>
    <x v="234"/>
    <s v="Q2-2023"/>
    <d v="2023-06-19T00:00:00"/>
    <d v="2023-06-19T00:00:00"/>
    <n v="23"/>
    <n v="23"/>
    <x v="0"/>
    <x v="5"/>
    <x v="3"/>
    <x v="6"/>
    <s v="Berlin"/>
    <s v="Europe - Germany - Berlin"/>
    <s v="Education"/>
    <x v="0"/>
    <x v="7"/>
    <x v="6"/>
    <x v="261"/>
    <n v="1471.58"/>
    <n v="2576.65"/>
    <n v="2576.65"/>
    <s v="High"/>
    <n v="4.0000000000000001E-3"/>
    <n v="4.0000000000000001E-3"/>
    <x v="0"/>
    <n v="7"/>
    <n v="17964.4038"/>
    <n v="10301.06"/>
    <n v="7663.3438000000006"/>
    <n v="0.4265849223451546"/>
  </r>
  <r>
    <s v="ORD-2023-630430"/>
    <d v="2023-08-04T00:00:00"/>
    <x v="235"/>
    <s v="Q3-2023"/>
    <d v="2023-08-24T00:00:00"/>
    <d v="2023-08-24T00:00:00"/>
    <n v="20"/>
    <n v="20"/>
    <x v="0"/>
    <x v="4"/>
    <x v="2"/>
    <x v="5"/>
    <s v="Brasília"/>
    <s v="Americas - Brazil - Brasília"/>
    <s v="Non-Profit"/>
    <x v="4"/>
    <x v="9"/>
    <x v="2"/>
    <x v="262"/>
    <n v="582.88"/>
    <n v="1044.1400000000001"/>
    <n v="1044.1400000000001"/>
    <s v="Medium"/>
    <n v="0.216"/>
    <n v="0.216"/>
    <x v="1"/>
    <n v="10"/>
    <n v="8186.057600000001"/>
    <n v="5828.8"/>
    <n v="2357.2576000000008"/>
    <n v="0.28796005539956138"/>
  </r>
  <r>
    <s v="ORD-2025-908258"/>
    <d v="2025-06-21T00:00:00"/>
    <x v="236"/>
    <s v="Q2-2025"/>
    <d v="2025-06-27T00:00:00"/>
    <d v="2025-06-27T00:00:00"/>
    <n v="6"/>
    <n v="6"/>
    <x v="1"/>
    <x v="10"/>
    <x v="0"/>
    <x v="11"/>
    <s v="Durban"/>
    <s v="Africa - South Africa - Durban"/>
    <s v="Enterprise"/>
    <x v="3"/>
    <x v="13"/>
    <x v="3"/>
    <x v="263"/>
    <n v="93.91"/>
    <n v="99.04"/>
    <n v="99.04"/>
    <s v="Low"/>
    <n v="5.7000000000000002E-2"/>
    <n v="5.7000000000000002E-2"/>
    <x v="0"/>
    <n v="6"/>
    <n v="560.36831999999993"/>
    <n v="563.46"/>
    <n v="-3.0916800000001103"/>
    <n v="-5.5172283829323376E-3"/>
  </r>
  <r>
    <s v="ORD-2025-440093"/>
    <d v="2025-04-16T00:00:00"/>
    <x v="139"/>
    <s v="Q2-2025"/>
    <d v="2025-04-26T00:00:00"/>
    <d v="2025-04-26T00:00:00"/>
    <n v="10"/>
    <n v="10"/>
    <x v="0"/>
    <x v="1"/>
    <x v="0"/>
    <x v="1"/>
    <s v="Port Harcourt"/>
    <s v="Africa - Nigeria - Port Harcourt"/>
    <s v="Enterprise"/>
    <x v="2"/>
    <x v="9"/>
    <x v="4"/>
    <x v="264"/>
    <n v="1457.44"/>
    <n v="1996.81"/>
    <n v="1996.81"/>
    <s v="High"/>
    <n v="0.126"/>
    <n v="0.126"/>
    <x v="0"/>
    <n v="23"/>
    <n v="40139.874619999995"/>
    <n v="33521.120000000003"/>
    <n v="6618.7546199999924"/>
    <n v="0.16489225944672353"/>
  </r>
  <r>
    <s v="ORD-2025-898022"/>
    <d v="2025-09-02T00:00:00"/>
    <x v="237"/>
    <s v="Q3-2025"/>
    <d v="2025-09-11T00:00:00"/>
    <d v="2025-09-11T00:00:00"/>
    <n v="9"/>
    <n v="9"/>
    <x v="0"/>
    <x v="3"/>
    <x v="2"/>
    <x v="3"/>
    <s v="Toronto"/>
    <s v="Americas - Canada - Toronto"/>
    <s v="Corporate"/>
    <x v="3"/>
    <x v="12"/>
    <x v="1"/>
    <x v="265"/>
    <n v="1207.6300000000001"/>
    <n v="921.68"/>
    <n v="921.68"/>
    <s v="Medium"/>
    <n v="0.19600000000000001"/>
    <n v="0.19600000000000001"/>
    <x v="0"/>
    <n v="17"/>
    <n v="12597.52224"/>
    <n v="20529.710000000003"/>
    <n v="-7932.1877600000025"/>
    <n v="-0.62966253274897988"/>
  </r>
  <r>
    <s v="ORD-2024-500511"/>
    <d v="2024-10-08T00:00:00"/>
    <x v="238"/>
    <s v="Q4-2024"/>
    <d v="2024-10-08T00:00:00"/>
    <d v="2024-10-08T00:00:00"/>
    <n v="0"/>
    <n v="0"/>
    <x v="1"/>
    <x v="7"/>
    <x v="3"/>
    <x v="8"/>
    <s v="London"/>
    <s v="Europe - United Kingdom - London"/>
    <s v="Corporate"/>
    <x v="1"/>
    <x v="6"/>
    <x v="5"/>
    <x v="266"/>
    <n v="1108.1099999999999"/>
    <n v="2503.79"/>
    <n v="2503.79"/>
    <s v="High"/>
    <n v="0.184"/>
    <n v="0.184"/>
    <x v="0"/>
    <n v="19"/>
    <n v="38818.760160000005"/>
    <n v="21054.089999999997"/>
    <n v="17764.670160000009"/>
    <n v="0.45763105485025896"/>
  </r>
  <r>
    <s v="ORD-2023-632893"/>
    <d v="2023-05-07T00:00:00"/>
    <x v="239"/>
    <s v="Q2-2023"/>
    <d v="2023-05-05T00:00:00"/>
    <d v="2023-05-19T00:00:00"/>
    <n v="-2"/>
    <n v="12"/>
    <x v="0"/>
    <x v="1"/>
    <x v="0"/>
    <x v="1"/>
    <s v="Port Harcourt"/>
    <s v="Africa - Nigeria - Port Harcourt"/>
    <s v="Non-Profit"/>
    <x v="2"/>
    <x v="8"/>
    <x v="0"/>
    <x v="267"/>
    <n v="1269.6500000000001"/>
    <n v="2462.77"/>
    <n v="2462.77"/>
    <s v="High"/>
    <n v="0.107"/>
    <n v="0.107"/>
    <x v="0"/>
    <n v="8"/>
    <n v="17594.028880000002"/>
    <n v="10157.200000000001"/>
    <n v="7436.8288800000009"/>
    <n v="0.42269050089225502"/>
  </r>
  <r>
    <s v="ORD-2023-967239"/>
    <d v="2023-12-24T00:00:00"/>
    <x v="240"/>
    <s v="Q4-2023"/>
    <d v="2024-01-01T00:00:00"/>
    <d v="2024-01-01T00:00:00"/>
    <n v="8"/>
    <n v="8"/>
    <x v="0"/>
    <x v="4"/>
    <x v="2"/>
    <x v="5"/>
    <s v="São Paulo"/>
    <s v="Americas - Brazil - São Paulo"/>
    <s v="Education"/>
    <x v="4"/>
    <x v="0"/>
    <x v="3"/>
    <x v="268"/>
    <n v="526.49"/>
    <n v="496.2"/>
    <n v="496.2"/>
    <s v="Low"/>
    <n v="0"/>
    <n v="0"/>
    <x v="0"/>
    <n v="14"/>
    <n v="6946.8"/>
    <n v="7370.8600000000006"/>
    <n v="-424.0600000000004"/>
    <n v="-6.1043933897621985E-2"/>
  </r>
  <r>
    <s v="ORD-2024-885858"/>
    <d v="2024-01-10T00:00:00"/>
    <x v="241"/>
    <s v="Q1-2024"/>
    <d v="2024-01-23T00:00:00"/>
    <d v="2024-01-23T00:00:00"/>
    <n v="13"/>
    <n v="13"/>
    <x v="0"/>
    <x v="6"/>
    <x v="3"/>
    <x v="7"/>
    <s v="Marseille"/>
    <s v="Europe - France - Marseille"/>
    <s v="Corporate"/>
    <x v="4"/>
    <x v="8"/>
    <x v="1"/>
    <x v="269"/>
    <n v="720"/>
    <n v="907.59"/>
    <n v="907.59"/>
    <s v="Medium"/>
    <n v="0.154"/>
    <n v="0.154"/>
    <x v="0"/>
    <n v="10"/>
    <n v="7678.2113999999992"/>
    <n v="7200"/>
    <n v="478.21139999999923"/>
    <n v="6.2281614179052078E-2"/>
  </r>
  <r>
    <s v="ORD-2023-253245"/>
    <d v="2023-08-03T00:00:00"/>
    <x v="242"/>
    <s v="Q3-2023"/>
    <d v="2023-08-14T00:00:00"/>
    <d v="2023-08-14T00:00:00"/>
    <n v="11"/>
    <n v="11"/>
    <x v="0"/>
    <x v="4"/>
    <x v="2"/>
    <x v="5"/>
    <s v="Brasília"/>
    <s v="Americas - Brazil - Brasília"/>
    <s v="Corporate"/>
    <x v="4"/>
    <x v="1"/>
    <x v="6"/>
    <x v="270"/>
    <n v="232.73"/>
    <n v="334.19"/>
    <n v="334.19"/>
    <s v="Low"/>
    <n v="0.13400000000000001"/>
    <n v="0.13400000000000001"/>
    <x v="0"/>
    <n v="25"/>
    <n v="7235.2134999999998"/>
    <n v="5818.25"/>
    <n v="1416.9634999999998"/>
    <n v="0.1958426658729559"/>
  </r>
  <r>
    <s v="ORD-2025-484073"/>
    <d v="2025-02-19T00:00:00"/>
    <x v="243"/>
    <s v="Q1-2025"/>
    <d v="2025-03-09T00:00:00"/>
    <d v="2025-03-09T00:00:00"/>
    <n v="18"/>
    <n v="18"/>
    <x v="0"/>
    <x v="4"/>
    <x v="1"/>
    <x v="4"/>
    <s v="Delhi"/>
    <s v="Asia - India - Delhi"/>
    <s v="Small Business"/>
    <x v="4"/>
    <x v="7"/>
    <x v="5"/>
    <x v="271"/>
    <n v="325.87"/>
    <n v="538.79"/>
    <n v="538.79"/>
    <s v="Low"/>
    <n v="0.17399999999999999"/>
    <n v="0.17399999999999999"/>
    <x v="0"/>
    <n v="16"/>
    <n v="7120.6486400000003"/>
    <n v="5213.92"/>
    <n v="1906.7286400000003"/>
    <n v="0.26777457172778013"/>
  </r>
  <r>
    <s v="ORD-2024-745822"/>
    <d v="2024-03-31T00:00:00"/>
    <x v="244"/>
    <s v="Q1-2024"/>
    <d v="2024-04-17T00:00:00"/>
    <d v="2024-04-17T00:00:00"/>
    <n v="17"/>
    <n v="17"/>
    <x v="0"/>
    <x v="5"/>
    <x v="3"/>
    <x v="6"/>
    <s v="Frankfurt"/>
    <s v="Europe - Germany - Frankfurt"/>
    <s v="Education"/>
    <x v="4"/>
    <x v="10"/>
    <x v="5"/>
    <x v="272"/>
    <n v="1025.51"/>
    <n v="1436.54"/>
    <n v="1436.54"/>
    <s v="Medium"/>
    <n v="0.13900000000000001"/>
    <n v="0.13900000000000001"/>
    <x v="0"/>
    <n v="28"/>
    <n v="34632.106319999999"/>
    <n v="28714.28"/>
    <n v="5917.8263200000001"/>
    <n v="0.17087688127656453"/>
  </r>
  <r>
    <s v="ORD-2023-369160"/>
    <d v="2023-07-24T00:00:00"/>
    <x v="245"/>
    <s v="Q3-2023"/>
    <d v="2023-08-13T00:00:00"/>
    <d v="2023-08-13T00:00:00"/>
    <n v="20"/>
    <n v="20"/>
    <x v="0"/>
    <x v="3"/>
    <x v="2"/>
    <x v="3"/>
    <s v="Montreal"/>
    <s v="Americas - Canada - Montreal"/>
    <s v="Education"/>
    <x v="4"/>
    <x v="0"/>
    <x v="5"/>
    <x v="273"/>
    <n v="1082.3800000000001"/>
    <n v="1766.55"/>
    <n v="1766.55"/>
    <s v="High"/>
    <n v="0.16400000000000001"/>
    <n v="0.16400000000000001"/>
    <x v="0"/>
    <n v="20"/>
    <n v="29536.716"/>
    <n v="21647.600000000002"/>
    <n v="7889.1159999999982"/>
    <n v="0.26709523157550752"/>
  </r>
  <r>
    <s v="ORD-2024-834983"/>
    <d v="2024-03-16T00:00:00"/>
    <x v="246"/>
    <s v="Q1-2024"/>
    <d v="2024-04-13T00:00:00"/>
    <d v="2024-04-13T00:00:00"/>
    <n v="28"/>
    <n v="28"/>
    <x v="0"/>
    <x v="6"/>
    <x v="3"/>
    <x v="7"/>
    <s v="Paris"/>
    <s v="Europe - France - Paris"/>
    <s v="Small Business"/>
    <x v="1"/>
    <x v="11"/>
    <x v="1"/>
    <x v="274"/>
    <n v="287.61"/>
    <n v="628.54"/>
    <n v="628.54"/>
    <s v="Low"/>
    <n v="0.13500000000000001"/>
    <n v="0.13500000000000001"/>
    <x v="0"/>
    <n v="21"/>
    <n v="11417.429099999999"/>
    <n v="6039.81"/>
    <n v="5377.619099999999"/>
    <n v="0.47100087531964613"/>
  </r>
  <r>
    <s v="ORD-2024-499009"/>
    <d v="2024-01-25T00:00:00"/>
    <x v="247"/>
    <s v="Q1-2024"/>
    <d v="2024-01-27T00:00:00"/>
    <d v="2024-01-27T00:00:00"/>
    <n v="2"/>
    <n v="2"/>
    <x v="1"/>
    <x v="4"/>
    <x v="2"/>
    <x v="5"/>
    <s v="São Paulo"/>
    <s v="Americas - Brazil - São Paulo"/>
    <s v="Non-Profit"/>
    <x v="2"/>
    <x v="13"/>
    <x v="4"/>
    <x v="275"/>
    <n v="1410.97"/>
    <n v="1650.75"/>
    <n v="1650.75"/>
    <s v="High"/>
    <n v="0.13500000000000001"/>
    <n v="0.13500000000000001"/>
    <x v="0"/>
    <n v="6"/>
    <n v="8567.3924999999999"/>
    <n v="8465.82"/>
    <n v="101.57250000000022"/>
    <n v="1.1855707556295596E-2"/>
  </r>
  <r>
    <s v="ORD-2024-948800"/>
    <d v="2024-03-27T00:00:00"/>
    <x v="248"/>
    <s v="Q1-2024"/>
    <d v="2024-04-11T00:00:00"/>
    <d v="2024-04-11T00:00:00"/>
    <n v="15"/>
    <n v="15"/>
    <x v="0"/>
    <x v="9"/>
    <x v="2"/>
    <x v="10"/>
    <s v="San Francisco"/>
    <s v="Americas - USA - San Francisco"/>
    <s v="Small Business"/>
    <x v="4"/>
    <x v="7"/>
    <x v="2"/>
    <x v="276"/>
    <n v="1338.35"/>
    <n v="2247.14"/>
    <n v="2247.14"/>
    <s v="High"/>
    <n v="0.115"/>
    <n v="0.115"/>
    <x v="0"/>
    <n v="40"/>
    <n v="79548.755999999994"/>
    <n v="53534"/>
    <n v="26014.755999999994"/>
    <n v="0.32702907384246205"/>
  </r>
  <r>
    <s v="ORD-2025-678328"/>
    <d v="2025-06-24T00:00:00"/>
    <x v="35"/>
    <s v="Q2-2025"/>
    <d v="2025-07-14T00:00:00"/>
    <d v="2025-07-14T00:00:00"/>
    <n v="20"/>
    <n v="20"/>
    <x v="0"/>
    <x v="5"/>
    <x v="3"/>
    <x v="6"/>
    <s v="Berlin"/>
    <s v="Europe - Germany - Berlin"/>
    <s v="Corporate"/>
    <x v="4"/>
    <x v="7"/>
    <x v="6"/>
    <x v="277"/>
    <n v="385.08"/>
    <n v="893.19"/>
    <n v="893.19"/>
    <s v="Medium"/>
    <n v="0.151"/>
    <n v="0.151"/>
    <x v="0"/>
    <n v="8"/>
    <n v="6066.54648"/>
    <n v="3080.64"/>
    <n v="2985.9064800000001"/>
    <n v="0.49219213762621666"/>
  </r>
  <r>
    <s v="ORD-2024-580808"/>
    <d v="2024-06-16T00:00:00"/>
    <x v="249"/>
    <s v="Q2-2024"/>
    <d v="2024-07-03T00:00:00"/>
    <d v="2024-07-03T00:00:00"/>
    <n v="17"/>
    <n v="17"/>
    <x v="0"/>
    <x v="10"/>
    <x v="0"/>
    <x v="11"/>
    <s v="Johannesburg"/>
    <s v="Africa - South Africa - Johannesburg"/>
    <s v="Enterprise"/>
    <x v="2"/>
    <x v="9"/>
    <x v="3"/>
    <x v="278"/>
    <n v="1173.83"/>
    <n v="2328.9"/>
    <n v="2328.9"/>
    <s v="High"/>
    <n v="0.12"/>
    <n v="0.12"/>
    <x v="0"/>
    <n v="17"/>
    <n v="34840.344000000005"/>
    <n v="19955.11"/>
    <n v="14885.234000000004"/>
    <n v="0.42724130393201637"/>
  </r>
  <r>
    <s v="ORD-2023-211715"/>
    <d v="2023-10-30T00:00:00"/>
    <x v="250"/>
    <s v="Q4-2023"/>
    <d v="2023-11-14T00:00:00"/>
    <d v="2023-11-14T00:00:00"/>
    <n v="15"/>
    <n v="15"/>
    <x v="0"/>
    <x v="4"/>
    <x v="1"/>
    <x v="4"/>
    <s v="Bengaluru"/>
    <s v="Asia - India - Bengaluru"/>
    <s v="Corporate"/>
    <x v="1"/>
    <x v="9"/>
    <x v="4"/>
    <x v="279"/>
    <n v="953.46"/>
    <n v="2066.75"/>
    <n v="2066.75"/>
    <s v="High"/>
    <n v="0.13800000000000001"/>
    <n v="0.13800000000000001"/>
    <x v="0"/>
    <n v="5"/>
    <n v="8907.6924999999992"/>
    <n v="4767.3"/>
    <n v="4140.392499999999"/>
    <n v="0.46481089238318446"/>
  </r>
  <r>
    <s v="ORD-2023-715175"/>
    <d v="2023-06-15T00:00:00"/>
    <x v="251"/>
    <s v="Q2-2023"/>
    <d v="2023-06-23T00:00:00"/>
    <d v="2023-06-23T00:00:00"/>
    <n v="8"/>
    <n v="8"/>
    <x v="0"/>
    <x v="9"/>
    <x v="2"/>
    <x v="10"/>
    <s v="San Francisco"/>
    <s v="Americas - USA - San Francisco"/>
    <s v="Consumer"/>
    <x v="3"/>
    <x v="7"/>
    <x v="5"/>
    <x v="280"/>
    <n v="1097.0899999999999"/>
    <n v="2182.31"/>
    <n v="2182.31"/>
    <s v="High"/>
    <n v="0.112"/>
    <n v="0.112"/>
    <x v="0"/>
    <n v="9"/>
    <n v="17441.021520000002"/>
    <n v="9873.81"/>
    <n v="7567.2115200000026"/>
    <n v="0.43387432962699546"/>
  </r>
  <r>
    <s v="ORD-2025-685236"/>
    <d v="2025-03-14T00:00:00"/>
    <x v="252"/>
    <s v="Q1-2025"/>
    <d v="2025-03-29T00:00:00"/>
    <d v="2025-03-29T00:00:00"/>
    <n v="15"/>
    <n v="15"/>
    <x v="0"/>
    <x v="2"/>
    <x v="1"/>
    <x v="2"/>
    <s v="Tokyo"/>
    <s v="Asia - Japan - Tokyo"/>
    <s v="Non-Profit"/>
    <x v="4"/>
    <x v="10"/>
    <x v="2"/>
    <x v="281"/>
    <n v="1106.96"/>
    <n v="2726.62"/>
    <n v="2726.62"/>
    <s v="High"/>
    <n v="0.317"/>
    <n v="0.11861439999999995"/>
    <x v="0"/>
    <n v="7"/>
    <n v="16822.425232704001"/>
    <n v="7748.72"/>
    <n v="9073.7052327040001"/>
    <n v="0.53938151646910382"/>
  </r>
  <r>
    <s v="ORD-2023-274037"/>
    <d v="2023-08-15T00:00:00"/>
    <x v="183"/>
    <s v="Q3-2023"/>
    <d v="2023-08-25T00:00:00"/>
    <d v="2023-08-25T00:00:00"/>
    <n v="10"/>
    <n v="10"/>
    <x v="0"/>
    <x v="0"/>
    <x v="0"/>
    <x v="0"/>
    <s v="Nairobi"/>
    <s v="Africa - Kenya - Nairobi"/>
    <s v="Small Business"/>
    <x v="0"/>
    <x v="13"/>
    <x v="3"/>
    <x v="282"/>
    <n v="91.85"/>
    <n v="111.29"/>
    <n v="111.29"/>
    <s v="Low"/>
    <n v="0"/>
    <n v="0"/>
    <x v="0"/>
    <n v="6"/>
    <n v="667.74"/>
    <n v="551.09999999999991"/>
    <n v="116.6400000000001"/>
    <n v="0.17467876718483258"/>
  </r>
  <r>
    <s v="ORD-2025-983096"/>
    <d v="2025-05-17T00:00:00"/>
    <x v="253"/>
    <s v="Q2-2025"/>
    <d v="2025-05-28T00:00:00"/>
    <d v="2025-05-28T00:00:00"/>
    <n v="11"/>
    <n v="11"/>
    <x v="0"/>
    <x v="4"/>
    <x v="1"/>
    <x v="4"/>
    <s v="Bengaluru"/>
    <s v="Asia - India - Bengaluru"/>
    <s v="Corporate"/>
    <x v="3"/>
    <x v="5"/>
    <x v="4"/>
    <x v="283"/>
    <n v="623.4"/>
    <n v="1100.0899999999999"/>
    <n v="1100.0899999999999"/>
    <s v="Medium"/>
    <n v="0.114"/>
    <n v="0.114"/>
    <x v="0"/>
    <n v="12"/>
    <n v="11696.156879999999"/>
    <n v="7480.7999999999993"/>
    <n v="4215.3568799999994"/>
    <n v="0.36040529579490388"/>
  </r>
  <r>
    <s v="ORD-2024-366010"/>
    <d v="2024-01-13T00:00:00"/>
    <x v="94"/>
    <s v="Q1-2024"/>
    <d v="2024-02-05T00:00:00"/>
    <d v="2024-02-05T00:00:00"/>
    <n v="23"/>
    <n v="23"/>
    <x v="0"/>
    <x v="5"/>
    <x v="3"/>
    <x v="6"/>
    <s v="Frankfurt"/>
    <s v="Europe - Germany - Frankfurt"/>
    <s v="Education"/>
    <x v="4"/>
    <x v="5"/>
    <x v="4"/>
    <x v="284"/>
    <n v="1017.93"/>
    <n v="1529.14"/>
    <n v="1529.14"/>
    <s v="Medium"/>
    <n v="0.155"/>
    <n v="0.155"/>
    <x v="0"/>
    <n v="12"/>
    <n v="15505.479600000001"/>
    <n v="12215.16"/>
    <n v="3290.3196000000007"/>
    <n v="0.21220366508366503"/>
  </r>
  <r>
    <s v="ORD-2023-610470"/>
    <d v="2023-06-24T00:00:00"/>
    <x v="87"/>
    <s v="Q2-2023"/>
    <d v="2023-07-21T00:00:00"/>
    <d v="2023-07-21T00:00:00"/>
    <n v="27"/>
    <n v="27"/>
    <x v="0"/>
    <x v="2"/>
    <x v="1"/>
    <x v="2"/>
    <s v="Nagoya"/>
    <s v="Asia - Japan - Nagoya"/>
    <s v="Consumer"/>
    <x v="2"/>
    <x v="1"/>
    <x v="3"/>
    <x v="285"/>
    <n v="554.76"/>
    <n v="728.69"/>
    <n v="728.69"/>
    <s v="Low"/>
    <n v="0.22"/>
    <n v="0.22"/>
    <x v="1"/>
    <n v="7"/>
    <n v="3978.6474000000003"/>
    <n v="3883.3199999999997"/>
    <n v="95.32740000000058"/>
    <n v="2.395975074343119E-2"/>
  </r>
  <r>
    <s v="ORD-2025-541048"/>
    <d v="2025-04-04T00:00:00"/>
    <x v="254"/>
    <s v="Q2-2025"/>
    <d v="2025-04-13T00:00:00"/>
    <d v="2025-04-13T00:00:00"/>
    <n v="9"/>
    <n v="9"/>
    <x v="0"/>
    <x v="5"/>
    <x v="3"/>
    <x v="6"/>
    <s v="Munich"/>
    <s v="Europe - Germany - Munich"/>
    <s v="Consumer"/>
    <x v="2"/>
    <x v="9"/>
    <x v="3"/>
    <x v="286"/>
    <n v="7.02"/>
    <n v="6.28"/>
    <n v="6.28"/>
    <s v="Low"/>
    <n v="0.13400000000000001"/>
    <n v="0.13400000000000001"/>
    <x v="0"/>
    <n v="14"/>
    <n v="76.138720000000006"/>
    <n v="98.28"/>
    <n v="-22.141279999999995"/>
    <n v="-0.29080184169106066"/>
  </r>
  <r>
    <s v="ORD-2024-862371"/>
    <d v="2024-09-07T00:00:00"/>
    <x v="255"/>
    <s v="Q3-2024"/>
    <d v="2024-09-07T00:00:00"/>
    <d v="2024-09-07T00:00:00"/>
    <n v="0"/>
    <n v="0"/>
    <x v="1"/>
    <x v="4"/>
    <x v="1"/>
    <x v="4"/>
    <s v="Mumbai"/>
    <s v="Asia - India - Mumbai"/>
    <s v="Education"/>
    <x v="3"/>
    <x v="5"/>
    <x v="2"/>
    <x v="287"/>
    <n v="1066.6500000000001"/>
    <n v="2569.77"/>
    <n v="2569.77"/>
    <s v="High"/>
    <n v="0.13400000000000001"/>
    <n v="0.13400000000000001"/>
    <x v="0"/>
    <n v="9"/>
    <n v="20028.787380000002"/>
    <n v="9599.85"/>
    <n v="10428.937380000001"/>
    <n v="0.52069739331368348"/>
  </r>
  <r>
    <s v="ORD-2024-277241"/>
    <d v="2024-01-28T00:00:00"/>
    <x v="10"/>
    <s v="Q1-2024"/>
    <d v="2024-01-30T00:00:00"/>
    <d v="2024-01-30T00:00:00"/>
    <n v="2"/>
    <n v="2"/>
    <x v="1"/>
    <x v="10"/>
    <x v="0"/>
    <x v="11"/>
    <s v="Cape Town"/>
    <s v="Africa - South Africa - Cape Town"/>
    <s v="Consumer"/>
    <x v="4"/>
    <x v="9"/>
    <x v="6"/>
    <x v="288"/>
    <n v="798.45"/>
    <n v="1592.02"/>
    <n v="1592.02"/>
    <s v="Medium"/>
    <n v="6.6000000000000003E-2"/>
    <n v="6.6000000000000003E-2"/>
    <x v="0"/>
    <n v="18"/>
    <n v="26765.040239999998"/>
    <n v="14372.1"/>
    <n v="12392.940239999998"/>
    <n v="0.46302714768494585"/>
  </r>
  <r>
    <s v="ORD-2023-369150"/>
    <d v="2023-07-18T00:00:00"/>
    <x v="256"/>
    <s v="Q3-2023"/>
    <d v="2023-08-10T00:00:00"/>
    <d v="2023-08-10T00:00:00"/>
    <n v="23"/>
    <n v="23"/>
    <x v="0"/>
    <x v="10"/>
    <x v="0"/>
    <x v="11"/>
    <s v="Johannesburg"/>
    <s v="Africa - South Africa - Johannesburg"/>
    <s v="Small Business"/>
    <x v="0"/>
    <x v="4"/>
    <x v="0"/>
    <x v="289"/>
    <n v="1271.56"/>
    <n v="995.47"/>
    <n v="995.47"/>
    <s v="Medium"/>
    <n v="0.192"/>
    <n v="0.192"/>
    <x v="0"/>
    <n v="13"/>
    <n v="10456.416880000001"/>
    <n v="16530.28"/>
    <n v="-6073.8631199999982"/>
    <n v="-0.58087423155607754"/>
  </r>
  <r>
    <s v="ORD-2025-922513"/>
    <d v="2025-08-28T00:00:00"/>
    <x v="257"/>
    <s v="Q3-2025"/>
    <d v="2025-08-26T00:00:00"/>
    <d v="2025-08-31T00:00:00"/>
    <n v="-2"/>
    <n v="3"/>
    <x v="1"/>
    <x v="1"/>
    <x v="0"/>
    <x v="1"/>
    <s v="Port Harcourt"/>
    <s v="Africa - Nigeria - Port Harcourt"/>
    <s v="Small Business"/>
    <x v="0"/>
    <x v="8"/>
    <x v="6"/>
    <x v="290"/>
    <n v="521.05999999999995"/>
    <n v="1240.31"/>
    <n v="1240.31"/>
    <s v="Medium"/>
    <n v="0.14599999999999999"/>
    <n v="0.14599999999999999"/>
    <x v="0"/>
    <n v="18"/>
    <n v="19066.045319999997"/>
    <n v="9379.0799999999981"/>
    <n v="9686.9653199999993"/>
    <n v="0.50807417885650974"/>
  </r>
  <r>
    <s v="ORD-2025-752845"/>
    <d v="2025-03-30T00:00:00"/>
    <x v="258"/>
    <s v="Q1-2025"/>
    <d v="2025-04-07T00:00:00"/>
    <d v="2025-04-07T00:00:00"/>
    <n v="8"/>
    <n v="8"/>
    <x v="0"/>
    <x v="4"/>
    <x v="2"/>
    <x v="5"/>
    <s v="São Paulo"/>
    <s v="Americas - Brazil - São Paulo"/>
    <s v="Non-Profit"/>
    <x v="4"/>
    <x v="4"/>
    <x v="1"/>
    <x v="291"/>
    <n v="71.62"/>
    <n v="118.37"/>
    <n v="118.37"/>
    <s v="Low"/>
    <n v="0.156"/>
    <n v="0.156"/>
    <x v="0"/>
    <n v="11"/>
    <n v="1098.9470800000001"/>
    <n v="787.82"/>
    <n v="311.12708000000009"/>
    <n v="0.28311379652603474"/>
  </r>
  <r>
    <s v="ORD-2023-667815"/>
    <d v="2023-10-21T00:00:00"/>
    <x v="259"/>
    <s v="Q4-2023"/>
    <d v="2023-11-09T00:00:00"/>
    <d v="2023-11-09T00:00:00"/>
    <n v="19"/>
    <n v="19"/>
    <x v="0"/>
    <x v="7"/>
    <x v="3"/>
    <x v="8"/>
    <s v="London"/>
    <s v="Europe - United Kingdom - London"/>
    <s v="Non-Profit"/>
    <x v="4"/>
    <x v="8"/>
    <x v="6"/>
    <x v="292"/>
    <n v="1142.48"/>
    <n v="2105.5300000000002"/>
    <n v="2105.5300000000002"/>
    <s v="High"/>
    <n v="0.20699999999999999"/>
    <n v="0.20699999999999999"/>
    <x v="1"/>
    <n v="14"/>
    <n v="23375.594060000003"/>
    <n v="15994.720000000001"/>
    <n v="7380.8740600000019"/>
    <n v="0.31575129346680658"/>
  </r>
  <r>
    <s v="ORD-2023-375011"/>
    <d v="2023-08-23T00:00:00"/>
    <x v="260"/>
    <s v="Q3-2023"/>
    <d v="2023-09-22T00:00:00"/>
    <d v="2023-09-22T00:00:00"/>
    <n v="30"/>
    <n v="30"/>
    <x v="0"/>
    <x v="7"/>
    <x v="3"/>
    <x v="8"/>
    <s v="London"/>
    <s v="Europe - United Kingdom - London"/>
    <s v="Consumer"/>
    <x v="3"/>
    <x v="7"/>
    <x v="6"/>
    <x v="293"/>
    <n v="209.81"/>
    <n v="523"/>
    <n v="523"/>
    <s v="Low"/>
    <n v="5.8999999999999997E-2"/>
    <n v="5.8999999999999997E-2"/>
    <x v="0"/>
    <n v="15"/>
    <n v="7382.1450000000004"/>
    <n v="3147.15"/>
    <n v="4234.9950000000008"/>
    <n v="0.57368082041195356"/>
  </r>
  <r>
    <s v="ORD-2025-487025"/>
    <d v="2025-04-11T00:00:00"/>
    <x v="261"/>
    <s v="Q2-2025"/>
    <d v="2025-05-04T00:00:00"/>
    <d v="2025-05-04T00:00:00"/>
    <n v="23"/>
    <n v="23"/>
    <x v="0"/>
    <x v="2"/>
    <x v="1"/>
    <x v="2"/>
    <s v="Osaka"/>
    <s v="Asia - Japan - Osaka"/>
    <s v="Small Business"/>
    <x v="1"/>
    <x v="12"/>
    <x v="0"/>
    <x v="294"/>
    <n v="786.2"/>
    <n v="1075.3"/>
    <n v="1075.3"/>
    <s v="Medium"/>
    <n v="0.08"/>
    <n v="0.08"/>
    <x v="0"/>
    <n v="9"/>
    <n v="8903.4839999999986"/>
    <n v="7075.8"/>
    <n v="1827.6839999999984"/>
    <n v="0.20527739478163815"/>
  </r>
  <r>
    <s v="ORD-2025-398335"/>
    <d v="2025-06-01T00:00:00"/>
    <x v="262"/>
    <s v="Q2-2025"/>
    <d v="2025-06-27T00:00:00"/>
    <d v="2025-06-27T00:00:00"/>
    <n v="26"/>
    <n v="26"/>
    <x v="0"/>
    <x v="5"/>
    <x v="3"/>
    <x v="6"/>
    <s v="Munich"/>
    <s v="Europe - Germany - Munich"/>
    <s v="Consumer"/>
    <x v="3"/>
    <x v="6"/>
    <x v="4"/>
    <x v="295"/>
    <n v="1362.31"/>
    <n v="3294.57"/>
    <n v="3294.57"/>
    <s v="High"/>
    <n v="0.113"/>
    <n v="0.113"/>
    <x v="0"/>
    <n v="7"/>
    <n v="20455.985130000001"/>
    <n v="9536.17"/>
    <n v="10919.815130000001"/>
    <n v="0.5338200561157721"/>
  </r>
  <r>
    <s v="ORD-2024-792137"/>
    <d v="2024-03-02T00:00:00"/>
    <x v="263"/>
    <s v="Q1-2024"/>
    <d v="2024-03-16T00:00:00"/>
    <d v="2024-03-16T00:00:00"/>
    <n v="14"/>
    <n v="14"/>
    <x v="0"/>
    <x v="3"/>
    <x v="2"/>
    <x v="3"/>
    <s v="Vancouver"/>
    <s v="Americas - Canada - Vancouver"/>
    <s v="Non-Profit"/>
    <x v="4"/>
    <x v="7"/>
    <x v="1"/>
    <x v="296"/>
    <n v="248.24"/>
    <n v="464.05"/>
    <n v="464.05"/>
    <s v="Low"/>
    <n v="0.16900000000000001"/>
    <n v="0.16900000000000001"/>
    <x v="0"/>
    <n v="11"/>
    <n v="4241.88105"/>
    <n v="2730.6400000000003"/>
    <n v="1511.2410499999996"/>
    <n v="0.3562667203975462"/>
  </r>
  <r>
    <s v="ORD-2023-602648"/>
    <d v="2023-06-20T00:00:00"/>
    <x v="264"/>
    <s v="Q2-2023"/>
    <d v="2023-07-08T00:00:00"/>
    <d v="2023-07-08T00:00:00"/>
    <n v="18"/>
    <n v="18"/>
    <x v="0"/>
    <x v="9"/>
    <x v="2"/>
    <x v="10"/>
    <s v="Austin"/>
    <s v="Americas - USA - Austin"/>
    <s v="Non-Profit"/>
    <x v="4"/>
    <x v="9"/>
    <x v="5"/>
    <x v="297"/>
    <n v="337"/>
    <n v="511.03"/>
    <n v="511.03"/>
    <s v="Low"/>
    <n v="0.108"/>
    <n v="0.108"/>
    <x v="0"/>
    <n v="7"/>
    <n v="3190.8713200000002"/>
    <n v="2359"/>
    <n v="831.8713200000002"/>
    <n v="0.26070349963219458"/>
  </r>
  <r>
    <s v="ORD-2024-207096"/>
    <d v="2024-03-26T00:00:00"/>
    <x v="265"/>
    <s v="Q1-2024"/>
    <d v="2024-04-05T00:00:00"/>
    <d v="2024-04-05T00:00:00"/>
    <n v="10"/>
    <n v="10"/>
    <x v="0"/>
    <x v="9"/>
    <x v="2"/>
    <x v="10"/>
    <s v="Austin"/>
    <s v="Americas - USA - Austin"/>
    <s v="Consumer"/>
    <x v="4"/>
    <x v="1"/>
    <x v="5"/>
    <x v="298"/>
    <n v="5.66"/>
    <n v="4.22"/>
    <n v="4.22"/>
    <s v="Low"/>
    <n v="0.11899999999999999"/>
    <n v="0.11899999999999999"/>
    <x v="0"/>
    <n v="18"/>
    <n v="66.920760000000001"/>
    <n v="101.88"/>
    <n v="-34.959239999999994"/>
    <n v="-0.52239753403876454"/>
  </r>
  <r>
    <s v="ORD-2025-939953"/>
    <d v="2025-01-22T00:00:00"/>
    <x v="266"/>
    <s v="Q1-2025"/>
    <d v="2025-01-22T00:00:00"/>
    <d v="2025-01-22T00:00:00"/>
    <n v="0"/>
    <n v="0"/>
    <x v="1"/>
    <x v="6"/>
    <x v="3"/>
    <x v="7"/>
    <s v="Lyon"/>
    <s v="Europe - France - Lyon"/>
    <s v="Small Business"/>
    <x v="1"/>
    <x v="5"/>
    <x v="6"/>
    <x v="299"/>
    <n v="591.72"/>
    <n v="577.24"/>
    <n v="577.24"/>
    <s v="Low"/>
    <n v="0"/>
    <n v="0"/>
    <x v="0"/>
    <n v="22"/>
    <n v="12699.28"/>
    <n v="13017.84"/>
    <n v="-318.55999999999949"/>
    <n v="-2.5084886702238195E-2"/>
  </r>
  <r>
    <s v="ORD-2025-191328"/>
    <d v="2025-05-10T00:00:00"/>
    <x v="267"/>
    <s v="Q2-2025"/>
    <d v="2025-05-27T00:00:00"/>
    <d v="2025-05-27T00:00:00"/>
    <n v="17"/>
    <n v="17"/>
    <x v="0"/>
    <x v="3"/>
    <x v="2"/>
    <x v="3"/>
    <s v="Vancouver"/>
    <s v="Americas - Canada - Vancouver"/>
    <s v="Education"/>
    <x v="4"/>
    <x v="0"/>
    <x v="0"/>
    <x v="300"/>
    <n v="862.89"/>
    <n v="1426.03"/>
    <n v="1426.03"/>
    <s v="Medium"/>
    <n v="5.6000000000000001E-2"/>
    <n v="5.6000000000000001E-2"/>
    <x v="0"/>
    <n v="19"/>
    <n v="25577.274079999999"/>
    <n v="16394.91"/>
    <n v="9182.3640799999994"/>
    <n v="0.35900479665188778"/>
  </r>
  <r>
    <s v="ORD-2023-166668"/>
    <d v="2023-10-05T00:00:00"/>
    <x v="231"/>
    <s v="Q4-2023"/>
    <d v="2023-10-31T00:00:00"/>
    <d v="2023-10-31T00:00:00"/>
    <n v="26"/>
    <n v="26"/>
    <x v="0"/>
    <x v="8"/>
    <x v="1"/>
    <x v="9"/>
    <s v="Shanghai"/>
    <s v="Asia - China - Shanghai"/>
    <s v="Consumer"/>
    <x v="3"/>
    <x v="1"/>
    <x v="1"/>
    <x v="301"/>
    <n v="649.91"/>
    <n v="1360.12"/>
    <n v="1360.12"/>
    <s v="Medium"/>
    <n v="0.19400000000000001"/>
    <n v="0.19400000000000001"/>
    <x v="0"/>
    <n v="9"/>
    <n v="9866.3104799999983"/>
    <n v="5849.19"/>
    <n v="4017.1204799999987"/>
    <n v="0.40715528749506769"/>
  </r>
  <r>
    <s v="ORD-2023-594700"/>
    <d v="2023-07-18T00:00:00"/>
    <x v="256"/>
    <s v="Q3-2023"/>
    <d v="2023-07-22T00:00:00"/>
    <d v="2023-07-22T00:00:00"/>
    <n v="4"/>
    <n v="4"/>
    <x v="1"/>
    <x v="4"/>
    <x v="2"/>
    <x v="5"/>
    <s v="São Paulo"/>
    <s v="Americas - Brazil - São Paulo"/>
    <s v="Consumer"/>
    <x v="4"/>
    <x v="9"/>
    <x v="2"/>
    <x v="302"/>
    <n v="1269.55"/>
    <n v="2071.1"/>
    <n v="2071.1"/>
    <s v="High"/>
    <n v="0.129"/>
    <n v="0.129"/>
    <x v="0"/>
    <n v="22"/>
    <n v="39686.4182"/>
    <n v="27930.1"/>
    <n v="11756.318200000002"/>
    <n v="0.29623026549672354"/>
  </r>
  <r>
    <s v="ORD-2025-278048"/>
    <d v="2025-06-22T00:00:00"/>
    <x v="268"/>
    <s v="Q2-2025"/>
    <d v="2025-07-08T00:00:00"/>
    <d v="2025-07-08T00:00:00"/>
    <n v="16"/>
    <n v="16"/>
    <x v="0"/>
    <x v="7"/>
    <x v="3"/>
    <x v="8"/>
    <s v="London"/>
    <s v="Europe - United Kingdom - London"/>
    <s v="Education"/>
    <x v="4"/>
    <x v="8"/>
    <x v="3"/>
    <x v="303"/>
    <n v="892.73"/>
    <n v="979.84"/>
    <n v="979.84"/>
    <s v="Medium"/>
    <n v="0.17399999999999999"/>
    <n v="0.17399999999999999"/>
    <x v="0"/>
    <n v="10"/>
    <n v="8093.4784"/>
    <n v="8927.2999999999993"/>
    <n v="-833.82159999999931"/>
    <n v="-0.10302388649112838"/>
  </r>
  <r>
    <s v="ORD-2024-878493"/>
    <d v="2024-06-19T00:00:00"/>
    <x v="269"/>
    <s v="Q2-2024"/>
    <d v="2024-06-20T00:00:00"/>
    <d v="2024-06-20T00:00:00"/>
    <n v="1"/>
    <n v="1"/>
    <x v="1"/>
    <x v="0"/>
    <x v="0"/>
    <x v="0"/>
    <s v="Kisumu"/>
    <s v="Africa - Kenya - Kisumu"/>
    <s v="Small Business"/>
    <x v="4"/>
    <x v="1"/>
    <x v="4"/>
    <x v="304"/>
    <n v="231.63"/>
    <n v="537.39"/>
    <n v="537.39"/>
    <s v="Low"/>
    <n v="0.08"/>
    <n v="0.08"/>
    <x v="0"/>
    <n v="12"/>
    <n v="5932.7856000000002"/>
    <n v="2779.56"/>
    <n v="3153.2256000000002"/>
    <n v="0.53149158129024587"/>
  </r>
  <r>
    <s v="ORD-2025-138578"/>
    <d v="2025-04-09T00:00:00"/>
    <x v="69"/>
    <s v="Q2-2025"/>
    <d v="2025-04-12T00:00:00"/>
    <d v="2025-04-12T00:00:00"/>
    <n v="3"/>
    <n v="3"/>
    <x v="1"/>
    <x v="6"/>
    <x v="3"/>
    <x v="7"/>
    <s v="Lyon"/>
    <s v="Europe - France - Lyon"/>
    <s v="Small Business"/>
    <x v="3"/>
    <x v="10"/>
    <x v="5"/>
    <x v="305"/>
    <n v="86.68"/>
    <n v="213.32"/>
    <n v="213.32"/>
    <s v="Low"/>
    <n v="3.7999999999999999E-2"/>
    <n v="3.7999999999999999E-2"/>
    <x v="0"/>
    <n v="8"/>
    <n v="1641.7107199999998"/>
    <n v="693.44"/>
    <n v="948.27071999999976"/>
    <n v="0.57761133459614611"/>
  </r>
  <r>
    <s v="ORD-2025-944081"/>
    <d v="2025-03-25T00:00:00"/>
    <x v="80"/>
    <s v="Q1-2025"/>
    <d v="2025-03-26T00:00:00"/>
    <d v="2025-03-26T00:00:00"/>
    <n v="1"/>
    <n v="1"/>
    <x v="1"/>
    <x v="1"/>
    <x v="0"/>
    <x v="1"/>
    <s v="Lagos"/>
    <s v="Africa - Nigeria - Lagos"/>
    <s v="Education"/>
    <x v="3"/>
    <x v="3"/>
    <x v="6"/>
    <x v="306"/>
    <n v="1450.43"/>
    <n v="1994.67"/>
    <n v="1994.67"/>
    <s v="High"/>
    <n v="0.1"/>
    <n v="0.1"/>
    <x v="0"/>
    <n v="24"/>
    <n v="43084.872000000003"/>
    <n v="34810.32"/>
    <n v="8274.5520000000033"/>
    <n v="0.19205237513529116"/>
  </r>
  <r>
    <s v="ORD-2025-364852"/>
    <d v="2025-05-18T00:00:00"/>
    <x v="270"/>
    <s v="Q2-2025"/>
    <d v="2025-06-09T00:00:00"/>
    <d v="2025-06-09T00:00:00"/>
    <n v="22"/>
    <n v="22"/>
    <x v="0"/>
    <x v="9"/>
    <x v="2"/>
    <x v="10"/>
    <s v="New York"/>
    <s v="Americas - USA - New York"/>
    <s v="Consumer"/>
    <x v="0"/>
    <x v="10"/>
    <x v="2"/>
    <x v="307"/>
    <n v="382.96"/>
    <n v="552.84"/>
    <n v="552.84"/>
    <s v="Low"/>
    <n v="0.17599999999999999"/>
    <n v="0.17599999999999999"/>
    <x v="0"/>
    <n v="8"/>
    <n v="3644.3212800000006"/>
    <n v="3063.68"/>
    <n v="580.64128000000073"/>
    <n v="0.15932768693763483"/>
  </r>
  <r>
    <s v="ORD-2025-415018"/>
    <d v="2025-01-22T00:00:00"/>
    <x v="266"/>
    <s v="Q1-2025"/>
    <d v="2025-02-04T00:00:00"/>
    <d v="2025-02-04T00:00:00"/>
    <n v="13"/>
    <n v="13"/>
    <x v="0"/>
    <x v="2"/>
    <x v="1"/>
    <x v="2"/>
    <s v="Tokyo"/>
    <s v="Asia - Japan - Tokyo"/>
    <s v="Small Business"/>
    <x v="3"/>
    <x v="4"/>
    <x v="1"/>
    <x v="308"/>
    <n v="122.29"/>
    <n v="224.95"/>
    <n v="224.95"/>
    <s v="Low"/>
    <n v="0.153"/>
    <n v="0.153"/>
    <x v="0"/>
    <n v="28"/>
    <n v="5334.9141999999993"/>
    <n v="3424.1200000000003"/>
    <n v="1910.7941999999989"/>
    <n v="0.3581677471026618"/>
  </r>
  <r>
    <s v="ORD-2023-884192"/>
    <d v="2023-01-10T00:00:00"/>
    <x v="271"/>
    <s v="Q1-2023"/>
    <d v="2023-01-29T00:00:00"/>
    <d v="2023-01-29T00:00:00"/>
    <n v="19"/>
    <n v="19"/>
    <x v="0"/>
    <x v="6"/>
    <x v="3"/>
    <x v="7"/>
    <s v="Lyon"/>
    <s v="Europe - France - Lyon"/>
    <s v="Non-Profit"/>
    <x v="4"/>
    <x v="14"/>
    <x v="4"/>
    <x v="309"/>
    <n v="401.66"/>
    <n v="772.09"/>
    <n v="772.09"/>
    <s v="Low"/>
    <n v="8.8999999999999996E-2"/>
    <n v="8.8999999999999996E-2"/>
    <x v="0"/>
    <n v="14"/>
    <n v="9847.2358600000007"/>
    <n v="5623.2400000000007"/>
    <n v="4223.99586"/>
    <n v="0.42895244107619046"/>
  </r>
  <r>
    <s v="ORD-2024-165942"/>
    <d v="2024-12-29T00:00:00"/>
    <x v="272"/>
    <s v="Q4-2024"/>
    <d v="2025-01-12T00:00:00"/>
    <d v="2025-01-12T00:00:00"/>
    <n v="14"/>
    <n v="14"/>
    <x v="0"/>
    <x v="7"/>
    <x v="3"/>
    <x v="8"/>
    <s v="Manchester"/>
    <s v="Europe - United Kingdom - Manchester"/>
    <s v="Corporate"/>
    <x v="4"/>
    <x v="5"/>
    <x v="5"/>
    <x v="310"/>
    <n v="1399.72"/>
    <n v="3149.21"/>
    <n v="3149.21"/>
    <s v="High"/>
    <n v="0.185"/>
    <n v="0.185"/>
    <x v="0"/>
    <n v="12"/>
    <n v="30799.273800000003"/>
    <n v="16796.64"/>
    <n v="14002.633800000003"/>
    <n v="0.45464168703873797"/>
  </r>
  <r>
    <s v="ORD-2024-403664"/>
    <d v="2024-05-23T00:00:00"/>
    <x v="154"/>
    <s v="Q2-2024"/>
    <d v="2024-06-06T00:00:00"/>
    <d v="2024-06-06T00:00:00"/>
    <n v="14"/>
    <n v="14"/>
    <x v="0"/>
    <x v="4"/>
    <x v="2"/>
    <x v="5"/>
    <s v="Rio de Janeiro"/>
    <s v="Americas - Brazil - Rio de Janeiro"/>
    <s v="Non-Profit"/>
    <x v="1"/>
    <x v="2"/>
    <x v="2"/>
    <x v="311"/>
    <n v="51.13"/>
    <n v="57.53"/>
    <n v="57.53"/>
    <s v="Low"/>
    <n v="4.4999999999999998E-2"/>
    <n v="4.4999999999999998E-2"/>
    <x v="0"/>
    <n v="16"/>
    <n v="879.05840000000001"/>
    <n v="818.08"/>
    <n v="60.978399999999965"/>
    <n v="6.9367859973808302E-2"/>
  </r>
  <r>
    <s v="ORD-2023-890605"/>
    <d v="2023-06-24T00:00:00"/>
    <x v="87"/>
    <s v="Q2-2023"/>
    <d v="2023-06-22T00:00:00"/>
    <d v="2023-06-27T00:00:00"/>
    <n v="-2"/>
    <n v="3"/>
    <x v="1"/>
    <x v="3"/>
    <x v="2"/>
    <x v="3"/>
    <s v="Toronto"/>
    <s v="Americas - Canada - Toronto"/>
    <s v="Non-Profit"/>
    <x v="0"/>
    <x v="12"/>
    <x v="6"/>
    <x v="312"/>
    <n v="471.42"/>
    <n v="824.81"/>
    <n v="824.81"/>
    <s v="Medium"/>
    <n v="8.7999999999999995E-2"/>
    <n v="8.7999999999999995E-2"/>
    <x v="0"/>
    <n v="15"/>
    <n v="11283.400799999999"/>
    <n v="7071.3"/>
    <n v="4212.1007999999993"/>
    <n v="0.37330064531608231"/>
  </r>
  <r>
    <s v="ORD-2024-925626"/>
    <d v="2024-11-04T00:00:00"/>
    <x v="273"/>
    <s v="Q4-2024"/>
    <d v="2024-11-05T00:00:00"/>
    <d v="2024-11-05T00:00:00"/>
    <n v="1"/>
    <n v="1"/>
    <x v="1"/>
    <x v="7"/>
    <x v="3"/>
    <x v="8"/>
    <s v="London"/>
    <s v="Europe - United Kingdom - London"/>
    <s v="Corporate"/>
    <x v="0"/>
    <x v="12"/>
    <x v="1"/>
    <x v="313"/>
    <n v="840.68"/>
    <n v="1493.53"/>
    <n v="1493.53"/>
    <s v="Medium"/>
    <n v="0"/>
    <n v="0"/>
    <x v="0"/>
    <n v="27"/>
    <n v="40325.31"/>
    <n v="22698.359999999997"/>
    <n v="17626.95"/>
    <n v="0.43711877230454027"/>
  </r>
  <r>
    <s v="ORD-2024-427031"/>
    <d v="2024-06-08T00:00:00"/>
    <x v="274"/>
    <s v="Q2-2024"/>
    <d v="2024-06-24T00:00:00"/>
    <d v="2024-06-24T00:00:00"/>
    <n v="16"/>
    <n v="16"/>
    <x v="0"/>
    <x v="10"/>
    <x v="0"/>
    <x v="11"/>
    <s v="Durban"/>
    <s v="Africa - South Africa - Durban"/>
    <s v="Education"/>
    <x v="3"/>
    <x v="10"/>
    <x v="5"/>
    <x v="314"/>
    <n v="597.85"/>
    <n v="741.92"/>
    <n v="741.92"/>
    <s v="Low"/>
    <n v="3.1E-2"/>
    <n v="3.1E-2"/>
    <x v="0"/>
    <n v="7"/>
    <n v="5032.4433599999993"/>
    <n v="4184.95"/>
    <n v="847.49335999999948"/>
    <n v="0.16840594108544515"/>
  </r>
  <r>
    <s v="ORD-2025-231184"/>
    <d v="2025-06-01T00:00:00"/>
    <x v="262"/>
    <s v="Q2-2025"/>
    <d v="2025-06-06T00:00:00"/>
    <d v="2025-06-06T00:00:00"/>
    <n v="5"/>
    <n v="5"/>
    <x v="1"/>
    <x v="6"/>
    <x v="3"/>
    <x v="7"/>
    <s v="Paris"/>
    <s v="Europe - France - Paris"/>
    <s v="Consumer"/>
    <x v="3"/>
    <x v="3"/>
    <x v="0"/>
    <x v="315"/>
    <n v="379.45"/>
    <n v="742.23"/>
    <n v="742.23"/>
    <s v="Low"/>
    <n v="0.09"/>
    <n v="0.09"/>
    <x v="0"/>
    <n v="13"/>
    <n v="8780.5809000000008"/>
    <n v="4932.8499999999995"/>
    <n v="3847.7309000000014"/>
    <n v="0.43820915083192286"/>
  </r>
  <r>
    <s v="ORD-2023-363031"/>
    <d v="2023-05-06T00:00:00"/>
    <x v="275"/>
    <s v="Q2-2023"/>
    <d v="2023-05-14T00:00:00"/>
    <d v="2023-05-14T00:00:00"/>
    <n v="8"/>
    <n v="8"/>
    <x v="0"/>
    <x v="2"/>
    <x v="1"/>
    <x v="2"/>
    <s v="Osaka"/>
    <s v="Asia - Japan - Osaka"/>
    <s v="Enterprise"/>
    <x v="2"/>
    <x v="5"/>
    <x v="3"/>
    <x v="316"/>
    <n v="291.18"/>
    <n v="479.54"/>
    <n v="479.54"/>
    <s v="Low"/>
    <n v="0.14099999999999999"/>
    <n v="0.14099999999999999"/>
    <x v="0"/>
    <n v="22"/>
    <n v="9062.34692"/>
    <n v="6405.96"/>
    <n v="2656.3869199999999"/>
    <n v="0.29312350801066001"/>
  </r>
  <r>
    <s v="ORD-2023-619570"/>
    <d v="2023-11-14T00:00:00"/>
    <x v="276"/>
    <s v="Q4-2023"/>
    <d v="2023-11-30T00:00:00"/>
    <d v="2023-11-30T00:00:00"/>
    <n v="16"/>
    <n v="16"/>
    <x v="0"/>
    <x v="4"/>
    <x v="2"/>
    <x v="5"/>
    <s v="São Paulo"/>
    <s v="Americas - Brazil - São Paulo"/>
    <s v="Enterprise"/>
    <x v="4"/>
    <x v="11"/>
    <x v="2"/>
    <x v="317"/>
    <n v="1017.92"/>
    <n v="1175.25"/>
    <n v="1175.25"/>
    <s v="Medium"/>
    <n v="7.4999999999999997E-2"/>
    <n v="7.4999999999999997E-2"/>
    <x v="0"/>
    <n v="15"/>
    <n v="16306.59375"/>
    <n v="15268.8"/>
    <n v="1037.7937500000007"/>
    <n v="6.3642583234159542E-2"/>
  </r>
  <r>
    <s v="ORD-2025-861401"/>
    <d v="2025-04-01T00:00:00"/>
    <x v="277"/>
    <s v="Q2-2025"/>
    <d v="2025-04-27T00:00:00"/>
    <d v="2025-04-27T00:00:00"/>
    <n v="26"/>
    <n v="26"/>
    <x v="0"/>
    <x v="9"/>
    <x v="2"/>
    <x v="10"/>
    <s v="San Francisco"/>
    <s v="Americas - USA - San Francisco"/>
    <s v="Corporate"/>
    <x v="4"/>
    <x v="2"/>
    <x v="5"/>
    <x v="318"/>
    <n v="156.55000000000001"/>
    <n v="227.45"/>
    <n v="227.45"/>
    <s v="Low"/>
    <n v="1.4E-2"/>
    <n v="1.4E-2"/>
    <x v="0"/>
    <n v="13"/>
    <n v="2915.4540999999999"/>
    <n v="2035.15"/>
    <n v="880.30409999999983"/>
    <n v="0.3019440779396938"/>
  </r>
  <r>
    <s v="ORD-2023-835010"/>
    <d v="2023-03-23T00:00:00"/>
    <x v="278"/>
    <s v="Q1-2023"/>
    <d v="2023-04-15T00:00:00"/>
    <d v="2023-04-15T00:00:00"/>
    <n v="23"/>
    <n v="23"/>
    <x v="0"/>
    <x v="0"/>
    <x v="0"/>
    <x v="0"/>
    <s v="Mombasa"/>
    <s v="Africa - Kenya - Mombasa"/>
    <s v="Small Business"/>
    <x v="0"/>
    <x v="0"/>
    <x v="6"/>
    <x v="319"/>
    <n v="875.36"/>
    <n v="1178.6199999999999"/>
    <n v="1178.6199999999999"/>
    <s v="Medium"/>
    <n v="0.151"/>
    <n v="0.151"/>
    <x v="0"/>
    <n v="53"/>
    <n v="53034.364139999991"/>
    <n v="46394.080000000002"/>
    <n v="6640.2841399999888"/>
    <n v="0.12520719815685888"/>
  </r>
  <r>
    <s v="ORD-2024-819979"/>
    <d v="2024-05-28T00:00:00"/>
    <x v="91"/>
    <s v="Q2-2024"/>
    <d v="2024-06-18T00:00:00"/>
    <d v="2024-06-18T00:00:00"/>
    <n v="21"/>
    <n v="21"/>
    <x v="0"/>
    <x v="5"/>
    <x v="3"/>
    <x v="6"/>
    <s v="Frankfurt"/>
    <s v="Europe - Germany - Frankfurt"/>
    <s v="Small Business"/>
    <x v="1"/>
    <x v="6"/>
    <x v="3"/>
    <x v="320"/>
    <n v="986.85"/>
    <n v="2422.1"/>
    <n v="2422.1"/>
    <s v="High"/>
    <n v="7.5999999999999998E-2"/>
    <n v="7.5999999999999998E-2"/>
    <x v="0"/>
    <n v="10"/>
    <n v="22380.204000000002"/>
    <n v="9868.5"/>
    <n v="12511.704000000002"/>
    <n v="0.55905227673527913"/>
  </r>
  <r>
    <s v="ORD-2024-719055"/>
    <d v="2024-01-02T00:00:00"/>
    <x v="279"/>
    <s v="Q1-2024"/>
    <d v="2024-01-01T00:00:00"/>
    <d v="2024-01-09T00:00:00"/>
    <n v="-1"/>
    <n v="7"/>
    <x v="1"/>
    <x v="9"/>
    <x v="2"/>
    <x v="10"/>
    <s v="Chicago"/>
    <s v="Americas - USA - Chicago"/>
    <s v="Education"/>
    <x v="2"/>
    <x v="5"/>
    <x v="2"/>
    <x v="321"/>
    <n v="404.77"/>
    <n v="433.88"/>
    <n v="433.88"/>
    <s v="Low"/>
    <n v="0.215"/>
    <n v="0.215"/>
    <x v="1"/>
    <n v="22"/>
    <n v="7493.1076000000012"/>
    <n v="8904.9399999999987"/>
    <n v="-1411.8323999999975"/>
    <n v="-0.18841747314558746"/>
  </r>
  <r>
    <s v="ORD-2023-888245"/>
    <d v="2023-02-28T00:00:00"/>
    <x v="2"/>
    <s v="Q1-2023"/>
    <d v="2023-02-27T00:00:00"/>
    <d v="2023-03-18T00:00:00"/>
    <n v="-1"/>
    <n v="18"/>
    <x v="0"/>
    <x v="6"/>
    <x v="3"/>
    <x v="7"/>
    <s v="Marseille"/>
    <s v="Europe - France - Marseille"/>
    <s v="Corporate"/>
    <x v="0"/>
    <x v="11"/>
    <x v="2"/>
    <x v="322"/>
    <n v="1299.81"/>
    <n v="3149.13"/>
    <n v="3149.13"/>
    <s v="High"/>
    <n v="0.10299999999999999"/>
    <n v="0.10299999999999999"/>
    <x v="0"/>
    <n v="14"/>
    <n v="39546.774539999999"/>
    <n v="18197.34"/>
    <n v="21349.434539999998"/>
    <n v="0.53985273864511729"/>
  </r>
  <r>
    <s v="ORD-2024-206121"/>
    <d v="2024-02-18T00:00:00"/>
    <x v="142"/>
    <s v="Q1-2024"/>
    <d v="2024-03-11T00:00:00"/>
    <d v="2024-03-11T00:00:00"/>
    <n v="22"/>
    <n v="22"/>
    <x v="0"/>
    <x v="4"/>
    <x v="2"/>
    <x v="5"/>
    <s v="São Paulo"/>
    <s v="Americas - Brazil - São Paulo"/>
    <s v="Consumer"/>
    <x v="1"/>
    <x v="8"/>
    <x v="0"/>
    <x v="323"/>
    <n v="80.48"/>
    <n v="65.650000000000006"/>
    <n v="65.650000000000006"/>
    <s v="Low"/>
    <n v="0.17599999999999999"/>
    <n v="0.17599999999999999"/>
    <x v="0"/>
    <n v="13"/>
    <n v="703.2428000000001"/>
    <n v="1046.24"/>
    <n v="-342.99719999999991"/>
    <n v="-0.48773652570634191"/>
  </r>
  <r>
    <s v="ORD-2024-500890"/>
    <d v="2024-09-09T00:00:00"/>
    <x v="191"/>
    <s v="Q3-2024"/>
    <d v="2024-10-08T00:00:00"/>
    <d v="2024-10-08T00:00:00"/>
    <n v="29"/>
    <n v="29"/>
    <x v="0"/>
    <x v="4"/>
    <x v="2"/>
    <x v="5"/>
    <s v="São Paulo"/>
    <s v="Americas - Brazil - São Paulo"/>
    <s v="Education"/>
    <x v="4"/>
    <x v="1"/>
    <x v="0"/>
    <x v="324"/>
    <n v="1010.33"/>
    <n v="2492.14"/>
    <n v="2492.14"/>
    <s v="High"/>
    <n v="5.0999999999999997E-2"/>
    <n v="5.0999999999999997E-2"/>
    <x v="0"/>
    <n v="11"/>
    <n v="26015.449459999996"/>
    <n v="11113.630000000001"/>
    <n v="14901.819459999995"/>
    <n v="0.57280653493656752"/>
  </r>
  <r>
    <s v="ORD-2023-144816"/>
    <d v="2023-05-07T00:00:00"/>
    <x v="239"/>
    <s v="Q2-2023"/>
    <d v="2023-05-29T00:00:00"/>
    <d v="2023-05-29T00:00:00"/>
    <n v="22"/>
    <n v="22"/>
    <x v="0"/>
    <x v="10"/>
    <x v="0"/>
    <x v="11"/>
    <s v="Durban"/>
    <s v="Africa - South Africa - Durban"/>
    <s v="Education"/>
    <x v="3"/>
    <x v="11"/>
    <x v="6"/>
    <x v="325"/>
    <n v="653.86"/>
    <n v="931.84"/>
    <n v="931.84"/>
    <s v="Medium"/>
    <n v="0.121"/>
    <n v="0.121"/>
    <x v="0"/>
    <n v="12"/>
    <n v="9829.0483199999999"/>
    <n v="7846.32"/>
    <n v="1982.7283200000002"/>
    <n v="0.20172129136506273"/>
  </r>
  <r>
    <s v="ORD-2024-153053"/>
    <d v="2024-01-12T00:00:00"/>
    <x v="182"/>
    <s v="Q1-2024"/>
    <d v="2024-01-29T00:00:00"/>
    <d v="2024-01-29T00:00:00"/>
    <n v="17"/>
    <n v="17"/>
    <x v="0"/>
    <x v="4"/>
    <x v="1"/>
    <x v="4"/>
    <s v="Hyderabad"/>
    <s v="Asia - India - Hyderabad"/>
    <s v="Small Business"/>
    <x v="4"/>
    <x v="5"/>
    <x v="0"/>
    <x v="326"/>
    <n v="310.02"/>
    <n v="619.51"/>
    <n v="619.51"/>
    <s v="Low"/>
    <n v="4.2000000000000003E-2"/>
    <n v="4.2000000000000003E-2"/>
    <x v="0"/>
    <n v="4"/>
    <n v="2373.9623200000001"/>
    <n v="1240.08"/>
    <n v="1133.8823200000002"/>
    <n v="0.47763282106347843"/>
  </r>
  <r>
    <s v="ORD-2023-536542"/>
    <d v="2023-06-10T00:00:00"/>
    <x v="280"/>
    <s v="Q2-2023"/>
    <d v="2023-06-18T00:00:00"/>
    <d v="2023-06-18T00:00:00"/>
    <n v="8"/>
    <n v="8"/>
    <x v="0"/>
    <x v="0"/>
    <x v="0"/>
    <x v="0"/>
    <s v="Nakuru"/>
    <s v="Africa - Kenya - Nakuru"/>
    <s v="Enterprise"/>
    <x v="4"/>
    <x v="10"/>
    <x v="3"/>
    <x v="327"/>
    <n v="894.23"/>
    <n v="1421.55"/>
    <n v="1421.55"/>
    <s v="Medium"/>
    <n v="0.109"/>
    <n v="0.109"/>
    <x v="0"/>
    <n v="3"/>
    <n v="3799.8031499999997"/>
    <n v="2682.69"/>
    <n v="1117.1131499999997"/>
    <n v="0.29399237431549574"/>
  </r>
  <r>
    <s v="ORD-2025-779530"/>
    <d v="2025-05-19T00:00:00"/>
    <x v="281"/>
    <s v="Q2-2025"/>
    <d v="2025-05-17T00:00:00"/>
    <d v="2025-05-26T00:00:00"/>
    <n v="-2"/>
    <n v="7"/>
    <x v="1"/>
    <x v="4"/>
    <x v="2"/>
    <x v="5"/>
    <s v="São Paulo"/>
    <s v="Americas - Brazil - São Paulo"/>
    <s v="Small Business"/>
    <x v="3"/>
    <x v="4"/>
    <x v="5"/>
    <x v="328"/>
    <n v="383.77"/>
    <n v="952.56"/>
    <n v="952.56"/>
    <s v="Medium"/>
    <n v="0.34599999999999997"/>
    <n v="0.11861439999999995"/>
    <x v="0"/>
    <n v="10"/>
    <n v="8395.7266713599984"/>
    <n v="3837.7"/>
    <n v="4558.0266713599985"/>
    <n v="0.54289841127255967"/>
  </r>
  <r>
    <s v="ORD-2023-163610"/>
    <d v="2023-10-22T00:00:00"/>
    <x v="282"/>
    <s v="Q4-2023"/>
    <d v="2023-11-16T00:00:00"/>
    <d v="2023-11-16T00:00:00"/>
    <n v="25"/>
    <n v="25"/>
    <x v="0"/>
    <x v="3"/>
    <x v="2"/>
    <x v="3"/>
    <s v="Toronto"/>
    <s v="Americas - Canada - Toronto"/>
    <s v="Small Business"/>
    <x v="2"/>
    <x v="2"/>
    <x v="4"/>
    <x v="329"/>
    <n v="1373.31"/>
    <n v="3154.14"/>
    <n v="3154.14"/>
    <s v="High"/>
    <n v="0.2"/>
    <n v="0.2"/>
    <x v="0"/>
    <n v="11"/>
    <n v="27756.432000000001"/>
    <n v="15106.41"/>
    <n v="12650.022000000001"/>
    <n v="0.45575101295440279"/>
  </r>
  <r>
    <s v="ORD-2025-653781"/>
    <d v="2025-01-11T00:00:00"/>
    <x v="283"/>
    <s v="Q1-2025"/>
    <d v="2025-01-23T00:00:00"/>
    <d v="2025-01-23T00:00:00"/>
    <n v="12"/>
    <n v="12"/>
    <x v="0"/>
    <x v="9"/>
    <x v="2"/>
    <x v="10"/>
    <s v="Austin"/>
    <s v="Americas - USA - Austin"/>
    <s v="Consumer"/>
    <x v="3"/>
    <x v="10"/>
    <x v="3"/>
    <x v="330"/>
    <n v="100.69"/>
    <n v="226.14"/>
    <n v="226.14"/>
    <s v="Low"/>
    <n v="6.5000000000000002E-2"/>
    <n v="6.5000000000000002E-2"/>
    <x v="0"/>
    <n v="12"/>
    <n v="2537.2908000000002"/>
    <n v="1208.28"/>
    <n v="1329.0108000000002"/>
    <n v="0.52379128162999689"/>
  </r>
  <r>
    <s v="ORD-2025-737787"/>
    <d v="2025-09-14T00:00:00"/>
    <x v="284"/>
    <s v="Q3-2025"/>
    <d v="2025-09-26T00:00:00"/>
    <d v="2025-09-26T00:00:00"/>
    <n v="12"/>
    <n v="12"/>
    <x v="0"/>
    <x v="7"/>
    <x v="3"/>
    <x v="8"/>
    <s v="London"/>
    <s v="Europe - United Kingdom - London"/>
    <s v="Small Business"/>
    <x v="4"/>
    <x v="13"/>
    <x v="2"/>
    <x v="331"/>
    <n v="425.15"/>
    <n v="885.92"/>
    <n v="885.92"/>
    <s v="Medium"/>
    <n v="0.23899999999999999"/>
    <n v="0.23899999999999999"/>
    <x v="1"/>
    <n v="13"/>
    <n v="8764.4065599999994"/>
    <n v="5526.95"/>
    <n v="3237.4565599999996"/>
    <n v="0.3693868532725848"/>
  </r>
  <r>
    <s v="ORD-2023-944052"/>
    <d v="2023-08-30T00:00:00"/>
    <x v="52"/>
    <s v="Q3-2023"/>
    <d v="2023-09-03T00:00:00"/>
    <d v="2023-09-03T00:00:00"/>
    <n v="4"/>
    <n v="4"/>
    <x v="1"/>
    <x v="4"/>
    <x v="1"/>
    <x v="4"/>
    <s v="Delhi"/>
    <s v="Asia - India - Delhi"/>
    <s v="Small Business"/>
    <x v="2"/>
    <x v="4"/>
    <x v="6"/>
    <x v="332"/>
    <n v="1082.25"/>
    <n v="2433.34"/>
    <n v="2433.34"/>
    <s v="High"/>
    <n v="0.27"/>
    <n v="0.27"/>
    <x v="1"/>
    <n v="4"/>
    <n v="7105.3528000000006"/>
    <n v="4329"/>
    <n v="2776.3528000000006"/>
    <n v="0.3907410199251472"/>
  </r>
  <r>
    <s v="ORD-2023-181257"/>
    <d v="2023-11-15T00:00:00"/>
    <x v="285"/>
    <s v="Q4-2023"/>
    <d v="2023-12-06T00:00:00"/>
    <d v="2023-12-06T00:00:00"/>
    <n v="21"/>
    <n v="21"/>
    <x v="0"/>
    <x v="7"/>
    <x v="3"/>
    <x v="8"/>
    <s v="Manchester"/>
    <s v="Europe - United Kingdom - Manchester"/>
    <s v="Education"/>
    <x v="4"/>
    <x v="10"/>
    <x v="6"/>
    <x v="333"/>
    <n v="1184.99"/>
    <n v="1154.3399999999999"/>
    <n v="1154.3399999999999"/>
    <s v="Medium"/>
    <n v="2.8000000000000001E-2"/>
    <n v="2.8000000000000001E-2"/>
    <x v="0"/>
    <n v="5"/>
    <n v="5610.0923999999995"/>
    <n v="5924.95"/>
    <n v="-314.85760000000028"/>
    <n v="-5.6123424990290764E-2"/>
  </r>
  <r>
    <s v="ORD-2025-323492"/>
    <d v="2025-04-27T00:00:00"/>
    <x v="60"/>
    <s v="Q2-2025"/>
    <d v="2025-05-27T00:00:00"/>
    <d v="2025-05-27T00:00:00"/>
    <n v="30"/>
    <n v="30"/>
    <x v="0"/>
    <x v="4"/>
    <x v="1"/>
    <x v="4"/>
    <s v="Delhi"/>
    <s v="Asia - India - Delhi"/>
    <s v="Enterprise"/>
    <x v="2"/>
    <x v="10"/>
    <x v="3"/>
    <x v="334"/>
    <n v="481.32"/>
    <n v="1135.99"/>
    <n v="1135.99"/>
    <s v="Medium"/>
    <n v="0.14499999999999999"/>
    <n v="0.14499999999999999"/>
    <x v="0"/>
    <n v="5"/>
    <n v="4856.35725"/>
    <n v="2406.6"/>
    <n v="2449.7572500000001"/>
    <n v="0.50444337677175621"/>
  </r>
  <r>
    <s v="ORD-2024-332076"/>
    <d v="2024-04-09T00:00:00"/>
    <x v="286"/>
    <s v="Q2-2024"/>
    <d v="2024-04-18T00:00:00"/>
    <d v="2024-04-18T00:00:00"/>
    <n v="9"/>
    <n v="9"/>
    <x v="0"/>
    <x v="6"/>
    <x v="3"/>
    <x v="7"/>
    <s v="Lyon"/>
    <s v="Europe - France - Lyon"/>
    <s v="Consumer"/>
    <x v="1"/>
    <x v="6"/>
    <x v="1"/>
    <x v="335"/>
    <n v="1288.8499999999999"/>
    <n v="2751.84"/>
    <n v="2751.84"/>
    <s v="High"/>
    <n v="0.158"/>
    <n v="0.158"/>
    <x v="0"/>
    <n v="7"/>
    <n v="16219.34496"/>
    <n v="9021.9499999999989"/>
    <n v="7197.3949600000014"/>
    <n v="0.44375373837538756"/>
  </r>
  <r>
    <s v="ORD-2024-571797"/>
    <d v="2024-07-11T00:00:00"/>
    <x v="287"/>
    <s v="Q3-2024"/>
    <d v="2024-07-31T00:00:00"/>
    <d v="2024-07-31T00:00:00"/>
    <n v="20"/>
    <n v="20"/>
    <x v="0"/>
    <x v="8"/>
    <x v="1"/>
    <x v="9"/>
    <s v="Shenzhen"/>
    <s v="Asia - China - Shenzhen"/>
    <s v="Consumer"/>
    <x v="1"/>
    <x v="3"/>
    <x v="3"/>
    <x v="336"/>
    <n v="647.26"/>
    <n v="1374.72"/>
    <n v="1374.72"/>
    <s v="Medium"/>
    <n v="6.6000000000000003E-2"/>
    <n v="6.6000000000000003E-2"/>
    <x v="0"/>
    <n v="22"/>
    <n v="28247.74656"/>
    <n v="14239.72"/>
    <n v="14008.02656"/>
    <n v="0.49589890401508901"/>
  </r>
  <r>
    <s v="ORD-2024-129345"/>
    <d v="2024-02-18T00:00:00"/>
    <x v="142"/>
    <s v="Q1-2024"/>
    <d v="2024-03-03T00:00:00"/>
    <d v="2024-03-03T00:00:00"/>
    <n v="14"/>
    <n v="14"/>
    <x v="0"/>
    <x v="4"/>
    <x v="2"/>
    <x v="5"/>
    <s v="Brasília"/>
    <s v="Americas - Brazil - Brasília"/>
    <s v="Enterprise"/>
    <x v="3"/>
    <x v="8"/>
    <x v="1"/>
    <x v="337"/>
    <n v="624.23"/>
    <n v="1318.37"/>
    <n v="1318.37"/>
    <s v="Medium"/>
    <n v="0.21"/>
    <n v="0.21"/>
    <x v="1"/>
    <n v="37"/>
    <n v="38535.955099999999"/>
    <n v="23096.510000000002"/>
    <n v="15439.445099999997"/>
    <n v="0.40065038118128793"/>
  </r>
  <r>
    <s v="ORD-2023-660608"/>
    <d v="2023-07-25T00:00:00"/>
    <x v="288"/>
    <s v="Q3-2023"/>
    <d v="2023-08-10T00:00:00"/>
    <d v="2023-08-10T00:00:00"/>
    <n v="16"/>
    <n v="16"/>
    <x v="0"/>
    <x v="1"/>
    <x v="0"/>
    <x v="1"/>
    <s v="Port Harcourt"/>
    <s v="Africa - Nigeria - Port Harcourt"/>
    <s v="Corporate"/>
    <x v="3"/>
    <x v="2"/>
    <x v="6"/>
    <x v="338"/>
    <n v="506.83"/>
    <n v="441.74"/>
    <n v="441.74"/>
    <s v="Low"/>
    <n v="0.24"/>
    <n v="0.24"/>
    <x v="1"/>
    <n v="9"/>
    <n v="3021.5016000000001"/>
    <n v="4561.47"/>
    <n v="-1539.9684000000002"/>
    <n v="-0.50966989393618067"/>
  </r>
  <r>
    <s v="ORD-2023-825084"/>
    <d v="2023-07-14T00:00:00"/>
    <x v="289"/>
    <s v="Q3-2023"/>
    <d v="2023-07-21T00:00:00"/>
    <d v="2023-07-21T00:00:00"/>
    <n v="7"/>
    <n v="7"/>
    <x v="1"/>
    <x v="10"/>
    <x v="0"/>
    <x v="11"/>
    <s v="Durban"/>
    <s v="Africa - South Africa - Durban"/>
    <s v="Enterprise"/>
    <x v="2"/>
    <x v="8"/>
    <x v="5"/>
    <x v="339"/>
    <n v="620.74"/>
    <n v="1330.07"/>
    <n v="1330.07"/>
    <s v="Medium"/>
    <n v="0.29899999999999999"/>
    <n v="0.29899999999999999"/>
    <x v="1"/>
    <n v="28"/>
    <n v="26106.613960000002"/>
    <n v="17380.72"/>
    <n v="8725.8939600000012"/>
    <n v="0.33424073965967516"/>
  </r>
  <r>
    <s v="ORD-2023-261081"/>
    <d v="2023-07-24T00:00:00"/>
    <x v="245"/>
    <s v="Q3-2023"/>
    <d v="2023-08-19T00:00:00"/>
    <d v="2023-08-19T00:00:00"/>
    <n v="26"/>
    <n v="26"/>
    <x v="0"/>
    <x v="0"/>
    <x v="0"/>
    <x v="0"/>
    <s v="Nairobi"/>
    <s v="Africa - Kenya - Nairobi"/>
    <s v="Enterprise"/>
    <x v="3"/>
    <x v="12"/>
    <x v="6"/>
    <x v="340"/>
    <n v="661.45"/>
    <n v="1634.86"/>
    <n v="1634.86"/>
    <s v="Medium"/>
    <n v="0.56499999999999995"/>
    <n v="0.11861439999999995"/>
    <x v="0"/>
    <n v="24"/>
    <n v="34582.609488383998"/>
    <n v="15874.800000000001"/>
    <n v="18707.809488383995"/>
    <n v="0.54096003063816767"/>
  </r>
  <r>
    <s v="ORD-2023-766015"/>
    <d v="2023-04-13T00:00:00"/>
    <x v="290"/>
    <s v="Q2-2023"/>
    <d v="2023-04-11T00:00:00"/>
    <d v="2023-04-24T00:00:00"/>
    <n v="-2"/>
    <n v="11"/>
    <x v="0"/>
    <x v="9"/>
    <x v="2"/>
    <x v="10"/>
    <s v="San Francisco"/>
    <s v="Americas - USA - San Francisco"/>
    <s v="Education"/>
    <x v="2"/>
    <x v="3"/>
    <x v="2"/>
    <x v="341"/>
    <n v="32.1"/>
    <n v="70.599999999999994"/>
    <n v="70.599999999999994"/>
    <s v="Low"/>
    <n v="0.28199999999999997"/>
    <n v="0.28199999999999997"/>
    <x v="1"/>
    <n v="22"/>
    <n v="1115.1975999999997"/>
    <n v="706.2"/>
    <n v="408.99759999999969"/>
    <n v="0.36674899587301818"/>
  </r>
  <r>
    <s v="ORD-2024-333192"/>
    <d v="2024-10-29T00:00:00"/>
    <x v="291"/>
    <s v="Q4-2024"/>
    <d v="2024-11-04T00:00:00"/>
    <d v="2024-11-04T00:00:00"/>
    <n v="6"/>
    <n v="6"/>
    <x v="1"/>
    <x v="0"/>
    <x v="0"/>
    <x v="0"/>
    <s v="Nairobi"/>
    <s v="Africa - Kenya - Nairobi"/>
    <s v="Corporate"/>
    <x v="3"/>
    <x v="12"/>
    <x v="1"/>
    <x v="342"/>
    <n v="805.81"/>
    <n v="1823.04"/>
    <n v="1823.04"/>
    <s v="High"/>
    <n v="0"/>
    <n v="0"/>
    <x v="0"/>
    <n v="11"/>
    <n v="20053.439999999999"/>
    <n v="8863.91"/>
    <n v="11189.529999999999"/>
    <n v="0.55798556257679477"/>
  </r>
  <r>
    <s v="ORD-2024-647473"/>
    <d v="2024-02-17T00:00:00"/>
    <x v="292"/>
    <s v="Q1-2024"/>
    <d v="2024-03-04T00:00:00"/>
    <d v="2024-03-04T00:00:00"/>
    <n v="16"/>
    <n v="16"/>
    <x v="0"/>
    <x v="4"/>
    <x v="1"/>
    <x v="4"/>
    <s v="Delhi"/>
    <s v="Asia - India - Delhi"/>
    <s v="Small Business"/>
    <x v="2"/>
    <x v="9"/>
    <x v="3"/>
    <x v="343"/>
    <n v="1231.8"/>
    <n v="2015.99"/>
    <n v="2015.99"/>
    <s v="High"/>
    <n v="0.26100000000000001"/>
    <n v="0.26100000000000001"/>
    <x v="1"/>
    <n v="6"/>
    <n v="8938.8996600000009"/>
    <n v="7390.7999999999993"/>
    <n v="1548.0996600000017"/>
    <n v="0.17318682599464391"/>
  </r>
  <r>
    <s v="ORD-2024-892908"/>
    <d v="2024-07-13T00:00:00"/>
    <x v="293"/>
    <s v="Q3-2024"/>
    <d v="2024-07-12T00:00:00"/>
    <d v="2024-07-27T00:00:00"/>
    <n v="-1"/>
    <n v="14"/>
    <x v="0"/>
    <x v="2"/>
    <x v="1"/>
    <x v="2"/>
    <s v="Nagoya"/>
    <s v="Asia - Japan - Nagoya"/>
    <s v="Small Business"/>
    <x v="2"/>
    <x v="9"/>
    <x v="2"/>
    <x v="344"/>
    <n v="105.13"/>
    <n v="244.13"/>
    <n v="244.13"/>
    <s v="Low"/>
    <n v="7.0999999999999994E-2"/>
    <n v="7.0999999999999994E-2"/>
    <x v="0"/>
    <n v="14"/>
    <n v="3175.1547799999998"/>
    <n v="1471.82"/>
    <n v="1703.3347799999999"/>
    <n v="0.53645724319618837"/>
  </r>
  <r>
    <s v="ORD-2023-573146"/>
    <d v="2023-12-01T00:00:00"/>
    <x v="294"/>
    <s v="Q4-2023"/>
    <d v="2023-12-18T00:00:00"/>
    <d v="2023-12-18T00:00:00"/>
    <n v="17"/>
    <n v="17"/>
    <x v="0"/>
    <x v="2"/>
    <x v="1"/>
    <x v="2"/>
    <s v="Nagoya"/>
    <s v="Asia - Japan - Nagoya"/>
    <s v="Small Business"/>
    <x v="4"/>
    <x v="13"/>
    <x v="4"/>
    <x v="345"/>
    <n v="1495.79"/>
    <n v="2783.12"/>
    <n v="2783.12"/>
    <s v="High"/>
    <n v="0.02"/>
    <n v="0.02"/>
    <x v="0"/>
    <n v="5"/>
    <n v="13637.287999999999"/>
    <n v="7478.95"/>
    <n v="6158.3379999999988"/>
    <n v="0.45158084217331185"/>
  </r>
  <r>
    <s v="ORD-2024-901115"/>
    <d v="2024-07-25T00:00:00"/>
    <x v="19"/>
    <s v="Q3-2024"/>
    <d v="2024-08-02T00:00:00"/>
    <d v="2024-08-02T00:00:00"/>
    <n v="8"/>
    <n v="8"/>
    <x v="0"/>
    <x v="3"/>
    <x v="2"/>
    <x v="3"/>
    <s v="Montreal"/>
    <s v="Americas - Canada - Montreal"/>
    <s v="Consumer"/>
    <x v="4"/>
    <x v="1"/>
    <x v="6"/>
    <x v="346"/>
    <n v="986.81"/>
    <n v="2050.31"/>
    <n v="2050.31"/>
    <s v="High"/>
    <n v="0.10299999999999999"/>
    <n v="0.10299999999999999"/>
    <x v="0"/>
    <n v="43"/>
    <n v="79082.507010000001"/>
    <n v="42432.829999999994"/>
    <n v="36649.677010000007"/>
    <n v="0.46343595310358138"/>
  </r>
  <r>
    <s v="ORD-2023-898009"/>
    <d v="2023-05-04T00:00:00"/>
    <x v="177"/>
    <s v="Q2-2023"/>
    <d v="2023-05-16T00:00:00"/>
    <d v="2023-05-16T00:00:00"/>
    <n v="12"/>
    <n v="12"/>
    <x v="0"/>
    <x v="1"/>
    <x v="0"/>
    <x v="1"/>
    <s v="Abuja"/>
    <s v="Africa - Nigeria - Abuja"/>
    <s v="Small Business"/>
    <x v="2"/>
    <x v="1"/>
    <x v="3"/>
    <x v="347"/>
    <n v="77.739999999999995"/>
    <n v="147.12"/>
    <n v="147.12"/>
    <s v="Low"/>
    <n v="0"/>
    <n v="0"/>
    <x v="0"/>
    <n v="15"/>
    <n v="2206.8000000000002"/>
    <n v="1166.0999999999999"/>
    <n v="1040.7000000000003"/>
    <n v="0.47158781946710177"/>
  </r>
  <r>
    <s v="ORD-2023-208944"/>
    <d v="2023-12-21T00:00:00"/>
    <x v="295"/>
    <s v="Q4-2023"/>
    <d v="2024-01-06T00:00:00"/>
    <d v="2024-01-06T00:00:00"/>
    <n v="16"/>
    <n v="16"/>
    <x v="0"/>
    <x v="1"/>
    <x v="0"/>
    <x v="1"/>
    <s v="Port Harcourt"/>
    <s v="Africa - Nigeria - Port Harcourt"/>
    <s v="Corporate"/>
    <x v="2"/>
    <x v="11"/>
    <x v="0"/>
    <x v="348"/>
    <n v="932.61"/>
    <n v="1982.98"/>
    <n v="1982.98"/>
    <s v="High"/>
    <n v="0.14399999999999999"/>
    <n v="0.14399999999999999"/>
    <x v="0"/>
    <n v="16"/>
    <n v="27158.894079999998"/>
    <n v="14921.76"/>
    <n v="12237.134079999998"/>
    <n v="0.45057556629345635"/>
  </r>
  <r>
    <s v="ORD-2025-480172"/>
    <d v="2025-06-17T00:00:00"/>
    <x v="296"/>
    <s v="Q2-2025"/>
    <d v="2025-07-05T00:00:00"/>
    <d v="2025-07-05T00:00:00"/>
    <n v="18"/>
    <n v="18"/>
    <x v="0"/>
    <x v="4"/>
    <x v="1"/>
    <x v="4"/>
    <s v="Delhi"/>
    <s v="Asia - India - Delhi"/>
    <s v="Consumer"/>
    <x v="2"/>
    <x v="4"/>
    <x v="4"/>
    <x v="349"/>
    <n v="982.93"/>
    <n v="2299.3000000000002"/>
    <n v="2299.3000000000002"/>
    <s v="High"/>
    <n v="0.113"/>
    <n v="0.113"/>
    <x v="0"/>
    <n v="6"/>
    <n v="12236.874600000001"/>
    <n v="5897.58"/>
    <n v="6339.2946000000011"/>
    <n v="0.51804850562087157"/>
  </r>
  <r>
    <s v="ORD-2023-735274"/>
    <d v="2023-02-23T00:00:00"/>
    <x v="29"/>
    <s v="Q1-2023"/>
    <d v="2023-03-08T00:00:00"/>
    <d v="2023-03-08T00:00:00"/>
    <n v="13"/>
    <n v="13"/>
    <x v="0"/>
    <x v="7"/>
    <x v="3"/>
    <x v="8"/>
    <s v="Manchester"/>
    <s v="Europe - United Kingdom - Manchester"/>
    <s v="Small Business"/>
    <x v="4"/>
    <x v="0"/>
    <x v="1"/>
    <x v="350"/>
    <n v="307.37"/>
    <n v="462.61"/>
    <n v="462.61"/>
    <s v="Low"/>
    <n v="0.188"/>
    <n v="0.188"/>
    <x v="0"/>
    <n v="11"/>
    <n v="4132.0325200000007"/>
    <n v="3381.07"/>
    <n v="750.9625200000005"/>
    <n v="0.18174167709599739"/>
  </r>
  <r>
    <s v="ORD-2023-212701"/>
    <d v="2023-12-02T00:00:00"/>
    <x v="297"/>
    <s v="Q4-2023"/>
    <d v="2023-12-16T00:00:00"/>
    <d v="2023-12-16T00:00:00"/>
    <n v="14"/>
    <n v="14"/>
    <x v="0"/>
    <x v="5"/>
    <x v="3"/>
    <x v="6"/>
    <s v="Frankfurt"/>
    <s v="Europe - Germany - Frankfurt"/>
    <s v="Education"/>
    <x v="4"/>
    <x v="13"/>
    <x v="5"/>
    <x v="351"/>
    <n v="879.08"/>
    <n v="1093.3900000000001"/>
    <n v="1093.3900000000001"/>
    <s v="Medium"/>
    <n v="0.113"/>
    <n v="0.113"/>
    <x v="0"/>
    <n v="17"/>
    <n v="16487.22781"/>
    <n v="14944.36"/>
    <n v="1542.8678099999997"/>
    <n v="9.3579577341935186E-2"/>
  </r>
  <r>
    <s v="ORD-2023-479747"/>
    <d v="2023-07-14T00:00:00"/>
    <x v="289"/>
    <s v="Q3-2023"/>
    <d v="2023-07-14T00:00:00"/>
    <d v="2023-07-14T00:00:00"/>
    <n v="0"/>
    <n v="0"/>
    <x v="1"/>
    <x v="1"/>
    <x v="0"/>
    <x v="1"/>
    <s v="Lagos"/>
    <s v="Africa - Nigeria - Lagos"/>
    <s v="Education"/>
    <x v="0"/>
    <x v="2"/>
    <x v="6"/>
    <x v="352"/>
    <n v="956.38"/>
    <n v="1454.22"/>
    <n v="1454.22"/>
    <s v="Medium"/>
    <n v="3.9E-2"/>
    <n v="3.9E-2"/>
    <x v="0"/>
    <n v="19"/>
    <n v="26552.60298"/>
    <n v="18171.22"/>
    <n v="8381.3829799999985"/>
    <n v="0.31565202802576603"/>
  </r>
  <r>
    <s v="ORD-2024-915495"/>
    <d v="2024-08-08T00:00:00"/>
    <x v="298"/>
    <s v="Q3-2024"/>
    <d v="2024-08-20T00:00:00"/>
    <d v="2024-08-20T00:00:00"/>
    <n v="12"/>
    <n v="12"/>
    <x v="0"/>
    <x v="2"/>
    <x v="1"/>
    <x v="2"/>
    <s v="Osaka"/>
    <s v="Asia - Japan - Osaka"/>
    <s v="Small Business"/>
    <x v="0"/>
    <x v="10"/>
    <x v="2"/>
    <x v="353"/>
    <n v="1233.3599999999999"/>
    <n v="2120.4"/>
    <n v="2120.4"/>
    <s v="High"/>
    <n v="0.17899999999999999"/>
    <n v="0.17899999999999999"/>
    <x v="0"/>
    <n v="20"/>
    <n v="34816.968000000001"/>
    <n v="24667.199999999997"/>
    <n v="10149.768000000004"/>
    <n v="0.29151785991244278"/>
  </r>
  <r>
    <s v="ORD-2024-225829"/>
    <d v="2024-11-07T00:00:00"/>
    <x v="299"/>
    <s v="Q4-2024"/>
    <d v="2024-11-26T00:00:00"/>
    <d v="2024-11-26T00:00:00"/>
    <n v="19"/>
    <n v="19"/>
    <x v="0"/>
    <x v="4"/>
    <x v="2"/>
    <x v="5"/>
    <s v="Rio de Janeiro"/>
    <s v="Americas - Brazil - Rio de Janeiro"/>
    <s v="Non-Profit"/>
    <x v="3"/>
    <x v="1"/>
    <x v="1"/>
    <x v="354"/>
    <n v="55.35"/>
    <n v="128.68"/>
    <n v="128.68"/>
    <s v="Low"/>
    <n v="0.128"/>
    <n v="0.128"/>
    <x v="0"/>
    <n v="10"/>
    <n v="1122.0896000000002"/>
    <n v="553.5"/>
    <n v="568.58960000000025"/>
    <n v="0.50672388372550647"/>
  </r>
  <r>
    <s v="ORD-2024-921935"/>
    <d v="2024-01-01T00:00:00"/>
    <x v="300"/>
    <s v="Q1-2024"/>
    <d v="2024-01-27T00:00:00"/>
    <d v="2024-01-27T00:00:00"/>
    <n v="26"/>
    <n v="26"/>
    <x v="0"/>
    <x v="7"/>
    <x v="3"/>
    <x v="8"/>
    <s v="Manchester"/>
    <s v="Europe - United Kingdom - Manchester"/>
    <s v="Education"/>
    <x v="3"/>
    <x v="14"/>
    <x v="6"/>
    <x v="355"/>
    <n v="657.45"/>
    <n v="1325.96"/>
    <n v="1325.96"/>
    <s v="Medium"/>
    <n v="0.16700000000000001"/>
    <n v="0.16700000000000001"/>
    <x v="0"/>
    <n v="21"/>
    <n v="23195.01828"/>
    <n v="13806.45"/>
    <n v="9388.5682799999995"/>
    <n v="0.40476658249048808"/>
  </r>
  <r>
    <s v="ORD-2025-949776"/>
    <d v="2025-08-14T00:00:00"/>
    <x v="301"/>
    <s v="Q3-2025"/>
    <d v="2025-09-11T00:00:00"/>
    <d v="2025-09-11T00:00:00"/>
    <n v="28"/>
    <n v="28"/>
    <x v="0"/>
    <x v="4"/>
    <x v="2"/>
    <x v="5"/>
    <s v="São Paulo"/>
    <s v="Americas - Brazil - São Paulo"/>
    <s v="Non-Profit"/>
    <x v="4"/>
    <x v="9"/>
    <x v="1"/>
    <x v="356"/>
    <n v="1203.02"/>
    <n v="2439.33"/>
    <n v="2439.33"/>
    <s v="High"/>
    <n v="0"/>
    <n v="0"/>
    <x v="0"/>
    <n v="18"/>
    <n v="43907.94"/>
    <n v="21654.36"/>
    <n v="22253.58"/>
    <n v="0.50682359500354612"/>
  </r>
  <r>
    <s v="ORD-2024-510591"/>
    <d v="2024-04-03T00:00:00"/>
    <x v="149"/>
    <s v="Q2-2024"/>
    <d v="2024-04-21T00:00:00"/>
    <d v="2024-04-21T00:00:00"/>
    <n v="18"/>
    <n v="18"/>
    <x v="0"/>
    <x v="4"/>
    <x v="2"/>
    <x v="5"/>
    <s v="Brasília"/>
    <s v="Americas - Brazil - Brasília"/>
    <s v="Small Business"/>
    <x v="3"/>
    <x v="5"/>
    <x v="2"/>
    <x v="357"/>
    <n v="1176.69"/>
    <n v="2201.54"/>
    <n v="2201.54"/>
    <s v="High"/>
    <n v="0.17"/>
    <n v="0.17"/>
    <x v="0"/>
    <n v="27"/>
    <n v="49336.511399999996"/>
    <n v="31770.63"/>
    <n v="17565.881399999995"/>
    <n v="0.35604222717701106"/>
  </r>
  <r>
    <s v="ORD-2024-961756"/>
    <d v="2024-11-25T00:00:00"/>
    <x v="302"/>
    <s v="Q4-2024"/>
    <d v="2024-12-07T00:00:00"/>
    <d v="2024-12-07T00:00:00"/>
    <n v="12"/>
    <n v="12"/>
    <x v="0"/>
    <x v="8"/>
    <x v="1"/>
    <x v="9"/>
    <s v="Shanghai"/>
    <s v="Asia - China - Shanghai"/>
    <s v="Corporate"/>
    <x v="3"/>
    <x v="8"/>
    <x v="6"/>
    <x v="358"/>
    <n v="769.9"/>
    <n v="814.36"/>
    <n v="814.36"/>
    <s v="Low"/>
    <n v="0"/>
    <n v="0"/>
    <x v="0"/>
    <n v="5"/>
    <n v="4071.8"/>
    <n v="3849.5"/>
    <n v="222.30000000000018"/>
    <n v="5.4595019401738831E-2"/>
  </r>
  <r>
    <s v="ORD-2024-892173"/>
    <d v="2024-01-18T00:00:00"/>
    <x v="303"/>
    <s v="Q1-2024"/>
    <d v="2024-02-03T00:00:00"/>
    <d v="2024-02-03T00:00:00"/>
    <n v="16"/>
    <n v="16"/>
    <x v="0"/>
    <x v="10"/>
    <x v="0"/>
    <x v="11"/>
    <s v="Cape Town"/>
    <s v="Africa - South Africa - Cape Town"/>
    <s v="Non-Profit"/>
    <x v="3"/>
    <x v="4"/>
    <x v="1"/>
    <x v="359"/>
    <n v="666.23"/>
    <n v="1382.91"/>
    <n v="1382.91"/>
    <s v="Medium"/>
    <n v="0.17599999999999999"/>
    <n v="0.17599999999999999"/>
    <x v="0"/>
    <n v="13"/>
    <n v="14813.731920000002"/>
    <n v="8660.99"/>
    <n v="6152.7419200000022"/>
    <n v="0.41534043907553048"/>
  </r>
  <r>
    <s v="ORD-2024-704056"/>
    <d v="2024-06-23T00:00:00"/>
    <x v="304"/>
    <s v="Q2-2024"/>
    <d v="2024-06-25T00:00:00"/>
    <d v="2024-06-25T00:00:00"/>
    <n v="2"/>
    <n v="2"/>
    <x v="1"/>
    <x v="7"/>
    <x v="3"/>
    <x v="8"/>
    <s v="Birmingham"/>
    <s v="Europe - United Kingdom - Birmingham"/>
    <s v="Small Business"/>
    <x v="2"/>
    <x v="4"/>
    <x v="6"/>
    <x v="360"/>
    <n v="951.44"/>
    <n v="1646.43"/>
    <n v="1646.43"/>
    <s v="High"/>
    <n v="0.11"/>
    <n v="0.11"/>
    <x v="0"/>
    <n v="24"/>
    <n v="35167.7448"/>
    <n v="22834.560000000001"/>
    <n v="12333.184799999999"/>
    <n v="0.35069592520473475"/>
  </r>
  <r>
    <s v="ORD-2025-591006"/>
    <d v="2025-06-25T00:00:00"/>
    <x v="305"/>
    <s v="Q2-2025"/>
    <d v="2025-07-10T00:00:00"/>
    <d v="2025-07-10T00:00:00"/>
    <n v="15"/>
    <n v="15"/>
    <x v="0"/>
    <x v="7"/>
    <x v="3"/>
    <x v="8"/>
    <s v="Birmingham"/>
    <s v="Europe - United Kingdom - Birmingham"/>
    <s v="Non-Profit"/>
    <x v="2"/>
    <x v="14"/>
    <x v="3"/>
    <x v="361"/>
    <n v="546.83000000000004"/>
    <n v="400.84"/>
    <n v="400.84"/>
    <s v="Low"/>
    <n v="7.8E-2"/>
    <n v="7.8E-2"/>
    <x v="0"/>
    <n v="13"/>
    <n v="4804.4682400000002"/>
    <n v="7108.7900000000009"/>
    <n v="-2304.3217600000007"/>
    <n v="-0.47962056254533608"/>
  </r>
  <r>
    <s v="ORD-2023-159821"/>
    <d v="2023-07-01T00:00:00"/>
    <x v="306"/>
    <s v="Q3-2023"/>
    <d v="2023-07-08T00:00:00"/>
    <d v="2023-07-08T00:00:00"/>
    <n v="7"/>
    <n v="7"/>
    <x v="1"/>
    <x v="1"/>
    <x v="0"/>
    <x v="1"/>
    <s v="Port Harcourt"/>
    <s v="Africa - Nigeria - Port Harcourt"/>
    <s v="Corporate"/>
    <x v="0"/>
    <x v="8"/>
    <x v="4"/>
    <x v="362"/>
    <n v="834.26"/>
    <n v="1780.56"/>
    <n v="1780.56"/>
    <s v="High"/>
    <n v="1.4E-2"/>
    <n v="1.4E-2"/>
    <x v="0"/>
    <n v="47"/>
    <n v="82514.711519999997"/>
    <n v="39210.22"/>
    <n v="43304.491519999996"/>
    <n v="0.5248093427497933"/>
  </r>
  <r>
    <s v="ORD-2024-343877"/>
    <d v="2024-03-09T00:00:00"/>
    <x v="307"/>
    <s v="Q1-2024"/>
    <d v="2024-03-26T00:00:00"/>
    <d v="2024-03-26T00:00:00"/>
    <n v="17"/>
    <n v="17"/>
    <x v="0"/>
    <x v="8"/>
    <x v="1"/>
    <x v="9"/>
    <s v="Shenzhen"/>
    <s v="Asia - China - Shenzhen"/>
    <s v="Enterprise"/>
    <x v="1"/>
    <x v="11"/>
    <x v="5"/>
    <x v="363"/>
    <n v="1029.67"/>
    <n v="1118.43"/>
    <n v="1118.43"/>
    <s v="Medium"/>
    <n v="0.27200000000000002"/>
    <n v="0.27200000000000002"/>
    <x v="1"/>
    <n v="9"/>
    <n v="7327.9533600000004"/>
    <n v="9267.0300000000007"/>
    <n v="-1939.0766400000002"/>
    <n v="-0.26461367106736061"/>
  </r>
  <r>
    <s v="ORD-2023-386663"/>
    <d v="2023-06-05T00:00:00"/>
    <x v="308"/>
    <s v="Q2-2023"/>
    <d v="2023-06-28T00:00:00"/>
    <d v="2023-06-28T00:00:00"/>
    <n v="23"/>
    <n v="23"/>
    <x v="0"/>
    <x v="7"/>
    <x v="3"/>
    <x v="8"/>
    <s v="Birmingham"/>
    <s v="Europe - United Kingdom - Birmingham"/>
    <s v="Corporate"/>
    <x v="4"/>
    <x v="11"/>
    <x v="1"/>
    <x v="364"/>
    <n v="605.82000000000005"/>
    <n v="771.12"/>
    <n v="771.12"/>
    <s v="Low"/>
    <n v="0.13200000000000001"/>
    <n v="0.13200000000000001"/>
    <x v="0"/>
    <n v="19"/>
    <n v="12717.311040000001"/>
    <n v="11510.580000000002"/>
    <n v="1206.7310399999988"/>
    <n v="9.4888851597986767E-2"/>
  </r>
  <r>
    <s v="ORD-2025-125517"/>
    <d v="2025-03-21T00:00:00"/>
    <x v="309"/>
    <s v="Q1-2025"/>
    <d v="2025-04-09T00:00:00"/>
    <d v="2025-04-09T00:00:00"/>
    <n v="19"/>
    <n v="19"/>
    <x v="0"/>
    <x v="2"/>
    <x v="1"/>
    <x v="2"/>
    <s v="Tokyo"/>
    <s v="Asia - Japan - Tokyo"/>
    <s v="Small Business"/>
    <x v="3"/>
    <x v="6"/>
    <x v="0"/>
    <x v="365"/>
    <n v="1055.45"/>
    <n v="1210.04"/>
    <n v="1210.04"/>
    <s v="Medium"/>
    <n v="8.9999999999999993E-3"/>
    <n v="8.9999999999999993E-3"/>
    <x v="0"/>
    <n v="18"/>
    <n v="21584.693520000001"/>
    <n v="18998.100000000002"/>
    <n v="2586.5935199999985"/>
    <n v="0.1198346188053727"/>
  </r>
  <r>
    <s v="ORD-2024-819778"/>
    <d v="2024-06-02T00:00:00"/>
    <x v="101"/>
    <s v="Q2-2024"/>
    <d v="2024-06-15T00:00:00"/>
    <d v="2024-06-15T00:00:00"/>
    <n v="13"/>
    <n v="13"/>
    <x v="0"/>
    <x v="0"/>
    <x v="0"/>
    <x v="0"/>
    <s v="Mombasa"/>
    <s v="Africa - Kenya - Mombasa"/>
    <s v="Education"/>
    <x v="1"/>
    <x v="7"/>
    <x v="3"/>
    <x v="366"/>
    <n v="1295.18"/>
    <n v="3024.03"/>
    <n v="3024.03"/>
    <s v="High"/>
    <n v="0.192"/>
    <n v="0.192"/>
    <x v="0"/>
    <n v="8"/>
    <n v="19547.329920000004"/>
    <n v="10361.44"/>
    <n v="9185.8899200000033"/>
    <n v="0.46993067378483178"/>
  </r>
  <r>
    <s v="ORD-2025-624006"/>
    <d v="2025-03-15T00:00:00"/>
    <x v="310"/>
    <s v="Q1-2025"/>
    <d v="2025-03-29T00:00:00"/>
    <d v="2025-03-29T00:00:00"/>
    <n v="14"/>
    <n v="14"/>
    <x v="0"/>
    <x v="4"/>
    <x v="1"/>
    <x v="4"/>
    <s v="Mumbai"/>
    <s v="Asia - India - Mumbai"/>
    <s v="Enterprise"/>
    <x v="4"/>
    <x v="0"/>
    <x v="0"/>
    <x v="367"/>
    <n v="935.83"/>
    <n v="2303.46"/>
    <n v="2303.46"/>
    <s v="High"/>
    <n v="0.105"/>
    <n v="0.105"/>
    <x v="0"/>
    <n v="9"/>
    <n v="18554.370299999999"/>
    <n v="8422.4700000000012"/>
    <n v="10131.900299999998"/>
    <n v="0.54606543559174292"/>
  </r>
  <r>
    <s v="ORD-2023-132101"/>
    <d v="2023-09-25T00:00:00"/>
    <x v="199"/>
    <s v="Q3-2023"/>
    <d v="2023-10-09T00:00:00"/>
    <d v="2023-10-09T00:00:00"/>
    <n v="14"/>
    <n v="14"/>
    <x v="0"/>
    <x v="9"/>
    <x v="2"/>
    <x v="10"/>
    <s v="New York"/>
    <s v="Americas - USA - New York"/>
    <s v="Small Business"/>
    <x v="2"/>
    <x v="1"/>
    <x v="4"/>
    <x v="368"/>
    <n v="1279.56"/>
    <n v="3083.8"/>
    <n v="3083.8"/>
    <s v="High"/>
    <n v="0.106"/>
    <n v="0.106"/>
    <x v="0"/>
    <n v="5"/>
    <n v="13784.586000000001"/>
    <n v="6397.7999999999993"/>
    <n v="7386.7860000000019"/>
    <n v="0.53587289455047848"/>
  </r>
  <r>
    <s v="ORD-2025-306903"/>
    <d v="2025-06-24T00:00:00"/>
    <x v="35"/>
    <s v="Q2-2025"/>
    <d v="2025-07-23T00:00:00"/>
    <d v="2025-07-23T00:00:00"/>
    <n v="29"/>
    <n v="29"/>
    <x v="0"/>
    <x v="3"/>
    <x v="2"/>
    <x v="3"/>
    <s v="Vancouver"/>
    <s v="Americas - Canada - Vancouver"/>
    <s v="Non-Profit"/>
    <x v="2"/>
    <x v="2"/>
    <x v="1"/>
    <x v="369"/>
    <n v="255.4"/>
    <n v="322.70999999999998"/>
    <n v="322.70999999999998"/>
    <s v="Low"/>
    <n v="0.115"/>
    <n v="0.115"/>
    <x v="0"/>
    <n v="16"/>
    <n v="4569.5735999999997"/>
    <n v="4086.4"/>
    <n v="483.17359999999962"/>
    <n v="0.10573713048412212"/>
  </r>
  <r>
    <s v="ORD-2023-813340"/>
    <d v="2023-12-26T00:00:00"/>
    <x v="311"/>
    <s v="Q4-2023"/>
    <d v="2024-01-03T00:00:00"/>
    <d v="2024-01-03T00:00:00"/>
    <n v="8"/>
    <n v="8"/>
    <x v="0"/>
    <x v="6"/>
    <x v="3"/>
    <x v="7"/>
    <s v="Lyon"/>
    <s v="Europe - France - Lyon"/>
    <s v="Small Business"/>
    <x v="0"/>
    <x v="12"/>
    <x v="4"/>
    <x v="370"/>
    <n v="492.75"/>
    <n v="731.29"/>
    <n v="731.29"/>
    <s v="Low"/>
    <n v="5.8000000000000003E-2"/>
    <n v="5.8000000000000003E-2"/>
    <x v="0"/>
    <n v="6"/>
    <n v="4133.25108"/>
    <n v="2956.5"/>
    <n v="1176.75108"/>
    <n v="0.28470350753528384"/>
  </r>
  <r>
    <s v="ORD-2023-855675"/>
    <d v="2023-02-05T00:00:00"/>
    <x v="312"/>
    <s v="Q1-2023"/>
    <d v="2023-02-28T00:00:00"/>
    <d v="2023-02-28T00:00:00"/>
    <n v="23"/>
    <n v="23"/>
    <x v="0"/>
    <x v="9"/>
    <x v="2"/>
    <x v="10"/>
    <s v="Austin"/>
    <s v="Americas - USA - Austin"/>
    <s v="Non-Profit"/>
    <x v="3"/>
    <x v="4"/>
    <x v="3"/>
    <x v="371"/>
    <n v="1214.49"/>
    <n v="1533.95"/>
    <n v="1533.95"/>
    <s v="Medium"/>
    <n v="0"/>
    <n v="0"/>
    <x v="0"/>
    <n v="11"/>
    <n v="16873.45"/>
    <n v="13359.39"/>
    <n v="3514.0600000000013"/>
    <n v="0.20825972163369086"/>
  </r>
  <r>
    <s v="ORD-2023-545150"/>
    <d v="2023-04-06T00:00:00"/>
    <x v="89"/>
    <s v="Q2-2023"/>
    <d v="2023-04-08T00:00:00"/>
    <d v="2023-04-08T00:00:00"/>
    <n v="2"/>
    <n v="2"/>
    <x v="1"/>
    <x v="1"/>
    <x v="0"/>
    <x v="1"/>
    <s v="Abuja"/>
    <s v="Africa - Nigeria - Abuja"/>
    <s v="Small Business"/>
    <x v="2"/>
    <x v="11"/>
    <x v="5"/>
    <x v="372"/>
    <n v="720.35"/>
    <n v="1571.66"/>
    <n v="1571.66"/>
    <s v="Medium"/>
    <n v="0.107"/>
    <n v="0.107"/>
    <x v="0"/>
    <n v="23"/>
    <n v="32280.32474"/>
    <n v="16568.05"/>
    <n v="15712.274740000001"/>
    <n v="0.4867446305622265"/>
  </r>
  <r>
    <s v="ORD-2025-269934"/>
    <d v="2025-04-04T00:00:00"/>
    <x v="254"/>
    <s v="Q2-2025"/>
    <d v="2025-04-10T00:00:00"/>
    <d v="2025-04-10T00:00:00"/>
    <n v="6"/>
    <n v="6"/>
    <x v="1"/>
    <x v="7"/>
    <x v="3"/>
    <x v="8"/>
    <s v="Birmingham"/>
    <s v="Europe - United Kingdom - Birmingham"/>
    <s v="Non-Profit"/>
    <x v="4"/>
    <x v="13"/>
    <x v="1"/>
    <x v="373"/>
    <n v="290.14"/>
    <n v="250.73"/>
    <n v="250.73"/>
    <s v="Low"/>
    <n v="3.4000000000000002E-2"/>
    <n v="3.4000000000000002E-2"/>
    <x v="0"/>
    <n v="17"/>
    <n v="4117.4880599999997"/>
    <n v="4932.38"/>
    <n v="-814.89194000000043"/>
    <n v="-0.19790997038131072"/>
  </r>
  <r>
    <s v="ORD-2024-690270"/>
    <d v="2024-05-17T00:00:00"/>
    <x v="313"/>
    <s v="Q2-2024"/>
    <d v="2024-05-27T00:00:00"/>
    <d v="2024-05-27T00:00:00"/>
    <n v="10"/>
    <n v="10"/>
    <x v="0"/>
    <x v="9"/>
    <x v="2"/>
    <x v="10"/>
    <s v="Austin"/>
    <s v="Americas - USA - Austin"/>
    <s v="Non-Profit"/>
    <x v="1"/>
    <x v="0"/>
    <x v="3"/>
    <x v="374"/>
    <n v="1484.23"/>
    <n v="3472.81"/>
    <n v="3472.81"/>
    <s v="High"/>
    <n v="0.25600000000000001"/>
    <n v="0.25600000000000001"/>
    <x v="1"/>
    <n v="12"/>
    <n v="31005.24768"/>
    <n v="17810.760000000002"/>
    <n v="13194.487679999998"/>
    <n v="0.42555659661803413"/>
  </r>
  <r>
    <s v="ORD-2024-868223"/>
    <d v="2024-03-03T00:00:00"/>
    <x v="314"/>
    <s v="Q1-2024"/>
    <d v="2024-03-19T00:00:00"/>
    <d v="2024-03-19T00:00:00"/>
    <n v="16"/>
    <n v="16"/>
    <x v="0"/>
    <x v="8"/>
    <x v="1"/>
    <x v="9"/>
    <s v="Beijing"/>
    <s v="Asia - China - Beijing"/>
    <s v="Consumer"/>
    <x v="3"/>
    <x v="3"/>
    <x v="3"/>
    <x v="375"/>
    <n v="988.83"/>
    <n v="1206.04"/>
    <n v="1206.04"/>
    <s v="Medium"/>
    <n v="6.3E-2"/>
    <n v="6.3E-2"/>
    <x v="0"/>
    <n v="34"/>
    <n v="38422.022320000004"/>
    <n v="33620.22"/>
    <n v="4801.8023200000025"/>
    <n v="0.12497526236406606"/>
  </r>
  <r>
    <s v="ORD-2025-188059"/>
    <d v="2025-06-27T00:00:00"/>
    <x v="232"/>
    <s v="Q2-2025"/>
    <d v="2025-07-11T00:00:00"/>
    <d v="2025-07-11T00:00:00"/>
    <n v="14"/>
    <n v="14"/>
    <x v="0"/>
    <x v="8"/>
    <x v="1"/>
    <x v="9"/>
    <s v="Shanghai"/>
    <s v="Asia - China - Shanghai"/>
    <s v="Small Business"/>
    <x v="2"/>
    <x v="4"/>
    <x v="2"/>
    <x v="376"/>
    <n v="1227.7"/>
    <n v="2197.23"/>
    <n v="2197.23"/>
    <s v="High"/>
    <n v="9.9000000000000005E-2"/>
    <n v="9.9000000000000005E-2"/>
    <x v="0"/>
    <n v="22"/>
    <n v="43553.493060000001"/>
    <n v="27009.4"/>
    <n v="16544.093059999999"/>
    <n v="0.37985685871873898"/>
  </r>
  <r>
    <s v="ORD-2023-281890"/>
    <d v="2023-03-13T00:00:00"/>
    <x v="315"/>
    <s v="Q1-2023"/>
    <d v="2023-04-04T00:00:00"/>
    <d v="2023-04-04T00:00:00"/>
    <n v="22"/>
    <n v="22"/>
    <x v="0"/>
    <x v="10"/>
    <x v="0"/>
    <x v="11"/>
    <s v="Durban"/>
    <s v="Africa - South Africa - Durban"/>
    <s v="Small Business"/>
    <x v="0"/>
    <x v="8"/>
    <x v="0"/>
    <x v="377"/>
    <n v="1113.7"/>
    <n v="1620.6"/>
    <n v="1620.6"/>
    <s v="Medium"/>
    <n v="0.13900000000000001"/>
    <n v="0.13900000000000001"/>
    <x v="0"/>
    <n v="11"/>
    <n v="15348.702599999999"/>
    <n v="12250.7"/>
    <n v="3098.002599999998"/>
    <n v="0.20184133348182787"/>
  </r>
  <r>
    <s v="ORD-2025-636162"/>
    <d v="2025-01-07T00:00:00"/>
    <x v="316"/>
    <s v="Q1-2025"/>
    <d v="2025-01-20T00:00:00"/>
    <d v="2025-01-20T00:00:00"/>
    <n v="13"/>
    <n v="13"/>
    <x v="0"/>
    <x v="10"/>
    <x v="0"/>
    <x v="11"/>
    <s v="Cape Town"/>
    <s v="Africa - South Africa - Cape Town"/>
    <s v="Corporate"/>
    <x v="4"/>
    <x v="11"/>
    <x v="2"/>
    <x v="378"/>
    <n v="432.13"/>
    <n v="1034.6600000000001"/>
    <n v="1034.6600000000001"/>
    <s v="Medium"/>
    <n v="9.1999999999999998E-2"/>
    <n v="9.1999999999999998E-2"/>
    <x v="0"/>
    <n v="7"/>
    <n v="6576.298960000001"/>
    <n v="3024.91"/>
    <n v="3551.3889600000011"/>
    <n v="0.54002851476204794"/>
  </r>
  <r>
    <s v="ORD-2025-915869"/>
    <d v="2025-02-06T00:00:00"/>
    <x v="317"/>
    <s v="Q1-2025"/>
    <d v="2025-02-15T00:00:00"/>
    <d v="2025-02-15T00:00:00"/>
    <n v="9"/>
    <n v="9"/>
    <x v="0"/>
    <x v="4"/>
    <x v="2"/>
    <x v="5"/>
    <s v="São Paulo"/>
    <s v="Americas - Brazil - São Paulo"/>
    <s v="Non-Profit"/>
    <x v="3"/>
    <x v="9"/>
    <x v="2"/>
    <x v="379"/>
    <n v="837.39"/>
    <n v="1905.42"/>
    <n v="1905.42"/>
    <s v="High"/>
    <n v="3.2000000000000001E-2"/>
    <n v="3.2000000000000001E-2"/>
    <x v="0"/>
    <n v="18"/>
    <n v="33200.038079999998"/>
    <n v="15073.02"/>
    <n v="18127.018079999998"/>
    <n v="0.54599389423350919"/>
  </r>
  <r>
    <s v="ORD-2025-192876"/>
    <d v="2025-01-31T00:00:00"/>
    <x v="318"/>
    <s v="Q1-2025"/>
    <d v="2025-02-17T00:00:00"/>
    <d v="2025-02-17T00:00:00"/>
    <n v="17"/>
    <n v="17"/>
    <x v="0"/>
    <x v="7"/>
    <x v="3"/>
    <x v="8"/>
    <s v="London"/>
    <s v="Europe - United Kingdom - London"/>
    <s v="Enterprise"/>
    <x v="0"/>
    <x v="10"/>
    <x v="0"/>
    <x v="78"/>
    <n v="378.26"/>
    <n v="541.55999999999995"/>
    <n v="541.55999999999995"/>
    <s v="Low"/>
    <n v="0.16300000000000001"/>
    <n v="0.16300000000000001"/>
    <x v="0"/>
    <n v="25"/>
    <n v="11332.142999999998"/>
    <n v="9456.5"/>
    <n v="1875.6429999999982"/>
    <n v="0.16551529573885526"/>
  </r>
  <r>
    <s v="ORD-2025-822030"/>
    <d v="2025-08-07T00:00:00"/>
    <x v="83"/>
    <s v="Q3-2025"/>
    <d v="2025-09-06T00:00:00"/>
    <d v="2025-09-06T00:00:00"/>
    <n v="30"/>
    <n v="30"/>
    <x v="0"/>
    <x v="3"/>
    <x v="2"/>
    <x v="3"/>
    <s v="Montreal"/>
    <s v="Americas - Canada - Montreal"/>
    <s v="Education"/>
    <x v="4"/>
    <x v="12"/>
    <x v="2"/>
    <x v="380"/>
    <n v="833.73"/>
    <n v="1116.5999999999999"/>
    <n v="1116.5999999999999"/>
    <s v="Medium"/>
    <n v="0.17599999999999999"/>
    <n v="0.17599999999999999"/>
    <x v="0"/>
    <n v="14"/>
    <n v="12881.097599999999"/>
    <n v="11672.220000000001"/>
    <n v="1208.877599999998"/>
    <n v="9.3848958958279924E-2"/>
  </r>
  <r>
    <s v="ORD-2025-789245"/>
    <d v="2025-07-23T00:00:00"/>
    <x v="319"/>
    <s v="Q3-2025"/>
    <d v="2025-08-17T00:00:00"/>
    <d v="2025-08-17T00:00:00"/>
    <n v="25"/>
    <n v="25"/>
    <x v="0"/>
    <x v="7"/>
    <x v="3"/>
    <x v="8"/>
    <s v="Birmingham"/>
    <s v="Europe - United Kingdom - Birmingham"/>
    <s v="Education"/>
    <x v="1"/>
    <x v="2"/>
    <x v="1"/>
    <x v="381"/>
    <n v="1142.06"/>
    <n v="1455"/>
    <n v="1455"/>
    <s v="Medium"/>
    <n v="7.8E-2"/>
    <n v="7.8E-2"/>
    <x v="0"/>
    <n v="28"/>
    <n v="37562.28"/>
    <n v="31977.68"/>
    <n v="5584.5999999999985"/>
    <n v="0.1486757459877302"/>
  </r>
  <r>
    <s v="ORD-2023-594955"/>
    <d v="2023-06-20T00:00:00"/>
    <x v="264"/>
    <s v="Q2-2023"/>
    <d v="2023-07-08T00:00:00"/>
    <d v="2023-07-08T00:00:00"/>
    <n v="18"/>
    <n v="18"/>
    <x v="0"/>
    <x v="9"/>
    <x v="2"/>
    <x v="10"/>
    <s v="New York"/>
    <s v="Americas - USA - New York"/>
    <s v="Consumer"/>
    <x v="2"/>
    <x v="7"/>
    <x v="2"/>
    <x v="382"/>
    <n v="1145.53"/>
    <n v="1278.3"/>
    <n v="1278.3"/>
    <s v="Medium"/>
    <n v="0.09"/>
    <n v="0.09"/>
    <x v="0"/>
    <n v="41"/>
    <n v="47693.373"/>
    <n v="46966.729999999996"/>
    <n v="726.64300000000367"/>
    <n v="1.5235722581416158E-2"/>
  </r>
  <r>
    <s v="ORD-2024-398783"/>
    <d v="2024-07-18T00:00:00"/>
    <x v="320"/>
    <s v="Q3-2024"/>
    <d v="2024-08-07T00:00:00"/>
    <d v="2024-08-07T00:00:00"/>
    <n v="20"/>
    <n v="20"/>
    <x v="0"/>
    <x v="6"/>
    <x v="3"/>
    <x v="7"/>
    <s v="Marseille"/>
    <s v="Europe - France - Marseille"/>
    <s v="Corporate"/>
    <x v="0"/>
    <x v="9"/>
    <x v="5"/>
    <x v="383"/>
    <n v="941.35"/>
    <n v="899.83"/>
    <n v="899.83"/>
    <s v="Medium"/>
    <n v="5.8000000000000003E-2"/>
    <n v="5.8000000000000003E-2"/>
    <x v="0"/>
    <n v="18"/>
    <n v="15257.51748"/>
    <n v="16944.3"/>
    <n v="-1686.7825199999988"/>
    <n v="-0.11055419220139073"/>
  </r>
  <r>
    <s v="ORD-2023-676553"/>
    <d v="2023-05-20T00:00:00"/>
    <x v="72"/>
    <s v="Q2-2023"/>
    <d v="2023-06-19T00:00:00"/>
    <d v="2023-06-19T00:00:00"/>
    <n v="30"/>
    <n v="30"/>
    <x v="0"/>
    <x v="4"/>
    <x v="1"/>
    <x v="4"/>
    <s v="Delhi"/>
    <s v="Asia - India - Delhi"/>
    <s v="Non-Profit"/>
    <x v="2"/>
    <x v="10"/>
    <x v="4"/>
    <x v="384"/>
    <n v="1161.2"/>
    <n v="878.73"/>
    <n v="878.73"/>
    <s v="Medium"/>
    <n v="0.19"/>
    <n v="0.19"/>
    <x v="0"/>
    <n v="31"/>
    <n v="22064.910300000003"/>
    <n v="35997.200000000004"/>
    <n v="-13932.289700000001"/>
    <n v="-0.63142290227212028"/>
  </r>
  <r>
    <s v="ORD-2025-866565"/>
    <d v="2025-05-12T00:00:00"/>
    <x v="321"/>
    <s v="Q2-2025"/>
    <d v="2025-05-26T00:00:00"/>
    <d v="2025-05-26T00:00:00"/>
    <n v="14"/>
    <n v="14"/>
    <x v="0"/>
    <x v="4"/>
    <x v="1"/>
    <x v="4"/>
    <s v="Hyderabad"/>
    <s v="Asia - India - Hyderabad"/>
    <s v="Corporate"/>
    <x v="2"/>
    <x v="3"/>
    <x v="1"/>
    <x v="385"/>
    <n v="320.12"/>
    <n v="594.41999999999996"/>
    <n v="594.41999999999996"/>
    <s v="Low"/>
    <n v="0.104"/>
    <n v="0.104"/>
    <x v="0"/>
    <n v="18"/>
    <n v="9586.8057599999993"/>
    <n v="5762.16"/>
    <n v="3824.6457599999994"/>
    <n v="0.39894891538931104"/>
  </r>
  <r>
    <s v="ORD-2024-527858"/>
    <d v="2024-05-07T00:00:00"/>
    <x v="322"/>
    <s v="Q2-2024"/>
    <d v="2024-05-12T00:00:00"/>
    <d v="2024-05-12T00:00:00"/>
    <n v="5"/>
    <n v="5"/>
    <x v="1"/>
    <x v="1"/>
    <x v="0"/>
    <x v="1"/>
    <s v="Abuja"/>
    <s v="Africa - Nigeria - Abuja"/>
    <s v="Non-Profit"/>
    <x v="3"/>
    <x v="4"/>
    <x v="4"/>
    <x v="386"/>
    <n v="1163.99"/>
    <n v="1617.85"/>
    <n v="1617.85"/>
    <s v="Medium"/>
    <n v="0.127"/>
    <n v="0.127"/>
    <x v="0"/>
    <n v="14"/>
    <n v="19773.362699999998"/>
    <n v="16295.86"/>
    <n v="3477.5026999999973"/>
    <n v="0.17586804797749436"/>
  </r>
  <r>
    <s v="ORD-2023-619385"/>
    <d v="2023-09-30T00:00:00"/>
    <x v="323"/>
    <s v="Q3-2023"/>
    <d v="2023-10-03T00:00:00"/>
    <d v="2023-10-03T00:00:00"/>
    <n v="3"/>
    <n v="3"/>
    <x v="1"/>
    <x v="8"/>
    <x v="1"/>
    <x v="9"/>
    <s v="Beijing"/>
    <s v="Asia - China - Beijing"/>
    <s v="Non-Profit"/>
    <x v="0"/>
    <x v="1"/>
    <x v="4"/>
    <x v="387"/>
    <n v="1019.36"/>
    <n v="972.91"/>
    <n v="972.91"/>
    <s v="Medium"/>
    <n v="0.14699999999999999"/>
    <n v="0.14699999999999999"/>
    <x v="0"/>
    <n v="17"/>
    <n v="14108.16791"/>
    <n v="17329.12"/>
    <n v="-3220.9520899999989"/>
    <n v="-0.22830406545678819"/>
  </r>
  <r>
    <s v="ORD-2023-835226"/>
    <d v="2023-10-26T00:00:00"/>
    <x v="324"/>
    <s v="Q4-2023"/>
    <d v="2023-11-05T00:00:00"/>
    <d v="2023-11-05T00:00:00"/>
    <n v="10"/>
    <n v="10"/>
    <x v="0"/>
    <x v="10"/>
    <x v="0"/>
    <x v="11"/>
    <s v="Cape Town"/>
    <s v="Africa - South Africa - Cape Town"/>
    <s v="Non-Profit"/>
    <x v="1"/>
    <x v="2"/>
    <x v="4"/>
    <x v="388"/>
    <n v="20.38"/>
    <n v="42.56"/>
    <n v="42.56"/>
    <s v="Low"/>
    <n v="7.1999999999999995E-2"/>
    <n v="7.1999999999999995E-2"/>
    <x v="0"/>
    <n v="11"/>
    <n v="434.45248000000004"/>
    <n v="224.17999999999998"/>
    <n v="210.27248000000006"/>
    <n v="0.48399419885921713"/>
  </r>
  <r>
    <s v="ORD-2025-485946"/>
    <d v="2025-06-15T00:00:00"/>
    <x v="325"/>
    <s v="Q2-2025"/>
    <d v="2025-06-30T00:00:00"/>
    <d v="2025-06-30T00:00:00"/>
    <n v="15"/>
    <n v="15"/>
    <x v="0"/>
    <x v="10"/>
    <x v="0"/>
    <x v="11"/>
    <s v="Johannesburg"/>
    <s v="Africa - South Africa - Johannesburg"/>
    <s v="Small Business"/>
    <x v="4"/>
    <x v="0"/>
    <x v="5"/>
    <x v="389"/>
    <n v="1487.59"/>
    <n v="1480.83"/>
    <n v="1480.83"/>
    <s v="Medium"/>
    <n v="8.9999999999999993E-3"/>
    <n v="8.9999999999999993E-3"/>
    <x v="0"/>
    <n v="11"/>
    <n v="16142.527829999999"/>
    <n v="16363.49"/>
    <n v="-220.9621700000007"/>
    <n v="-1.3688201273492908E-2"/>
  </r>
  <r>
    <s v="ORD-2024-307849"/>
    <d v="2024-08-10T00:00:00"/>
    <x v="326"/>
    <s v="Q3-2024"/>
    <d v="2024-09-07T00:00:00"/>
    <d v="2024-09-07T00:00:00"/>
    <n v="28"/>
    <n v="28"/>
    <x v="0"/>
    <x v="6"/>
    <x v="3"/>
    <x v="7"/>
    <s v="Marseille"/>
    <s v="Europe - France - Marseille"/>
    <s v="Non-Profit"/>
    <x v="4"/>
    <x v="9"/>
    <x v="1"/>
    <x v="390"/>
    <n v="229.96"/>
    <n v="564.26"/>
    <n v="564.26"/>
    <s v="Low"/>
    <n v="0.105"/>
    <n v="0.105"/>
    <x v="0"/>
    <n v="5"/>
    <n v="2525.0635000000002"/>
    <n v="1149.8"/>
    <n v="1375.2635000000002"/>
    <n v="0.54464511486542821"/>
  </r>
  <r>
    <s v="ORD-2023-368449"/>
    <d v="2023-10-09T00:00:00"/>
    <x v="327"/>
    <s v="Q4-2023"/>
    <d v="2023-10-26T00:00:00"/>
    <d v="2023-10-26T00:00:00"/>
    <n v="17"/>
    <n v="17"/>
    <x v="0"/>
    <x v="8"/>
    <x v="1"/>
    <x v="9"/>
    <s v="Shanghai"/>
    <s v="Asia - China - Shanghai"/>
    <s v="Consumer"/>
    <x v="2"/>
    <x v="0"/>
    <x v="0"/>
    <x v="391"/>
    <n v="1132.03"/>
    <n v="2137.21"/>
    <n v="2137.21"/>
    <s v="High"/>
    <n v="0.35699999999999998"/>
    <n v="0.11861439999999995"/>
    <x v="0"/>
    <n v="35"/>
    <n v="65929.714136160008"/>
    <n v="39621.049999999996"/>
    <n v="26308.664136160012"/>
    <n v="0.39904107701463071"/>
  </r>
  <r>
    <s v="ORD-2024-251426"/>
    <d v="2024-03-09T00:00:00"/>
    <x v="307"/>
    <s v="Q1-2024"/>
    <d v="2024-03-26T00:00:00"/>
    <d v="2024-03-26T00:00:00"/>
    <n v="17"/>
    <n v="17"/>
    <x v="0"/>
    <x v="9"/>
    <x v="2"/>
    <x v="10"/>
    <s v="San Francisco"/>
    <s v="Americas - USA - San Francisco"/>
    <s v="Education"/>
    <x v="4"/>
    <x v="2"/>
    <x v="3"/>
    <x v="392"/>
    <n v="1137.4100000000001"/>
    <n v="1680.93"/>
    <n v="1680.93"/>
    <s v="High"/>
    <n v="0.254"/>
    <n v="0.254"/>
    <x v="1"/>
    <n v="9"/>
    <n v="11285.764020000001"/>
    <n v="10236.69"/>
    <n v="1049.07402"/>
    <n v="9.2955516183121464E-2"/>
  </r>
  <r>
    <s v="ORD-2023-927385"/>
    <d v="2023-05-29T00:00:00"/>
    <x v="328"/>
    <s v="Q2-2023"/>
    <d v="2023-06-20T00:00:00"/>
    <d v="2023-06-20T00:00:00"/>
    <n v="22"/>
    <n v="22"/>
    <x v="0"/>
    <x v="7"/>
    <x v="3"/>
    <x v="8"/>
    <s v="London"/>
    <s v="Europe - United Kingdom - London"/>
    <s v="Small Business"/>
    <x v="4"/>
    <x v="11"/>
    <x v="0"/>
    <x v="393"/>
    <n v="1295.3900000000001"/>
    <n v="2905.06"/>
    <n v="2905.06"/>
    <s v="High"/>
    <n v="0.14799999999999999"/>
    <n v="0.14799999999999999"/>
    <x v="0"/>
    <n v="8"/>
    <n v="19800.88896"/>
    <n v="10363.120000000001"/>
    <n v="9437.7689599999994"/>
    <n v="0.47663359857556614"/>
  </r>
  <r>
    <s v="ORD-2025-486350"/>
    <d v="2025-05-27T00:00:00"/>
    <x v="329"/>
    <s v="Q2-2025"/>
    <d v="2025-06-08T00:00:00"/>
    <d v="2025-06-08T00:00:00"/>
    <n v="12"/>
    <n v="12"/>
    <x v="0"/>
    <x v="2"/>
    <x v="1"/>
    <x v="2"/>
    <s v="Osaka"/>
    <s v="Asia - Japan - Osaka"/>
    <s v="Corporate"/>
    <x v="0"/>
    <x v="10"/>
    <x v="6"/>
    <x v="394"/>
    <n v="653.6"/>
    <n v="842.09"/>
    <n v="842.09"/>
    <s v="Medium"/>
    <n v="9.8000000000000004E-2"/>
    <n v="9.8000000000000004E-2"/>
    <x v="0"/>
    <n v="19"/>
    <n v="14431.738420000001"/>
    <n v="12418.4"/>
    <n v="2013.3384200000019"/>
    <n v="0.13950768517324622"/>
  </r>
  <r>
    <s v="ORD-2025-677880"/>
    <d v="2025-08-21T00:00:00"/>
    <x v="164"/>
    <s v="Q3-2025"/>
    <d v="2025-09-14T00:00:00"/>
    <d v="2025-09-14T00:00:00"/>
    <n v="24"/>
    <n v="24"/>
    <x v="0"/>
    <x v="5"/>
    <x v="3"/>
    <x v="6"/>
    <s v="Berlin"/>
    <s v="Europe - Germany - Berlin"/>
    <s v="Non-Profit"/>
    <x v="1"/>
    <x v="8"/>
    <x v="5"/>
    <x v="395"/>
    <n v="1397.67"/>
    <n v="3131.37"/>
    <n v="3131.37"/>
    <s v="High"/>
    <n v="0.10299999999999999"/>
    <n v="0.10299999999999999"/>
    <x v="0"/>
    <n v="20"/>
    <n v="56176.777799999996"/>
    <n v="27953.4"/>
    <n v="28223.377799999995"/>
    <n v="0.50240293062874808"/>
  </r>
  <r>
    <s v="ORD-2024-102866"/>
    <d v="2024-12-12T00:00:00"/>
    <x v="330"/>
    <s v="Q4-2024"/>
    <d v="2024-12-20T00:00:00"/>
    <d v="2024-12-20T00:00:00"/>
    <n v="8"/>
    <n v="8"/>
    <x v="0"/>
    <x v="2"/>
    <x v="1"/>
    <x v="2"/>
    <s v="Tokyo"/>
    <s v="Asia - Japan - Tokyo"/>
    <s v="Corporate"/>
    <x v="0"/>
    <x v="5"/>
    <x v="4"/>
    <x v="396"/>
    <n v="1202.47"/>
    <n v="1444.72"/>
    <n v="1444.72"/>
    <s v="Medium"/>
    <n v="0.24099999999999999"/>
    <n v="0.24099999999999999"/>
    <x v="1"/>
    <n v="17"/>
    <n v="18641.222160000001"/>
    <n v="20441.990000000002"/>
    <n v="-1800.7678400000004"/>
    <n v="-9.6601382921343834E-2"/>
  </r>
  <r>
    <s v="ORD-2025-588029"/>
    <d v="2025-09-14T00:00:00"/>
    <x v="284"/>
    <s v="Q3-2025"/>
    <d v="2025-09-23T00:00:00"/>
    <d v="2025-09-23T00:00:00"/>
    <n v="9"/>
    <n v="9"/>
    <x v="0"/>
    <x v="10"/>
    <x v="0"/>
    <x v="11"/>
    <s v="Durban"/>
    <s v="Africa - South Africa - Durban"/>
    <s v="Non-Profit"/>
    <x v="1"/>
    <x v="14"/>
    <x v="0"/>
    <x v="397"/>
    <n v="1310.3"/>
    <n v="2875.8"/>
    <n v="2875.8"/>
    <s v="High"/>
    <n v="8.3000000000000004E-2"/>
    <n v="8.3000000000000004E-2"/>
    <x v="0"/>
    <n v="5"/>
    <n v="13185.543"/>
    <n v="6551.5"/>
    <n v="6634.0429999999997"/>
    <n v="0.50313005691157353"/>
  </r>
  <r>
    <s v="ORD-2024-972999"/>
    <d v="2024-09-06T00:00:00"/>
    <x v="331"/>
    <s v="Q3-2024"/>
    <d v="2024-10-04T00:00:00"/>
    <d v="2024-10-04T00:00:00"/>
    <n v="28"/>
    <n v="28"/>
    <x v="0"/>
    <x v="10"/>
    <x v="0"/>
    <x v="11"/>
    <s v="Cape Town"/>
    <s v="Africa - South Africa - Cape Town"/>
    <s v="Corporate"/>
    <x v="2"/>
    <x v="14"/>
    <x v="5"/>
    <x v="398"/>
    <n v="1174.17"/>
    <n v="1641.61"/>
    <n v="1641.61"/>
    <s v="High"/>
    <n v="0.122"/>
    <n v="0.122"/>
    <x v="0"/>
    <n v="9"/>
    <n v="12972.00222"/>
    <n v="10567.53"/>
    <n v="2404.4722199999997"/>
    <n v="0.18535860380079394"/>
  </r>
  <r>
    <s v="ORD-2025-608069"/>
    <d v="2025-04-12T00:00:00"/>
    <x v="332"/>
    <s v="Q2-2025"/>
    <d v="2025-04-30T00:00:00"/>
    <d v="2025-04-30T00:00:00"/>
    <n v="18"/>
    <n v="18"/>
    <x v="0"/>
    <x v="0"/>
    <x v="0"/>
    <x v="0"/>
    <s v="Kisumu"/>
    <s v="Africa - Kenya - Kisumu"/>
    <s v="Corporate"/>
    <x v="2"/>
    <x v="9"/>
    <x v="2"/>
    <x v="399"/>
    <n v="1119.04"/>
    <n v="1299.02"/>
    <n v="1299.02"/>
    <s v="Medium"/>
    <n v="2.5000000000000001E-2"/>
    <n v="2.5000000000000001E-2"/>
    <x v="0"/>
    <n v="14"/>
    <n v="17731.623"/>
    <n v="15666.56"/>
    <n v="2065.0630000000001"/>
    <n v="0.11646215352085933"/>
  </r>
  <r>
    <s v="ORD-2024-626750"/>
    <d v="2024-08-12T00:00:00"/>
    <x v="175"/>
    <s v="Q3-2024"/>
    <d v="2024-08-15T00:00:00"/>
    <d v="2024-08-15T00:00:00"/>
    <n v="3"/>
    <n v="3"/>
    <x v="1"/>
    <x v="9"/>
    <x v="2"/>
    <x v="10"/>
    <s v="Chicago"/>
    <s v="Americas - USA - Chicago"/>
    <s v="Corporate"/>
    <x v="2"/>
    <x v="14"/>
    <x v="1"/>
    <x v="400"/>
    <n v="850.7"/>
    <n v="1118.56"/>
    <n v="1118.56"/>
    <s v="Medium"/>
    <n v="0.18"/>
    <n v="0.18"/>
    <x v="0"/>
    <n v="19"/>
    <n v="17427.164800000002"/>
    <n v="16163.300000000001"/>
    <n v="1263.8648000000012"/>
    <n v="7.2522685962090688E-2"/>
  </r>
  <r>
    <s v="ORD-2024-170021"/>
    <d v="2024-11-05T00:00:00"/>
    <x v="333"/>
    <s v="Q4-2024"/>
    <d v="2024-11-08T00:00:00"/>
    <d v="2024-11-08T00:00:00"/>
    <n v="3"/>
    <n v="3"/>
    <x v="1"/>
    <x v="3"/>
    <x v="2"/>
    <x v="3"/>
    <s v="Toronto"/>
    <s v="Americas - Canada - Toronto"/>
    <s v="Education"/>
    <x v="2"/>
    <x v="7"/>
    <x v="0"/>
    <x v="401"/>
    <n v="1020.4"/>
    <n v="1184.71"/>
    <n v="1184.71"/>
    <s v="Medium"/>
    <n v="0.106"/>
    <n v="0.106"/>
    <x v="0"/>
    <n v="16"/>
    <n v="16946.091840000001"/>
    <n v="16326.4"/>
    <n v="619.69184000000132"/>
    <n v="3.6568422138328345E-2"/>
  </r>
  <r>
    <s v="ORD-2024-678110"/>
    <d v="2024-07-24T00:00:00"/>
    <x v="334"/>
    <s v="Q3-2024"/>
    <d v="2024-08-08T00:00:00"/>
    <d v="2024-08-08T00:00:00"/>
    <n v="15"/>
    <n v="15"/>
    <x v="0"/>
    <x v="6"/>
    <x v="3"/>
    <x v="7"/>
    <s v="Marseille"/>
    <s v="Europe - France - Marseille"/>
    <s v="Enterprise"/>
    <x v="2"/>
    <x v="10"/>
    <x v="4"/>
    <x v="402"/>
    <n v="501.5"/>
    <n v="1201.47"/>
    <n v="1201.47"/>
    <s v="Medium"/>
    <n v="0.126"/>
    <n v="0.126"/>
    <x v="0"/>
    <n v="5"/>
    <n v="5250.4239000000007"/>
    <n v="2507.5"/>
    <n v="2742.9239000000007"/>
    <n v="0.52241951359394057"/>
  </r>
  <r>
    <s v="ORD-2025-909340"/>
    <d v="2025-01-20T00:00:00"/>
    <x v="335"/>
    <s v="Q1-2025"/>
    <d v="2025-02-03T00:00:00"/>
    <d v="2025-02-03T00:00:00"/>
    <n v="14"/>
    <n v="14"/>
    <x v="0"/>
    <x v="4"/>
    <x v="2"/>
    <x v="5"/>
    <s v="Brasília"/>
    <s v="Americas - Brazil - Brasília"/>
    <s v="Enterprise"/>
    <x v="2"/>
    <x v="9"/>
    <x v="0"/>
    <x v="403"/>
    <n v="974.11"/>
    <n v="880.99"/>
    <n v="880.99"/>
    <s v="Medium"/>
    <n v="0.111"/>
    <n v="0.111"/>
    <x v="0"/>
    <n v="10"/>
    <n v="7832.0010999999995"/>
    <n v="9741.1"/>
    <n v="-1909.0989000000009"/>
    <n v="-0.2437562093805121"/>
  </r>
  <r>
    <s v="ORD-2023-854471"/>
    <d v="2023-03-06T00:00:00"/>
    <x v="336"/>
    <s v="Q1-2023"/>
    <d v="2023-04-04T00:00:00"/>
    <d v="2023-04-04T00:00:00"/>
    <n v="29"/>
    <n v="29"/>
    <x v="0"/>
    <x v="8"/>
    <x v="1"/>
    <x v="9"/>
    <s v="Beijing"/>
    <s v="Asia - China - Beijing"/>
    <s v="Small Business"/>
    <x v="4"/>
    <x v="0"/>
    <x v="5"/>
    <x v="404"/>
    <n v="1126.29"/>
    <n v="2050.87"/>
    <n v="2050.87"/>
    <s v="High"/>
    <n v="6.4000000000000001E-2"/>
    <n v="6.4000000000000001E-2"/>
    <x v="0"/>
    <n v="7"/>
    <n v="13437.300239999999"/>
    <n v="7884.03"/>
    <n v="5553.2702399999989"/>
    <n v="0.41327276616690373"/>
  </r>
  <r>
    <s v="ORD-2024-390951"/>
    <d v="2024-12-20T00:00:00"/>
    <x v="337"/>
    <s v="Q4-2024"/>
    <d v="2025-01-14T00:00:00"/>
    <d v="2025-01-14T00:00:00"/>
    <n v="25"/>
    <n v="25"/>
    <x v="0"/>
    <x v="4"/>
    <x v="1"/>
    <x v="4"/>
    <s v="Delhi"/>
    <s v="Asia - India - Delhi"/>
    <s v="Small Business"/>
    <x v="0"/>
    <x v="12"/>
    <x v="1"/>
    <x v="405"/>
    <n v="1361.34"/>
    <n v="1737.9"/>
    <n v="1737.9"/>
    <s v="High"/>
    <n v="7.6999999999999999E-2"/>
    <n v="7.6999999999999999E-2"/>
    <x v="0"/>
    <n v="14"/>
    <n v="22457.143800000002"/>
    <n v="19058.759999999998"/>
    <n v="3398.3838000000032"/>
    <n v="0.15132751654731813"/>
  </r>
  <r>
    <s v="ORD-2025-881624"/>
    <d v="2025-02-21T00:00:00"/>
    <x v="338"/>
    <s v="Q1-2025"/>
    <d v="2025-03-21T00:00:00"/>
    <d v="2025-03-21T00:00:00"/>
    <n v="28"/>
    <n v="28"/>
    <x v="0"/>
    <x v="1"/>
    <x v="0"/>
    <x v="1"/>
    <s v="Abuja"/>
    <s v="Africa - Nigeria - Abuja"/>
    <s v="Enterprise"/>
    <x v="2"/>
    <x v="2"/>
    <x v="3"/>
    <x v="406"/>
    <n v="1437.39"/>
    <n v="1388.31"/>
    <n v="1388.31"/>
    <s v="Medium"/>
    <n v="0.13800000000000001"/>
    <n v="0.13800000000000001"/>
    <x v="0"/>
    <n v="18"/>
    <n v="21541.017959999997"/>
    <n v="25873.02"/>
    <n v="-4332.002040000003"/>
    <n v="-0.20110479681341872"/>
  </r>
  <r>
    <s v="ORD-2025-512310"/>
    <d v="2025-03-08T00:00:00"/>
    <x v="339"/>
    <s v="Q1-2025"/>
    <d v="2025-03-15T00:00:00"/>
    <d v="2025-03-15T00:00:00"/>
    <n v="7"/>
    <n v="7"/>
    <x v="1"/>
    <x v="4"/>
    <x v="1"/>
    <x v="4"/>
    <s v="Bengaluru"/>
    <s v="Asia - India - Bengaluru"/>
    <s v="Corporate"/>
    <x v="3"/>
    <x v="11"/>
    <x v="4"/>
    <x v="407"/>
    <n v="475.66"/>
    <n v="529.14"/>
    <n v="529.14"/>
    <s v="Low"/>
    <n v="0.19600000000000001"/>
    <n v="0.19600000000000001"/>
    <x v="0"/>
    <n v="11"/>
    <n v="4679.7141600000004"/>
    <n v="5232.26"/>
    <n v="-552.54583999999977"/>
    <n v="-0.11807256193613323"/>
  </r>
  <r>
    <s v="ORD-2023-674887"/>
    <d v="2023-12-16T00:00:00"/>
    <x v="340"/>
    <s v="Q4-2023"/>
    <d v="2023-12-19T00:00:00"/>
    <d v="2023-12-19T00:00:00"/>
    <n v="3"/>
    <n v="3"/>
    <x v="1"/>
    <x v="8"/>
    <x v="1"/>
    <x v="9"/>
    <s v="Beijing"/>
    <s v="Asia - China - Beijing"/>
    <s v="Education"/>
    <x v="0"/>
    <x v="8"/>
    <x v="6"/>
    <x v="408"/>
    <n v="1415.05"/>
    <n v="1972.38"/>
    <n v="1972.38"/>
    <s v="High"/>
    <n v="0"/>
    <n v="0"/>
    <x v="0"/>
    <n v="12"/>
    <n v="23668.560000000001"/>
    <n v="16980.599999999999"/>
    <n v="6687.9600000000028"/>
    <n v="0.28256725377462771"/>
  </r>
  <r>
    <s v="ORD-2024-542244"/>
    <d v="2024-08-30T00:00:00"/>
    <x v="341"/>
    <s v="Q3-2024"/>
    <d v="2024-09-05T00:00:00"/>
    <d v="2024-09-05T00:00:00"/>
    <n v="6"/>
    <n v="6"/>
    <x v="1"/>
    <x v="2"/>
    <x v="1"/>
    <x v="2"/>
    <s v="Nagoya"/>
    <s v="Asia - Japan - Nagoya"/>
    <s v="Education"/>
    <x v="1"/>
    <x v="13"/>
    <x v="4"/>
    <x v="409"/>
    <n v="466.16"/>
    <n v="876.81"/>
    <n v="876.81"/>
    <s v="Medium"/>
    <n v="0.24099999999999999"/>
    <n v="0.24099999999999999"/>
    <x v="1"/>
    <n v="8"/>
    <n v="5323.9903199999999"/>
    <n v="3729.28"/>
    <n v="1594.7103199999997"/>
    <n v="0.29953291124691594"/>
  </r>
  <r>
    <s v="ORD-2024-375848"/>
    <d v="2024-05-18T00:00:00"/>
    <x v="22"/>
    <s v="Q2-2024"/>
    <d v="2024-05-21T00:00:00"/>
    <d v="2024-05-21T00:00:00"/>
    <n v="3"/>
    <n v="3"/>
    <x v="1"/>
    <x v="6"/>
    <x v="3"/>
    <x v="7"/>
    <s v="Marseille"/>
    <s v="Europe - France - Marseille"/>
    <s v="Non-Profit"/>
    <x v="2"/>
    <x v="14"/>
    <x v="1"/>
    <x v="410"/>
    <n v="663.66"/>
    <n v="824.26"/>
    <n v="824.26"/>
    <s v="Medium"/>
    <n v="0.23899999999999999"/>
    <n v="0.23899999999999999"/>
    <x v="1"/>
    <n v="11"/>
    <n v="6899.8804600000003"/>
    <n v="7300.2599999999993"/>
    <n v="-400.379539999999"/>
    <n v="-5.8027025587048933E-2"/>
  </r>
  <r>
    <s v="ORD-2023-933238"/>
    <d v="2023-03-17T00:00:00"/>
    <x v="342"/>
    <s v="Q1-2023"/>
    <d v="2023-04-06T00:00:00"/>
    <d v="2023-04-06T00:00:00"/>
    <n v="20"/>
    <n v="20"/>
    <x v="0"/>
    <x v="5"/>
    <x v="3"/>
    <x v="6"/>
    <s v="Munich"/>
    <s v="Europe - Germany - Munich"/>
    <s v="Consumer"/>
    <x v="0"/>
    <x v="7"/>
    <x v="3"/>
    <x v="411"/>
    <n v="692.18"/>
    <n v="1159.3499999999999"/>
    <n v="1159.3499999999999"/>
    <s v="Medium"/>
    <n v="0.112"/>
    <n v="0.112"/>
    <x v="0"/>
    <n v="2"/>
    <n v="2059.0056"/>
    <n v="1384.36"/>
    <n v="674.64560000000006"/>
    <n v="0.32765602968734037"/>
  </r>
  <r>
    <s v="ORD-2023-732585"/>
    <d v="2023-08-25T00:00:00"/>
    <x v="343"/>
    <s v="Q3-2023"/>
    <d v="2023-09-16T00:00:00"/>
    <d v="2023-09-16T00:00:00"/>
    <n v="22"/>
    <n v="22"/>
    <x v="0"/>
    <x v="1"/>
    <x v="0"/>
    <x v="1"/>
    <s v="Abuja"/>
    <s v="Africa - Nigeria - Abuja"/>
    <s v="Corporate"/>
    <x v="2"/>
    <x v="4"/>
    <x v="3"/>
    <x v="412"/>
    <n v="1196.83"/>
    <n v="2513.5100000000002"/>
    <n v="2513.5100000000002"/>
    <s v="High"/>
    <n v="8.3000000000000004E-2"/>
    <n v="8.3000000000000004E-2"/>
    <x v="0"/>
    <n v="7"/>
    <n v="16134.22069"/>
    <n v="8377.81"/>
    <n v="7756.4106900000006"/>
    <n v="0.48074281609445374"/>
  </r>
  <r>
    <s v="ORD-2024-465898"/>
    <d v="2024-06-06T00:00:00"/>
    <x v="344"/>
    <s v="Q2-2024"/>
    <d v="2024-06-24T00:00:00"/>
    <d v="2024-06-24T00:00:00"/>
    <n v="18"/>
    <n v="18"/>
    <x v="0"/>
    <x v="4"/>
    <x v="1"/>
    <x v="4"/>
    <s v="Bengaluru"/>
    <s v="Asia - India - Bengaluru"/>
    <s v="Small Business"/>
    <x v="4"/>
    <x v="10"/>
    <x v="2"/>
    <x v="413"/>
    <n v="1253.25"/>
    <n v="3087.13"/>
    <n v="3087.13"/>
    <s v="High"/>
    <n v="7.1999999999999995E-2"/>
    <n v="7.1999999999999995E-2"/>
    <x v="0"/>
    <n v="11"/>
    <n v="31513.423040000001"/>
    <n v="13785.75"/>
    <n v="17727.673040000001"/>
    <n v="0.562543555408064"/>
  </r>
  <r>
    <s v="ORD-2023-987081"/>
    <d v="2023-08-29T00:00:00"/>
    <x v="345"/>
    <s v="Q3-2023"/>
    <d v="2023-09-13T00:00:00"/>
    <d v="2023-09-13T00:00:00"/>
    <n v="15"/>
    <n v="15"/>
    <x v="0"/>
    <x v="3"/>
    <x v="2"/>
    <x v="3"/>
    <s v="Vancouver"/>
    <s v="Americas - Canada - Vancouver"/>
    <s v="Small Business"/>
    <x v="2"/>
    <x v="7"/>
    <x v="1"/>
    <x v="414"/>
    <n v="1287.6400000000001"/>
    <n v="2717.15"/>
    <n v="2717.15"/>
    <s v="High"/>
    <n v="3.2000000000000001E-2"/>
    <n v="3.2000000000000001E-2"/>
    <x v="0"/>
    <n v="7"/>
    <n v="18411.4084"/>
    <n v="9013.4800000000014"/>
    <n v="9397.9283999999989"/>
    <n v="0.51044049405802105"/>
  </r>
  <r>
    <s v="ORD-2024-655710"/>
    <d v="2024-11-30T00:00:00"/>
    <x v="25"/>
    <s v="Q4-2024"/>
    <d v="2024-12-10T00:00:00"/>
    <d v="2024-12-10T00:00:00"/>
    <n v="10"/>
    <n v="10"/>
    <x v="0"/>
    <x v="4"/>
    <x v="1"/>
    <x v="4"/>
    <s v="Hyderabad"/>
    <s v="Asia - India - Hyderabad"/>
    <s v="Small Business"/>
    <x v="0"/>
    <x v="9"/>
    <x v="6"/>
    <x v="415"/>
    <n v="851.49"/>
    <n v="901.79"/>
    <n v="901.79"/>
    <s v="Medium"/>
    <n v="0.245"/>
    <n v="0.245"/>
    <x v="1"/>
    <n v="16"/>
    <n v="10893.6232"/>
    <n v="13623.84"/>
    <n v="-2730.2168000000001"/>
    <n v="-0.25062522816100341"/>
  </r>
  <r>
    <s v="ORD-2025-411385"/>
    <d v="2025-06-05T00:00:00"/>
    <x v="346"/>
    <s v="Q2-2025"/>
    <d v="2025-06-14T00:00:00"/>
    <d v="2025-06-14T00:00:00"/>
    <n v="9"/>
    <n v="9"/>
    <x v="0"/>
    <x v="4"/>
    <x v="1"/>
    <x v="4"/>
    <s v="Delhi"/>
    <s v="Asia - India - Delhi"/>
    <s v="Non-Profit"/>
    <x v="0"/>
    <x v="8"/>
    <x v="6"/>
    <x v="416"/>
    <n v="618.69000000000005"/>
    <n v="796.15"/>
    <n v="796.15"/>
    <s v="Low"/>
    <n v="0.09"/>
    <n v="0.09"/>
    <x v="0"/>
    <n v="11"/>
    <n v="7969.4615000000003"/>
    <n v="6805.59"/>
    <n v="1163.8715000000002"/>
    <n v="0.14604142325049191"/>
  </r>
  <r>
    <s v="ORD-2025-222035"/>
    <d v="2025-03-14T00:00:00"/>
    <x v="252"/>
    <s v="Q1-2025"/>
    <d v="2025-04-08T00:00:00"/>
    <d v="2025-04-08T00:00:00"/>
    <n v="25"/>
    <n v="25"/>
    <x v="0"/>
    <x v="8"/>
    <x v="1"/>
    <x v="9"/>
    <s v="Shanghai"/>
    <s v="Asia - China - Shanghai"/>
    <s v="Corporate"/>
    <x v="3"/>
    <x v="14"/>
    <x v="1"/>
    <x v="417"/>
    <n v="80.59"/>
    <n v="157.82"/>
    <n v="157.82"/>
    <s v="Low"/>
    <n v="0.217"/>
    <n v="0.217"/>
    <x v="1"/>
    <n v="6"/>
    <n v="741.43835999999999"/>
    <n v="483.54"/>
    <n v="257.89835999999997"/>
    <n v="0.34783519967863541"/>
  </r>
  <r>
    <s v="ORD-2024-749242"/>
    <d v="2024-01-16T00:00:00"/>
    <x v="347"/>
    <s v="Q1-2024"/>
    <d v="2024-02-11T00:00:00"/>
    <d v="2024-02-11T00:00:00"/>
    <n v="26"/>
    <n v="26"/>
    <x v="0"/>
    <x v="5"/>
    <x v="3"/>
    <x v="6"/>
    <s v="Frankfurt"/>
    <s v="Europe - Germany - Frankfurt"/>
    <s v="Non-Profit"/>
    <x v="3"/>
    <x v="6"/>
    <x v="5"/>
    <x v="418"/>
    <n v="504.93"/>
    <n v="819.06"/>
    <n v="819.06"/>
    <s v="Medium"/>
    <n v="0.22600000000000001"/>
    <n v="0.22600000000000001"/>
    <x v="1"/>
    <n v="15"/>
    <n v="9509.2865999999995"/>
    <n v="7573.95"/>
    <n v="1935.3365999999996"/>
    <n v="0.20352069312959814"/>
  </r>
  <r>
    <s v="ORD-2023-623293"/>
    <d v="2023-10-12T00:00:00"/>
    <x v="348"/>
    <s v="Q4-2023"/>
    <d v="2023-10-29T00:00:00"/>
    <d v="2023-10-29T00:00:00"/>
    <n v="17"/>
    <n v="17"/>
    <x v="0"/>
    <x v="2"/>
    <x v="1"/>
    <x v="2"/>
    <s v="Nagoya"/>
    <s v="Asia - Japan - Nagoya"/>
    <s v="Non-Profit"/>
    <x v="4"/>
    <x v="10"/>
    <x v="3"/>
    <x v="419"/>
    <n v="1102.19"/>
    <n v="1711.16"/>
    <n v="1711.16"/>
    <s v="High"/>
    <n v="0.151"/>
    <n v="0.151"/>
    <x v="0"/>
    <n v="10"/>
    <n v="14527.748400000002"/>
    <n v="11021.900000000001"/>
    <n v="3505.8484000000008"/>
    <n v="0.24132083675127525"/>
  </r>
  <r>
    <s v="ORD-2025-276968"/>
    <d v="2025-02-25T00:00:00"/>
    <x v="349"/>
    <s v="Q1-2025"/>
    <d v="2025-03-17T00:00:00"/>
    <d v="2025-03-17T00:00:00"/>
    <n v="20"/>
    <n v="20"/>
    <x v="0"/>
    <x v="9"/>
    <x v="2"/>
    <x v="10"/>
    <s v="San Francisco"/>
    <s v="Americas - USA - San Francisco"/>
    <s v="Non-Profit"/>
    <x v="2"/>
    <x v="10"/>
    <x v="3"/>
    <x v="420"/>
    <n v="1205.26"/>
    <n v="1696.35"/>
    <n v="1696.35"/>
    <s v="High"/>
    <n v="1.9E-2"/>
    <n v="1.9E-2"/>
    <x v="0"/>
    <n v="6"/>
    <n v="9984.7160999999978"/>
    <n v="7231.5599999999995"/>
    <n v="2753.1560999999983"/>
    <n v="0.27573704374028213"/>
  </r>
  <r>
    <s v="ORD-2025-650841"/>
    <d v="2025-07-03T00:00:00"/>
    <x v="350"/>
    <s v="Q3-2025"/>
    <d v="2025-07-06T00:00:00"/>
    <d v="2025-07-06T00:00:00"/>
    <n v="3"/>
    <n v="3"/>
    <x v="1"/>
    <x v="1"/>
    <x v="0"/>
    <x v="1"/>
    <s v="Lagos"/>
    <s v="Africa - Nigeria - Lagos"/>
    <s v="Consumer"/>
    <x v="1"/>
    <x v="8"/>
    <x v="4"/>
    <x v="421"/>
    <n v="1313.3"/>
    <n v="2884.34"/>
    <n v="2884.34"/>
    <s v="High"/>
    <n v="0.157"/>
    <n v="0.157"/>
    <x v="0"/>
    <n v="42"/>
    <n v="102122.94203999999"/>
    <n v="55158.6"/>
    <n v="46964.342039999996"/>
    <n v="0.45988042551305253"/>
  </r>
  <r>
    <s v="ORD-2025-831576"/>
    <d v="2025-09-15T00:00:00"/>
    <x v="165"/>
    <s v="Q3-2025"/>
    <d v="2025-09-25T00:00:00"/>
    <d v="2025-09-25T00:00:00"/>
    <n v="10"/>
    <n v="10"/>
    <x v="0"/>
    <x v="4"/>
    <x v="1"/>
    <x v="4"/>
    <s v="Delhi"/>
    <s v="Asia - India - Delhi"/>
    <s v="Consumer"/>
    <x v="0"/>
    <x v="8"/>
    <x v="3"/>
    <x v="422"/>
    <n v="1488.91"/>
    <n v="1483.74"/>
    <n v="1483.74"/>
    <s v="Medium"/>
    <n v="0.16800000000000001"/>
    <n v="0.16800000000000001"/>
    <x v="0"/>
    <n v="24"/>
    <n v="29627.320319999999"/>
    <n v="35733.840000000004"/>
    <n v="-6106.5196800000049"/>
    <n v="-0.20611110333450519"/>
  </r>
  <r>
    <s v="ORD-2024-468655"/>
    <d v="2024-02-19T00:00:00"/>
    <x v="351"/>
    <s v="Q1-2024"/>
    <d v="2024-03-06T00:00:00"/>
    <d v="2024-03-06T00:00:00"/>
    <n v="16"/>
    <n v="16"/>
    <x v="0"/>
    <x v="8"/>
    <x v="1"/>
    <x v="9"/>
    <s v="Beijing"/>
    <s v="Asia - China - Beijing"/>
    <s v="Education"/>
    <x v="2"/>
    <x v="7"/>
    <x v="1"/>
    <x v="423"/>
    <n v="1477.84"/>
    <n v="3197.47"/>
    <n v="3197.47"/>
    <s v="High"/>
    <n v="0.24299999999999999"/>
    <n v="0.24299999999999999"/>
    <x v="1"/>
    <n v="24"/>
    <n v="58091.634960000003"/>
    <n v="35468.159999999996"/>
    <n v="22623.474960000007"/>
    <n v="0.38944462443823091"/>
  </r>
  <r>
    <s v="ORD-2024-515105"/>
    <d v="2024-02-27T00:00:00"/>
    <x v="352"/>
    <s v="Q1-2024"/>
    <d v="2024-03-26T00:00:00"/>
    <d v="2024-03-26T00:00:00"/>
    <n v="28"/>
    <n v="28"/>
    <x v="0"/>
    <x v="4"/>
    <x v="1"/>
    <x v="4"/>
    <s v="Mumbai"/>
    <s v="Asia - India - Mumbai"/>
    <s v="Education"/>
    <x v="2"/>
    <x v="3"/>
    <x v="4"/>
    <x v="424"/>
    <n v="1035.19"/>
    <n v="2322.6999999999998"/>
    <n v="2322.6999999999998"/>
    <s v="High"/>
    <n v="0.17299999999999999"/>
    <n v="0.17299999999999999"/>
    <x v="0"/>
    <n v="8"/>
    <n v="15366.983199999999"/>
    <n v="8281.52"/>
    <n v="7085.4631999999983"/>
    <n v="0.46108355217047409"/>
  </r>
  <r>
    <s v="ORD-2025-803803"/>
    <d v="2025-08-28T00:00:00"/>
    <x v="257"/>
    <s v="Q3-2025"/>
    <d v="2025-09-05T00:00:00"/>
    <d v="2025-09-05T00:00:00"/>
    <n v="8"/>
    <n v="8"/>
    <x v="0"/>
    <x v="1"/>
    <x v="0"/>
    <x v="1"/>
    <s v="Port Harcourt"/>
    <s v="Africa - Nigeria - Port Harcourt"/>
    <s v="Small Business"/>
    <x v="2"/>
    <x v="6"/>
    <x v="4"/>
    <x v="425"/>
    <n v="1271.0999999999999"/>
    <n v="1932.42"/>
    <n v="1932.42"/>
    <s v="High"/>
    <n v="0.25"/>
    <n v="0.25"/>
    <x v="1"/>
    <n v="21"/>
    <n v="30435.614999999998"/>
    <n v="26693.1"/>
    <n v="3742.5149999999994"/>
    <n v="0.12296498690760807"/>
  </r>
  <r>
    <s v="ORD-2024-993481"/>
    <d v="2024-08-18T00:00:00"/>
    <x v="353"/>
    <s v="Q3-2024"/>
    <d v="2024-09-12T00:00:00"/>
    <d v="2024-09-12T00:00:00"/>
    <n v="25"/>
    <n v="25"/>
    <x v="0"/>
    <x v="4"/>
    <x v="1"/>
    <x v="4"/>
    <s v="Mumbai"/>
    <s v="Asia - India - Mumbai"/>
    <s v="Consumer"/>
    <x v="2"/>
    <x v="0"/>
    <x v="3"/>
    <x v="426"/>
    <n v="1154.03"/>
    <n v="1590.36"/>
    <n v="1590.36"/>
    <s v="Medium"/>
    <n v="0.314"/>
    <n v="0.11861439999999995"/>
    <x v="0"/>
    <n v="18"/>
    <n v="25230.967250687998"/>
    <n v="20772.54"/>
    <n v="4458.427250687997"/>
    <n v="0.17670457126713701"/>
  </r>
  <r>
    <s v="ORD-2024-811752"/>
    <d v="2024-02-25T00:00:00"/>
    <x v="354"/>
    <s v="Q1-2024"/>
    <d v="2024-03-09T00:00:00"/>
    <d v="2024-03-09T00:00:00"/>
    <n v="13"/>
    <n v="13"/>
    <x v="0"/>
    <x v="6"/>
    <x v="3"/>
    <x v="7"/>
    <s v="Marseille"/>
    <s v="Europe - France - Marseille"/>
    <s v="Small Business"/>
    <x v="3"/>
    <x v="6"/>
    <x v="5"/>
    <x v="427"/>
    <n v="322.44"/>
    <n v="395.61"/>
    <n v="395.61"/>
    <s v="Low"/>
    <n v="0"/>
    <n v="0"/>
    <x v="0"/>
    <n v="34"/>
    <n v="13450.74"/>
    <n v="10962.96"/>
    <n v="2487.7800000000007"/>
    <n v="0.18495487980586947"/>
  </r>
  <r>
    <s v="ORD-2025-673091"/>
    <d v="2025-05-07T00:00:00"/>
    <x v="355"/>
    <s v="Q2-2025"/>
    <d v="2025-05-13T00:00:00"/>
    <d v="2025-05-13T00:00:00"/>
    <n v="6"/>
    <n v="6"/>
    <x v="1"/>
    <x v="4"/>
    <x v="1"/>
    <x v="4"/>
    <s v="Bengaluru"/>
    <s v="Asia - India - Bengaluru"/>
    <s v="Enterprise"/>
    <x v="4"/>
    <x v="1"/>
    <x v="3"/>
    <x v="428"/>
    <n v="935.98"/>
    <n v="2077.69"/>
    <n v="2077.69"/>
    <s v="High"/>
    <n v="0.17499999999999999"/>
    <n v="0.17499999999999999"/>
    <x v="0"/>
    <n v="24"/>
    <n v="41138.261999999995"/>
    <n v="22463.52"/>
    <n v="18674.741999999995"/>
    <n v="0.45395067978321491"/>
  </r>
  <r>
    <s v="ORD-2024-381197"/>
    <d v="2024-11-01T00:00:00"/>
    <x v="356"/>
    <s v="Q4-2024"/>
    <d v="2024-11-12T00:00:00"/>
    <d v="2024-11-12T00:00:00"/>
    <n v="11"/>
    <n v="11"/>
    <x v="0"/>
    <x v="5"/>
    <x v="3"/>
    <x v="6"/>
    <s v="Frankfurt"/>
    <s v="Europe - Germany - Frankfurt"/>
    <s v="Consumer"/>
    <x v="1"/>
    <x v="5"/>
    <x v="1"/>
    <x v="429"/>
    <n v="599.84"/>
    <n v="1330.85"/>
    <n v="1330.85"/>
    <s v="Medium"/>
    <n v="0.115"/>
    <n v="0.115"/>
    <x v="0"/>
    <n v="11"/>
    <n v="12955.824749999998"/>
    <n v="6598.2400000000007"/>
    <n v="6357.5847499999973"/>
    <n v="0.49071246892252063"/>
  </r>
  <r>
    <s v="ORD-2024-651852"/>
    <d v="2024-12-28T00:00:00"/>
    <x v="357"/>
    <s v="Q4-2024"/>
    <d v="2025-01-08T00:00:00"/>
    <d v="2025-01-08T00:00:00"/>
    <n v="11"/>
    <n v="11"/>
    <x v="0"/>
    <x v="8"/>
    <x v="1"/>
    <x v="9"/>
    <s v="Shenzhen"/>
    <s v="Asia - China - Shenzhen"/>
    <s v="Enterprise"/>
    <x v="1"/>
    <x v="11"/>
    <x v="4"/>
    <x v="430"/>
    <n v="1201.31"/>
    <n v="2764.65"/>
    <n v="2764.65"/>
    <s v="High"/>
    <n v="0"/>
    <n v="0"/>
    <x v="0"/>
    <n v="21"/>
    <n v="58057.65"/>
    <n v="25227.51"/>
    <n v="32830.14"/>
    <n v="0.56547483406579491"/>
  </r>
  <r>
    <s v="ORD-2023-659070"/>
    <d v="2023-10-21T00:00:00"/>
    <x v="259"/>
    <s v="Q4-2023"/>
    <d v="2023-10-21T00:00:00"/>
    <d v="2023-10-21T00:00:00"/>
    <n v="0"/>
    <n v="0"/>
    <x v="1"/>
    <x v="7"/>
    <x v="3"/>
    <x v="8"/>
    <s v="Manchester"/>
    <s v="Europe - United Kingdom - Manchester"/>
    <s v="Enterprise"/>
    <x v="3"/>
    <x v="1"/>
    <x v="5"/>
    <x v="431"/>
    <n v="384.19"/>
    <n v="278.35000000000002"/>
    <n v="278.35000000000002"/>
    <s v="Low"/>
    <n v="5.6000000000000001E-2"/>
    <n v="5.6000000000000001E-2"/>
    <x v="0"/>
    <n v="10"/>
    <n v="2627.6239999999998"/>
    <n v="3841.9"/>
    <n v="-1214.2760000000003"/>
    <n v="-0.46211938998882657"/>
  </r>
  <r>
    <s v="ORD-2024-837651"/>
    <d v="2024-12-10T00:00:00"/>
    <x v="16"/>
    <s v="Q4-2024"/>
    <d v="2024-12-19T00:00:00"/>
    <d v="2024-12-19T00:00:00"/>
    <n v="9"/>
    <n v="9"/>
    <x v="0"/>
    <x v="1"/>
    <x v="0"/>
    <x v="1"/>
    <s v="Lagos"/>
    <s v="Africa - Nigeria - Lagos"/>
    <s v="Corporate"/>
    <x v="0"/>
    <x v="7"/>
    <x v="5"/>
    <x v="432"/>
    <n v="488.68"/>
    <n v="984.36"/>
    <n v="984.36"/>
    <s v="Medium"/>
    <n v="5.8999999999999997E-2"/>
    <n v="5.8999999999999997E-2"/>
    <x v="0"/>
    <n v="14"/>
    <n v="12967.958640000001"/>
    <n v="6841.52"/>
    <n v="6126.4386400000003"/>
    <n v="0.47242891576649876"/>
  </r>
  <r>
    <s v="ORD-2024-581530"/>
    <d v="2024-09-07T00:00:00"/>
    <x v="255"/>
    <s v="Q3-2024"/>
    <d v="2024-09-18T00:00:00"/>
    <d v="2024-09-18T00:00:00"/>
    <n v="11"/>
    <n v="11"/>
    <x v="0"/>
    <x v="8"/>
    <x v="1"/>
    <x v="9"/>
    <s v="Beijing"/>
    <s v="Asia - China - Beijing"/>
    <s v="Consumer"/>
    <x v="3"/>
    <x v="7"/>
    <x v="2"/>
    <x v="433"/>
    <n v="181.74"/>
    <n v="190.84"/>
    <n v="190.84"/>
    <s v="Low"/>
    <n v="0.214"/>
    <n v="0.214"/>
    <x v="1"/>
    <n v="13"/>
    <n v="1950.0031200000001"/>
    <n v="2362.62"/>
    <n v="-412.61687999999981"/>
    <n v="-0.21159806144310159"/>
  </r>
  <r>
    <s v="ORD-2023-378104"/>
    <d v="2023-10-18T00:00:00"/>
    <x v="358"/>
    <s v="Q4-2023"/>
    <d v="2023-10-20T00:00:00"/>
    <d v="2023-10-20T00:00:00"/>
    <n v="2"/>
    <n v="2"/>
    <x v="1"/>
    <x v="0"/>
    <x v="0"/>
    <x v="0"/>
    <s v="Kisumu"/>
    <s v="Africa - Kenya - Kisumu"/>
    <s v="Consumer"/>
    <x v="0"/>
    <x v="1"/>
    <x v="3"/>
    <x v="434"/>
    <n v="774.12"/>
    <n v="908.3"/>
    <n v="908.3"/>
    <s v="Medium"/>
    <n v="0"/>
    <n v="0"/>
    <x v="0"/>
    <n v="30"/>
    <n v="27249"/>
    <n v="23223.599999999999"/>
    <n v="4025.4000000000015"/>
    <n v="0.14772652207420461"/>
  </r>
  <r>
    <s v="ORD-2024-972318"/>
    <d v="2024-12-24T00:00:00"/>
    <x v="359"/>
    <s v="Q4-2024"/>
    <d v="2025-01-13T00:00:00"/>
    <d v="2025-01-13T00:00:00"/>
    <n v="20"/>
    <n v="20"/>
    <x v="0"/>
    <x v="4"/>
    <x v="1"/>
    <x v="4"/>
    <s v="Bengaluru"/>
    <s v="Asia - India - Bengaluru"/>
    <s v="Corporate"/>
    <x v="2"/>
    <x v="14"/>
    <x v="2"/>
    <x v="435"/>
    <n v="126.15"/>
    <n v="284.23"/>
    <n v="284.23"/>
    <s v="Low"/>
    <n v="0.113"/>
    <n v="0.113"/>
    <x v="0"/>
    <n v="22"/>
    <n v="5546.4642200000008"/>
    <n v="2775.3"/>
    <n v="2771.1642200000006"/>
    <n v="0.49962716968541088"/>
  </r>
  <r>
    <s v="ORD-2023-752962"/>
    <d v="2023-04-21T00:00:00"/>
    <x v="67"/>
    <s v="Q2-2023"/>
    <d v="2023-04-19T00:00:00"/>
    <d v="2023-05-07T00:00:00"/>
    <n v="-2"/>
    <n v="16"/>
    <x v="0"/>
    <x v="2"/>
    <x v="1"/>
    <x v="2"/>
    <s v="Nagoya"/>
    <s v="Asia - Japan - Nagoya"/>
    <s v="Small Business"/>
    <x v="4"/>
    <x v="12"/>
    <x v="0"/>
    <x v="436"/>
    <n v="607.04"/>
    <n v="1229.3399999999999"/>
    <n v="1229.3399999999999"/>
    <s v="Medium"/>
    <n v="0.14699999999999999"/>
    <n v="0.14699999999999999"/>
    <x v="0"/>
    <n v="7"/>
    <n v="7340.3891399999993"/>
    <n v="4249.28"/>
    <n v="3091.1091399999996"/>
    <n v="0.42110970972310058"/>
  </r>
  <r>
    <s v="ORD-2023-808024"/>
    <d v="2023-12-30T00:00:00"/>
    <x v="360"/>
    <s v="Q4-2023"/>
    <d v="2024-01-08T00:00:00"/>
    <d v="2024-01-08T00:00:00"/>
    <n v="9"/>
    <n v="9"/>
    <x v="0"/>
    <x v="6"/>
    <x v="3"/>
    <x v="7"/>
    <s v="Marseille"/>
    <s v="Europe - France - Marseille"/>
    <s v="Consumer"/>
    <x v="2"/>
    <x v="4"/>
    <x v="6"/>
    <x v="437"/>
    <n v="861.1"/>
    <n v="1224.72"/>
    <n v="1224.72"/>
    <s v="Medium"/>
    <n v="0.17399999999999999"/>
    <n v="0.17399999999999999"/>
    <x v="0"/>
    <n v="24"/>
    <n v="24278.849280000002"/>
    <n v="20666.400000000001"/>
    <n v="3612.4492800000007"/>
    <n v="0.14878997098827909"/>
  </r>
  <r>
    <s v="ORD-2023-156396"/>
    <d v="2023-02-21T00:00:00"/>
    <x v="361"/>
    <s v="Q1-2023"/>
    <d v="2023-03-12T00:00:00"/>
    <d v="2023-03-12T00:00:00"/>
    <n v="19"/>
    <n v="19"/>
    <x v="0"/>
    <x v="0"/>
    <x v="0"/>
    <x v="0"/>
    <s v="Nakuru"/>
    <s v="Africa - Kenya - Nakuru"/>
    <s v="Corporate"/>
    <x v="1"/>
    <x v="9"/>
    <x v="2"/>
    <x v="438"/>
    <n v="352.65"/>
    <n v="485.86"/>
    <n v="485.86"/>
    <s v="Low"/>
    <n v="4.1000000000000002E-2"/>
    <n v="4.1000000000000002E-2"/>
    <x v="0"/>
    <n v="6"/>
    <n v="2795.6384399999997"/>
    <n v="2115.8999999999996"/>
    <n v="679.73844000000008"/>
    <n v="0.24314247159943908"/>
  </r>
  <r>
    <s v="ORD-2023-184577"/>
    <d v="2023-05-17T00:00:00"/>
    <x v="362"/>
    <s v="Q2-2023"/>
    <d v="2023-06-03T00:00:00"/>
    <d v="2023-06-03T00:00:00"/>
    <n v="17"/>
    <n v="17"/>
    <x v="0"/>
    <x v="8"/>
    <x v="1"/>
    <x v="9"/>
    <s v="Beijing"/>
    <s v="Asia - China - Beijing"/>
    <s v="Non-Profit"/>
    <x v="3"/>
    <x v="12"/>
    <x v="1"/>
    <x v="439"/>
    <n v="979.59"/>
    <n v="2210.94"/>
    <n v="2210.94"/>
    <s v="High"/>
    <n v="0.15"/>
    <n v="0.15"/>
    <x v="0"/>
    <n v="11"/>
    <n v="20672.289000000001"/>
    <n v="10775.49"/>
    <n v="9896.7990000000009"/>
    <n v="0.47874712858358359"/>
  </r>
  <r>
    <s v="ORD-2024-446030"/>
    <d v="2024-03-23T00:00:00"/>
    <x v="363"/>
    <s v="Q1-2024"/>
    <d v="2024-03-26T00:00:00"/>
    <d v="2024-03-26T00:00:00"/>
    <n v="3"/>
    <n v="3"/>
    <x v="1"/>
    <x v="4"/>
    <x v="1"/>
    <x v="4"/>
    <s v="Bengaluru"/>
    <s v="Asia - India - Bengaluru"/>
    <s v="Education"/>
    <x v="4"/>
    <x v="3"/>
    <x v="3"/>
    <x v="440"/>
    <n v="382.21"/>
    <n v="571.89"/>
    <n v="571.89"/>
    <s v="Low"/>
    <n v="0.14799999999999999"/>
    <n v="0.14799999999999999"/>
    <x v="0"/>
    <n v="26"/>
    <n v="12668.50728"/>
    <n v="9937.4599999999991"/>
    <n v="2731.0472800000007"/>
    <n v="0.2155776698578809"/>
  </r>
  <r>
    <s v="ORD-2023-842820"/>
    <d v="2023-09-20T00:00:00"/>
    <x v="364"/>
    <s v="Q3-2023"/>
    <d v="2023-09-28T00:00:00"/>
    <d v="2023-09-28T00:00:00"/>
    <n v="8"/>
    <n v="8"/>
    <x v="0"/>
    <x v="4"/>
    <x v="1"/>
    <x v="4"/>
    <s v="Delhi"/>
    <s v="Asia - India - Delhi"/>
    <s v="Corporate"/>
    <x v="0"/>
    <x v="5"/>
    <x v="6"/>
    <x v="441"/>
    <n v="1362.06"/>
    <n v="3398.37"/>
    <n v="3398.37"/>
    <s v="High"/>
    <n v="0.157"/>
    <n v="0.157"/>
    <x v="0"/>
    <n v="11"/>
    <n v="31513.085009999999"/>
    <n v="14982.66"/>
    <n v="16530.425009999999"/>
    <n v="0.52455749745714919"/>
  </r>
  <r>
    <s v="ORD-2024-745424"/>
    <d v="2024-08-22T00:00:00"/>
    <x v="365"/>
    <s v="Q3-2024"/>
    <d v="2024-09-04T00:00:00"/>
    <d v="2024-09-04T00:00:00"/>
    <n v="13"/>
    <n v="13"/>
    <x v="0"/>
    <x v="5"/>
    <x v="3"/>
    <x v="6"/>
    <s v="Frankfurt"/>
    <s v="Europe - Germany - Frankfurt"/>
    <s v="Non-Profit"/>
    <x v="0"/>
    <x v="4"/>
    <x v="1"/>
    <x v="442"/>
    <n v="90.04"/>
    <n v="194.62"/>
    <n v="194.62"/>
    <s v="Low"/>
    <n v="4.2999999999999997E-2"/>
    <n v="4.2999999999999997E-2"/>
    <x v="0"/>
    <n v="32"/>
    <n v="5960.04288"/>
    <n v="2881.28"/>
    <n v="3078.7628799999998"/>
    <n v="0.51656723650954672"/>
  </r>
  <r>
    <s v="ORD-2024-510520"/>
    <d v="2024-09-25T00:00:00"/>
    <x v="366"/>
    <s v="Q3-2024"/>
    <d v="2024-10-03T00:00:00"/>
    <d v="2024-10-03T00:00:00"/>
    <n v="8"/>
    <n v="8"/>
    <x v="0"/>
    <x v="3"/>
    <x v="2"/>
    <x v="3"/>
    <s v="Toronto"/>
    <s v="Americas - Canada - Toronto"/>
    <s v="Consumer"/>
    <x v="1"/>
    <x v="6"/>
    <x v="1"/>
    <x v="443"/>
    <n v="558.19000000000005"/>
    <n v="1031.6400000000001"/>
    <n v="1031.6400000000001"/>
    <s v="Medium"/>
    <n v="0"/>
    <n v="0"/>
    <x v="0"/>
    <n v="21"/>
    <n v="21664.440000000002"/>
    <n v="11721.990000000002"/>
    <n v="9942.4500000000007"/>
    <n v="0.45892947152107322"/>
  </r>
  <r>
    <s v="ORD-2023-769774"/>
    <d v="2023-06-13T00:00:00"/>
    <x v="367"/>
    <s v="Q2-2023"/>
    <d v="2023-06-24T00:00:00"/>
    <d v="2023-06-24T00:00:00"/>
    <n v="11"/>
    <n v="11"/>
    <x v="0"/>
    <x v="3"/>
    <x v="2"/>
    <x v="3"/>
    <s v="Toronto"/>
    <s v="Americas - Canada - Toronto"/>
    <s v="Corporate"/>
    <x v="1"/>
    <x v="0"/>
    <x v="1"/>
    <x v="444"/>
    <n v="247.07"/>
    <n v="495.19"/>
    <n v="495.19"/>
    <s v="Low"/>
    <n v="2.8000000000000001E-2"/>
    <n v="2.8000000000000001E-2"/>
    <x v="0"/>
    <n v="4"/>
    <n v="1925.29872"/>
    <n v="988.28"/>
    <n v="937.01872000000003"/>
    <n v="0.48668744764968214"/>
  </r>
  <r>
    <s v="ORD-2023-580751"/>
    <d v="2023-12-24T00:00:00"/>
    <x v="240"/>
    <s v="Q4-2023"/>
    <d v="2024-01-13T00:00:00"/>
    <d v="2024-01-13T00:00:00"/>
    <n v="20"/>
    <n v="20"/>
    <x v="0"/>
    <x v="2"/>
    <x v="1"/>
    <x v="2"/>
    <s v="Nagoya"/>
    <s v="Asia - Japan - Nagoya"/>
    <s v="Education"/>
    <x v="4"/>
    <x v="5"/>
    <x v="4"/>
    <x v="445"/>
    <n v="625.37"/>
    <n v="1319.04"/>
    <n v="1319.04"/>
    <s v="Medium"/>
    <n v="7.3999999999999996E-2"/>
    <n v="7.3999999999999996E-2"/>
    <x v="0"/>
    <n v="8"/>
    <n v="9771.4483199999995"/>
    <n v="5002.96"/>
    <n v="4768.4883199999995"/>
    <n v="0.48800220436513547"/>
  </r>
  <r>
    <s v="ORD-2025-473192"/>
    <d v="2025-03-30T00:00:00"/>
    <x v="258"/>
    <s v="Q1-2025"/>
    <d v="2025-04-29T00:00:00"/>
    <d v="2025-04-29T00:00:00"/>
    <n v="30"/>
    <n v="30"/>
    <x v="0"/>
    <x v="10"/>
    <x v="0"/>
    <x v="11"/>
    <s v="Durban"/>
    <s v="Africa - South Africa - Durban"/>
    <s v="Consumer"/>
    <x v="2"/>
    <x v="1"/>
    <x v="5"/>
    <x v="446"/>
    <n v="194.6"/>
    <n v="314.87"/>
    <n v="314.87"/>
    <s v="Low"/>
    <n v="0.29299999999999998"/>
    <n v="0.29299999999999998"/>
    <x v="1"/>
    <n v="25"/>
    <n v="5565.3272500000003"/>
    <n v="4865"/>
    <n v="700.32725000000028"/>
    <n v="0.1258375686712763"/>
  </r>
  <r>
    <s v="ORD-2024-886939"/>
    <d v="2024-06-03T00:00:00"/>
    <x v="368"/>
    <s v="Q2-2024"/>
    <d v="2024-06-24T00:00:00"/>
    <d v="2024-06-24T00:00:00"/>
    <n v="21"/>
    <n v="21"/>
    <x v="0"/>
    <x v="3"/>
    <x v="2"/>
    <x v="3"/>
    <s v="Toronto"/>
    <s v="Americas - Canada - Toronto"/>
    <s v="Small Business"/>
    <x v="4"/>
    <x v="3"/>
    <x v="5"/>
    <x v="447"/>
    <n v="1205.5"/>
    <n v="2210.17"/>
    <n v="2210.17"/>
    <s v="High"/>
    <n v="0.104"/>
    <n v="0.104"/>
    <x v="0"/>
    <n v="23"/>
    <n v="45547.183360000003"/>
    <n v="27726.5"/>
    <n v="17820.683360000003"/>
    <n v="0.39125763758314652"/>
  </r>
  <r>
    <s v="ORD-2024-566589"/>
    <d v="2024-06-11T00:00:00"/>
    <x v="369"/>
    <s v="Q2-2024"/>
    <d v="2024-07-09T00:00:00"/>
    <d v="2024-07-09T00:00:00"/>
    <n v="28"/>
    <n v="28"/>
    <x v="0"/>
    <x v="1"/>
    <x v="0"/>
    <x v="1"/>
    <s v="Port Harcourt"/>
    <s v="Africa - Nigeria - Port Harcourt"/>
    <s v="Corporate"/>
    <x v="2"/>
    <x v="2"/>
    <x v="3"/>
    <x v="448"/>
    <n v="895.54"/>
    <n v="1045"/>
    <n v="1045"/>
    <s v="Medium"/>
    <n v="0.216"/>
    <n v="0.216"/>
    <x v="1"/>
    <n v="15"/>
    <n v="12289.2"/>
    <n v="13433.099999999999"/>
    <n v="-1143.8999999999978"/>
    <n v="-9.3081730299775234E-2"/>
  </r>
  <r>
    <s v="ORD-2023-109927"/>
    <d v="2023-07-22T00:00:00"/>
    <x v="370"/>
    <s v="Q3-2023"/>
    <d v="2023-07-21T00:00:00"/>
    <d v="2023-07-31T00:00:00"/>
    <n v="-1"/>
    <n v="9"/>
    <x v="0"/>
    <x v="4"/>
    <x v="1"/>
    <x v="4"/>
    <s v="Delhi"/>
    <s v="Asia - India - Delhi"/>
    <s v="Small Business"/>
    <x v="3"/>
    <x v="6"/>
    <x v="1"/>
    <x v="449"/>
    <n v="946.99"/>
    <n v="2132.19"/>
    <n v="2132.19"/>
    <s v="High"/>
    <n v="0.16500000000000001"/>
    <n v="0.16500000000000001"/>
    <x v="0"/>
    <n v="7"/>
    <n v="12462.65055"/>
    <n v="6628.93"/>
    <n v="5833.72055"/>
    <n v="0.46809629513362228"/>
  </r>
  <r>
    <s v="ORD-2023-780206"/>
    <d v="2023-01-19T00:00:00"/>
    <x v="371"/>
    <s v="Q1-2023"/>
    <d v="2023-02-03T00:00:00"/>
    <d v="2023-02-03T00:00:00"/>
    <n v="15"/>
    <n v="15"/>
    <x v="0"/>
    <x v="7"/>
    <x v="3"/>
    <x v="8"/>
    <s v="London"/>
    <s v="Europe - United Kingdom - London"/>
    <s v="Enterprise"/>
    <x v="3"/>
    <x v="3"/>
    <x v="6"/>
    <x v="450"/>
    <n v="873.06"/>
    <n v="2101.5500000000002"/>
    <n v="2101.5500000000002"/>
    <s v="High"/>
    <n v="6.6000000000000003E-2"/>
    <n v="6.6000000000000003E-2"/>
    <x v="0"/>
    <n v="10"/>
    <n v="19628.476999999999"/>
    <n v="8730.5999999999985"/>
    <n v="10897.877"/>
    <n v="0.55520746719167269"/>
  </r>
  <r>
    <s v="ORD-2024-851993"/>
    <d v="2024-05-01T00:00:00"/>
    <x v="372"/>
    <s v="Q2-2024"/>
    <d v="2024-05-16T00:00:00"/>
    <d v="2024-05-16T00:00:00"/>
    <n v="15"/>
    <n v="15"/>
    <x v="0"/>
    <x v="4"/>
    <x v="1"/>
    <x v="4"/>
    <s v="Bengaluru"/>
    <s v="Asia - India - Bengaluru"/>
    <s v="Small Business"/>
    <x v="0"/>
    <x v="4"/>
    <x v="0"/>
    <x v="451"/>
    <n v="901.19"/>
    <n v="2125.44"/>
    <n v="2125.44"/>
    <s v="High"/>
    <n v="7.0999999999999994E-2"/>
    <n v="7.0999999999999994E-2"/>
    <x v="0"/>
    <n v="12"/>
    <n v="23694.405119999999"/>
    <n v="10814.28"/>
    <n v="12880.125119999999"/>
    <n v="0.54359352154100415"/>
  </r>
  <r>
    <s v="ORD-2025-417942"/>
    <d v="2025-06-09T00:00:00"/>
    <x v="56"/>
    <s v="Q2-2025"/>
    <d v="2025-06-24T00:00:00"/>
    <d v="2025-06-24T00:00:00"/>
    <n v="15"/>
    <n v="15"/>
    <x v="0"/>
    <x v="2"/>
    <x v="1"/>
    <x v="2"/>
    <s v="Nagoya"/>
    <s v="Asia - Japan - Nagoya"/>
    <s v="Corporate"/>
    <x v="4"/>
    <x v="5"/>
    <x v="3"/>
    <x v="452"/>
    <n v="400.39"/>
    <n v="712.75"/>
    <n v="712.75"/>
    <s v="Low"/>
    <n v="0.115"/>
    <n v="0.115"/>
    <x v="0"/>
    <n v="19"/>
    <n v="11984.891250000001"/>
    <n v="7607.41"/>
    <n v="4377.4812500000007"/>
    <n v="0.36524997671547504"/>
  </r>
  <r>
    <s v="ORD-2023-172095"/>
    <d v="2023-05-24T00:00:00"/>
    <x v="373"/>
    <s v="Q2-2023"/>
    <d v="2023-06-21T00:00:00"/>
    <d v="2023-06-21T00:00:00"/>
    <n v="28"/>
    <n v="28"/>
    <x v="0"/>
    <x v="9"/>
    <x v="2"/>
    <x v="10"/>
    <s v="Austin"/>
    <s v="Americas - USA - Austin"/>
    <s v="Small Business"/>
    <x v="2"/>
    <x v="3"/>
    <x v="5"/>
    <x v="453"/>
    <n v="813.97"/>
    <n v="1568.83"/>
    <n v="1568.83"/>
    <s v="Medium"/>
    <n v="1.7000000000000001E-2"/>
    <n v="1.7000000000000001E-2"/>
    <x v="0"/>
    <n v="15"/>
    <n v="23132.398349999996"/>
    <n v="12209.550000000001"/>
    <n v="10922.848349999995"/>
    <n v="0.4721883215364911"/>
  </r>
  <r>
    <s v="ORD-2024-257550"/>
    <d v="2024-12-27T00:00:00"/>
    <x v="6"/>
    <s v="Q4-2024"/>
    <d v="2024-12-29T00:00:00"/>
    <d v="2024-12-29T00:00:00"/>
    <n v="2"/>
    <n v="2"/>
    <x v="1"/>
    <x v="3"/>
    <x v="2"/>
    <x v="3"/>
    <s v="Vancouver"/>
    <s v="Americas - Canada - Vancouver"/>
    <s v="Enterprise"/>
    <x v="2"/>
    <x v="0"/>
    <x v="6"/>
    <x v="454"/>
    <n v="1146.72"/>
    <n v="2074.34"/>
    <n v="2074.34"/>
    <s v="High"/>
    <n v="0.111"/>
    <n v="0.111"/>
    <x v="0"/>
    <n v="8"/>
    <n v="14752.706080000002"/>
    <n v="9173.76"/>
    <n v="5578.9460800000015"/>
    <n v="0.37816425337472737"/>
  </r>
  <r>
    <s v="ORD-2023-581799"/>
    <d v="2023-12-05T00:00:00"/>
    <x v="374"/>
    <s v="Q4-2023"/>
    <d v="2023-12-12T00:00:00"/>
    <d v="2023-12-12T00:00:00"/>
    <n v="7"/>
    <n v="7"/>
    <x v="1"/>
    <x v="4"/>
    <x v="2"/>
    <x v="5"/>
    <s v="Brasília"/>
    <s v="Americas - Brazil - Brasília"/>
    <s v="Corporate"/>
    <x v="4"/>
    <x v="9"/>
    <x v="3"/>
    <x v="455"/>
    <n v="307.43"/>
    <n v="495.19"/>
    <n v="495.19"/>
    <s v="Low"/>
    <n v="0"/>
    <n v="0"/>
    <x v="0"/>
    <n v="42"/>
    <n v="20797.98"/>
    <n v="12912.06"/>
    <n v="7885.92"/>
    <n v="0.37916759223732305"/>
  </r>
  <r>
    <s v="ORD-2023-880296"/>
    <d v="2023-05-02T00:00:00"/>
    <x v="129"/>
    <s v="Q2-2023"/>
    <d v="2023-05-19T00:00:00"/>
    <d v="2023-05-19T00:00:00"/>
    <n v="17"/>
    <n v="17"/>
    <x v="0"/>
    <x v="8"/>
    <x v="1"/>
    <x v="9"/>
    <s v="Shanghai"/>
    <s v="Asia - China - Shanghai"/>
    <s v="Non-Profit"/>
    <x v="4"/>
    <x v="1"/>
    <x v="5"/>
    <x v="456"/>
    <n v="714.28"/>
    <n v="757.59"/>
    <n v="757.59"/>
    <s v="Low"/>
    <n v="0.13600000000000001"/>
    <n v="0.13600000000000001"/>
    <x v="0"/>
    <n v="12"/>
    <n v="7854.6931199999999"/>
    <n v="8571.36"/>
    <n v="-716.66688000000067"/>
    <n v="-9.1240595787910383E-2"/>
  </r>
  <r>
    <s v="ORD-2023-191563"/>
    <d v="2023-11-30T00:00:00"/>
    <x v="134"/>
    <s v="Q4-2023"/>
    <d v="2023-12-10T00:00:00"/>
    <d v="2023-12-10T00:00:00"/>
    <n v="10"/>
    <n v="10"/>
    <x v="0"/>
    <x v="5"/>
    <x v="3"/>
    <x v="6"/>
    <s v="Munich"/>
    <s v="Europe - Germany - Munich"/>
    <s v="Small Business"/>
    <x v="4"/>
    <x v="9"/>
    <x v="4"/>
    <x v="457"/>
    <n v="174.74"/>
    <n v="415.96"/>
    <n v="415.96"/>
    <s v="Low"/>
    <n v="0.125"/>
    <n v="0.125"/>
    <x v="0"/>
    <n v="21"/>
    <n v="7643.2649999999994"/>
    <n v="3669.54"/>
    <n v="3973.7249999999995"/>
    <n v="0.51989889137691803"/>
  </r>
  <r>
    <s v="ORD-2024-202166"/>
    <d v="2024-05-05T00:00:00"/>
    <x v="375"/>
    <s v="Q2-2024"/>
    <d v="2024-05-18T00:00:00"/>
    <d v="2024-05-18T00:00:00"/>
    <n v="13"/>
    <n v="13"/>
    <x v="0"/>
    <x v="6"/>
    <x v="3"/>
    <x v="7"/>
    <s v="Marseille"/>
    <s v="Europe - France - Marseille"/>
    <s v="Corporate"/>
    <x v="2"/>
    <x v="8"/>
    <x v="0"/>
    <x v="458"/>
    <n v="1264.04"/>
    <n v="1870.89"/>
    <n v="1870.89"/>
    <s v="High"/>
    <n v="0"/>
    <n v="0"/>
    <x v="0"/>
    <n v="13"/>
    <n v="24321.57"/>
    <n v="16432.52"/>
    <n v="7889.0499999999993"/>
    <n v="0.32436433996653996"/>
  </r>
  <r>
    <s v="ORD-2023-539967"/>
    <d v="2023-07-09T00:00:00"/>
    <x v="376"/>
    <s v="Q3-2023"/>
    <d v="2023-07-19T00:00:00"/>
    <d v="2023-07-19T00:00:00"/>
    <n v="10"/>
    <n v="10"/>
    <x v="0"/>
    <x v="2"/>
    <x v="1"/>
    <x v="2"/>
    <s v="Tokyo"/>
    <s v="Asia - Japan - Tokyo"/>
    <s v="Enterprise"/>
    <x v="3"/>
    <x v="13"/>
    <x v="0"/>
    <x v="459"/>
    <n v="141.26"/>
    <n v="206.88"/>
    <n v="206.88"/>
    <s v="Low"/>
    <n v="0.107"/>
    <n v="0.107"/>
    <x v="0"/>
    <n v="9"/>
    <n v="1662.6945600000001"/>
    <n v="1271.3399999999999"/>
    <n v="391.35456000000022"/>
    <n v="0.23537369365062469"/>
  </r>
  <r>
    <s v="ORD-2023-704111"/>
    <d v="2023-05-17T00:00:00"/>
    <x v="362"/>
    <s v="Q2-2023"/>
    <d v="2023-06-15T00:00:00"/>
    <d v="2023-06-15T00:00:00"/>
    <n v="29"/>
    <n v="29"/>
    <x v="0"/>
    <x v="10"/>
    <x v="0"/>
    <x v="11"/>
    <s v="Durban"/>
    <s v="Africa - South Africa - Durban"/>
    <s v="Enterprise"/>
    <x v="0"/>
    <x v="11"/>
    <x v="6"/>
    <x v="460"/>
    <n v="40.89"/>
    <n v="62.82"/>
    <n v="62.82"/>
    <s v="Low"/>
    <n v="0.129"/>
    <n v="0.129"/>
    <x v="0"/>
    <n v="17"/>
    <n v="930.17574000000002"/>
    <n v="695.13"/>
    <n v="235.04574000000002"/>
    <n v="0.25268960465470752"/>
  </r>
  <r>
    <s v="ORD-2024-356812"/>
    <d v="2024-03-07T00:00:00"/>
    <x v="34"/>
    <s v="Q1-2024"/>
    <d v="2024-04-03T00:00:00"/>
    <d v="2024-04-03T00:00:00"/>
    <n v="27"/>
    <n v="27"/>
    <x v="0"/>
    <x v="5"/>
    <x v="3"/>
    <x v="6"/>
    <s v="Frankfurt"/>
    <s v="Europe - Germany - Frankfurt"/>
    <s v="Corporate"/>
    <x v="4"/>
    <x v="12"/>
    <x v="1"/>
    <x v="461"/>
    <n v="738.16"/>
    <n v="956.49"/>
    <n v="956.49"/>
    <s v="Medium"/>
    <n v="0.152"/>
    <n v="0.152"/>
    <x v="0"/>
    <n v="5"/>
    <n v="4055.5175999999997"/>
    <n v="3690.7999999999997"/>
    <n v="364.71759999999995"/>
    <n v="8.9931208780847108E-2"/>
  </r>
  <r>
    <s v="ORD-2025-306251"/>
    <d v="2025-04-10T00:00:00"/>
    <x v="377"/>
    <s v="Q2-2025"/>
    <d v="2025-04-19T00:00:00"/>
    <d v="2025-04-19T00:00:00"/>
    <n v="9"/>
    <n v="9"/>
    <x v="0"/>
    <x v="10"/>
    <x v="0"/>
    <x v="11"/>
    <s v="Durban"/>
    <s v="Africa - South Africa - Durban"/>
    <s v="Enterprise"/>
    <x v="3"/>
    <x v="3"/>
    <x v="2"/>
    <x v="462"/>
    <n v="113.74"/>
    <n v="165.7"/>
    <n v="165.7"/>
    <s v="Low"/>
    <n v="0.124"/>
    <n v="0.124"/>
    <x v="0"/>
    <n v="13"/>
    <n v="1886.9915999999998"/>
    <n v="1478.62"/>
    <n v="408.37159999999994"/>
    <n v="0.21641410592394794"/>
  </r>
  <r>
    <s v="ORD-2025-496178"/>
    <d v="2025-07-27T00:00:00"/>
    <x v="378"/>
    <s v="Q3-2025"/>
    <d v="2025-08-15T00:00:00"/>
    <d v="2025-08-15T00:00:00"/>
    <n v="19"/>
    <n v="19"/>
    <x v="0"/>
    <x v="2"/>
    <x v="1"/>
    <x v="2"/>
    <s v="Tokyo"/>
    <s v="Asia - Japan - Tokyo"/>
    <s v="Small Business"/>
    <x v="2"/>
    <x v="1"/>
    <x v="0"/>
    <x v="463"/>
    <n v="275.43"/>
    <n v="608.36"/>
    <n v="608.36"/>
    <s v="Low"/>
    <n v="0.25700000000000001"/>
    <n v="0.25700000000000001"/>
    <x v="1"/>
    <n v="4"/>
    <n v="1808.04592"/>
    <n v="1101.72"/>
    <n v="706.32592"/>
    <n v="0.39065706915231446"/>
  </r>
  <r>
    <s v="ORD-2024-508213"/>
    <d v="2024-11-22T00:00:00"/>
    <x v="379"/>
    <s v="Q4-2024"/>
    <d v="2024-12-15T00:00:00"/>
    <d v="2024-12-15T00:00:00"/>
    <n v="23"/>
    <n v="23"/>
    <x v="0"/>
    <x v="0"/>
    <x v="0"/>
    <x v="0"/>
    <s v="Mombasa"/>
    <s v="Africa - Kenya - Mombasa"/>
    <s v="Non-Profit"/>
    <x v="3"/>
    <x v="0"/>
    <x v="0"/>
    <x v="464"/>
    <n v="1335.76"/>
    <n v="2665.91"/>
    <n v="2665.91"/>
    <s v="High"/>
    <n v="0.21099999999999999"/>
    <n v="0.21099999999999999"/>
    <x v="1"/>
    <n v="40"/>
    <n v="84136.119600000005"/>
    <n v="53430.400000000001"/>
    <n v="30705.719600000004"/>
    <n v="0.36495288522909253"/>
  </r>
  <r>
    <s v="ORD-2024-787018"/>
    <d v="2024-06-23T00:00:00"/>
    <x v="304"/>
    <s v="Q2-2024"/>
    <d v="2024-06-28T00:00:00"/>
    <d v="2024-06-28T00:00:00"/>
    <n v="5"/>
    <n v="5"/>
    <x v="1"/>
    <x v="1"/>
    <x v="0"/>
    <x v="1"/>
    <s v="Port Harcourt"/>
    <s v="Africa - Nigeria - Port Harcourt"/>
    <s v="Non-Profit"/>
    <x v="4"/>
    <x v="12"/>
    <x v="6"/>
    <x v="465"/>
    <n v="242.31"/>
    <n v="587.95000000000005"/>
    <n v="587.95000000000005"/>
    <s v="Low"/>
    <n v="0.22900000000000001"/>
    <n v="0.22900000000000001"/>
    <x v="1"/>
    <n v="6"/>
    <n v="2719.8567000000003"/>
    <n v="1453.8600000000001"/>
    <n v="1265.9967000000001"/>
    <n v="0.46546448568411714"/>
  </r>
  <r>
    <s v="ORD-2023-728177"/>
    <d v="2023-12-18T00:00:00"/>
    <x v="380"/>
    <s v="Q4-2023"/>
    <d v="2024-01-14T00:00:00"/>
    <d v="2024-01-14T00:00:00"/>
    <n v="27"/>
    <n v="27"/>
    <x v="0"/>
    <x v="4"/>
    <x v="1"/>
    <x v="4"/>
    <s v="Mumbai"/>
    <s v="Asia - India - Mumbai"/>
    <s v="Consumer"/>
    <x v="3"/>
    <x v="14"/>
    <x v="2"/>
    <x v="466"/>
    <n v="1408.3"/>
    <n v="2193.13"/>
    <n v="2193.13"/>
    <s v="High"/>
    <n v="7.0999999999999994E-2"/>
    <n v="7.0999999999999994E-2"/>
    <x v="0"/>
    <n v="7"/>
    <n v="14261.92439"/>
    <n v="9858.1"/>
    <n v="4403.8243899999998"/>
    <n v="0.30878191957656281"/>
  </r>
  <r>
    <s v="ORD-2025-795385"/>
    <d v="2025-06-01T00:00:00"/>
    <x v="262"/>
    <s v="Q2-2025"/>
    <d v="2025-06-05T00:00:00"/>
    <d v="2025-06-05T00:00:00"/>
    <n v="4"/>
    <n v="4"/>
    <x v="1"/>
    <x v="5"/>
    <x v="3"/>
    <x v="6"/>
    <s v="Munich"/>
    <s v="Europe - Germany - Munich"/>
    <s v="Enterprise"/>
    <x v="4"/>
    <x v="12"/>
    <x v="0"/>
    <x v="467"/>
    <n v="1171.42"/>
    <n v="2187.8000000000002"/>
    <n v="2187.8000000000002"/>
    <s v="High"/>
    <n v="0.23"/>
    <n v="0.23"/>
    <x v="1"/>
    <n v="15"/>
    <n v="25269.09"/>
    <n v="17571.300000000003"/>
    <n v="7697.7899999999972"/>
    <n v="0.30463265594447592"/>
  </r>
  <r>
    <s v="ORD-2025-947929"/>
    <d v="2025-03-23T00:00:00"/>
    <x v="381"/>
    <s v="Q1-2025"/>
    <d v="2025-04-02T00:00:00"/>
    <d v="2025-04-02T00:00:00"/>
    <n v="10"/>
    <n v="10"/>
    <x v="0"/>
    <x v="5"/>
    <x v="3"/>
    <x v="6"/>
    <s v="Berlin"/>
    <s v="Europe - Germany - Berlin"/>
    <s v="Enterprise"/>
    <x v="1"/>
    <x v="6"/>
    <x v="1"/>
    <x v="468"/>
    <n v="663.61"/>
    <n v="1002.11"/>
    <n v="1002.11"/>
    <s v="Medium"/>
    <n v="4.5999999999999999E-2"/>
    <n v="4.5999999999999999E-2"/>
    <x v="0"/>
    <n v="17"/>
    <n v="16252.219979999998"/>
    <n v="11281.37"/>
    <n v="4970.8499799999972"/>
    <n v="0.30585667595670812"/>
  </r>
  <r>
    <s v="ORD-2023-931633"/>
    <d v="2023-05-14T00:00:00"/>
    <x v="382"/>
    <s v="Q2-2023"/>
    <d v="2023-05-22T00:00:00"/>
    <d v="2023-05-22T00:00:00"/>
    <n v="8"/>
    <n v="8"/>
    <x v="0"/>
    <x v="0"/>
    <x v="0"/>
    <x v="0"/>
    <s v="Mombasa"/>
    <s v="Africa - Kenya - Mombasa"/>
    <s v="Small Business"/>
    <x v="3"/>
    <x v="9"/>
    <x v="1"/>
    <x v="469"/>
    <n v="432.01"/>
    <n v="913.78"/>
    <n v="913.78"/>
    <s v="Medium"/>
    <n v="4.9000000000000002E-2"/>
    <n v="4.9000000000000002E-2"/>
    <x v="0"/>
    <n v="12"/>
    <n v="10428.057360000001"/>
    <n v="5184.12"/>
    <n v="5243.9373600000008"/>
    <n v="0.50286809699711899"/>
  </r>
  <r>
    <s v="ORD-2023-243704"/>
    <d v="2023-08-29T00:00:00"/>
    <x v="345"/>
    <s v="Q3-2023"/>
    <d v="2023-09-19T00:00:00"/>
    <d v="2023-09-19T00:00:00"/>
    <n v="21"/>
    <n v="21"/>
    <x v="0"/>
    <x v="6"/>
    <x v="3"/>
    <x v="7"/>
    <s v="Lyon"/>
    <s v="Europe - France - Lyon"/>
    <s v="Small Business"/>
    <x v="4"/>
    <x v="5"/>
    <x v="1"/>
    <x v="470"/>
    <n v="784.46"/>
    <n v="1843.51"/>
    <n v="1843.51"/>
    <s v="High"/>
    <n v="0.13800000000000001"/>
    <n v="0.13800000000000001"/>
    <x v="0"/>
    <n v="23"/>
    <n v="36549.429260000004"/>
    <n v="18042.580000000002"/>
    <n v="18506.849260000003"/>
    <n v="0.50635125184441798"/>
  </r>
  <r>
    <s v="ORD-2025-779659"/>
    <d v="2025-07-03T00:00:00"/>
    <x v="350"/>
    <s v="Q3-2025"/>
    <d v="2025-07-23T00:00:00"/>
    <d v="2025-07-23T00:00:00"/>
    <n v="20"/>
    <n v="20"/>
    <x v="0"/>
    <x v="8"/>
    <x v="1"/>
    <x v="9"/>
    <s v="Beijing"/>
    <s v="Asia - China - Beijing"/>
    <s v="Small Business"/>
    <x v="1"/>
    <x v="12"/>
    <x v="0"/>
    <x v="471"/>
    <n v="647.36"/>
    <n v="1383.6"/>
    <n v="1383.6"/>
    <s v="Medium"/>
    <n v="7.3999999999999996E-2"/>
    <n v="7.3999999999999996E-2"/>
    <x v="0"/>
    <n v="12"/>
    <n v="15374.563199999999"/>
    <n v="7768.32"/>
    <n v="7606.243199999999"/>
    <n v="0.49472906000997802"/>
  </r>
  <r>
    <s v="ORD-2024-647571"/>
    <d v="2024-02-06T00:00:00"/>
    <x v="383"/>
    <s v="Q1-2024"/>
    <d v="2024-02-28T00:00:00"/>
    <d v="2024-02-28T00:00:00"/>
    <n v="22"/>
    <n v="22"/>
    <x v="0"/>
    <x v="0"/>
    <x v="0"/>
    <x v="0"/>
    <s v="Kisumu"/>
    <s v="Africa - Kenya - Kisumu"/>
    <s v="Non-Profit"/>
    <x v="1"/>
    <x v="11"/>
    <x v="5"/>
    <x v="472"/>
    <n v="834.93"/>
    <n v="1588.53"/>
    <n v="1588.53"/>
    <s v="Medium"/>
    <n v="0.126"/>
    <n v="0.126"/>
    <x v="0"/>
    <n v="6"/>
    <n v="8330.2513199999994"/>
    <n v="5009.58"/>
    <n v="3320.6713199999995"/>
    <n v="0.39862798761274343"/>
  </r>
  <r>
    <s v="ORD-2025-683043"/>
    <d v="2025-08-13T00:00:00"/>
    <x v="384"/>
    <s v="Q3-2025"/>
    <d v="2025-09-03T00:00:00"/>
    <d v="2025-09-03T00:00:00"/>
    <n v="21"/>
    <n v="21"/>
    <x v="0"/>
    <x v="6"/>
    <x v="3"/>
    <x v="7"/>
    <s v="Paris"/>
    <s v="Europe - France - Paris"/>
    <s v="Education"/>
    <x v="0"/>
    <x v="2"/>
    <x v="3"/>
    <x v="473"/>
    <n v="603.47"/>
    <n v="1344.05"/>
    <n v="1344.05"/>
    <s v="Medium"/>
    <n v="0.20499999999999999"/>
    <n v="0.20499999999999999"/>
    <x v="1"/>
    <n v="18"/>
    <n v="19233.355499999998"/>
    <n v="10862.460000000001"/>
    <n v="8370.8954999999969"/>
    <n v="0.43522803392262976"/>
  </r>
  <r>
    <s v="ORD-2023-588455"/>
    <d v="2023-05-23T00:00:00"/>
    <x v="207"/>
    <s v="Q2-2023"/>
    <d v="2023-05-25T00:00:00"/>
    <d v="2023-05-25T00:00:00"/>
    <n v="2"/>
    <n v="2"/>
    <x v="1"/>
    <x v="4"/>
    <x v="2"/>
    <x v="5"/>
    <s v="Rio de Janeiro"/>
    <s v="Americas - Brazil - Rio de Janeiro"/>
    <s v="Enterprise"/>
    <x v="0"/>
    <x v="12"/>
    <x v="1"/>
    <x v="474"/>
    <n v="690.49"/>
    <n v="1290.29"/>
    <n v="1290.29"/>
    <s v="Medium"/>
    <n v="4.2000000000000003E-2"/>
    <n v="4.2000000000000003E-2"/>
    <x v="0"/>
    <n v="22"/>
    <n v="27194.152039999997"/>
    <n v="15190.78"/>
    <n v="12003.372039999997"/>
    <n v="0.44139534199647718"/>
  </r>
  <r>
    <s v="ORD-2024-641220"/>
    <d v="2024-05-10T00:00:00"/>
    <x v="385"/>
    <s v="Q2-2024"/>
    <d v="2024-05-16T00:00:00"/>
    <d v="2024-05-16T00:00:00"/>
    <n v="6"/>
    <n v="6"/>
    <x v="1"/>
    <x v="7"/>
    <x v="3"/>
    <x v="8"/>
    <s v="Birmingham"/>
    <s v="Europe - United Kingdom - Birmingham"/>
    <s v="Non-Profit"/>
    <x v="4"/>
    <x v="3"/>
    <x v="4"/>
    <x v="475"/>
    <n v="210.76"/>
    <n v="221.58"/>
    <n v="221.58"/>
    <s v="Low"/>
    <n v="8.8999999999999996E-2"/>
    <n v="8.8999999999999996E-2"/>
    <x v="0"/>
    <n v="5"/>
    <n v="1009.2969000000002"/>
    <n v="1053.8"/>
    <n v="-44.50309999999979"/>
    <n v="-4.4093170205912434E-2"/>
  </r>
  <r>
    <s v="ORD-2023-799597"/>
    <d v="2023-03-14T00:00:00"/>
    <x v="211"/>
    <s v="Q1-2023"/>
    <d v="2023-03-18T00:00:00"/>
    <d v="2023-03-18T00:00:00"/>
    <n v="4"/>
    <n v="4"/>
    <x v="1"/>
    <x v="5"/>
    <x v="3"/>
    <x v="6"/>
    <s v="Frankfurt"/>
    <s v="Europe - Germany - Frankfurt"/>
    <s v="Enterprise"/>
    <x v="4"/>
    <x v="8"/>
    <x v="0"/>
    <x v="476"/>
    <n v="472.33"/>
    <n v="360.34"/>
    <n v="360.34"/>
    <s v="Low"/>
    <n v="0.16500000000000001"/>
    <n v="0.16500000000000001"/>
    <x v="0"/>
    <n v="14"/>
    <n v="4212.3745999999992"/>
    <n v="6612.62"/>
    <n v="-2400.2454000000007"/>
    <n v="-0.56980815523861561"/>
  </r>
  <r>
    <s v="ORD-2023-569862"/>
    <d v="2023-07-16T00:00:00"/>
    <x v="386"/>
    <s v="Q3-2023"/>
    <d v="2023-08-13T00:00:00"/>
    <d v="2023-08-13T00:00:00"/>
    <n v="28"/>
    <n v="28"/>
    <x v="0"/>
    <x v="7"/>
    <x v="3"/>
    <x v="8"/>
    <s v="Manchester"/>
    <s v="Europe - United Kingdom - Manchester"/>
    <s v="Non-Profit"/>
    <x v="1"/>
    <x v="1"/>
    <x v="4"/>
    <x v="477"/>
    <n v="1039.03"/>
    <n v="2545.81"/>
    <n v="2545.81"/>
    <s v="High"/>
    <n v="0.216"/>
    <n v="0.216"/>
    <x v="1"/>
    <n v="21"/>
    <n v="41914.215840000004"/>
    <n v="21819.63"/>
    <n v="20094.585840000003"/>
    <n v="0.47942172929364774"/>
  </r>
  <r>
    <s v="ORD-2023-609394"/>
    <d v="2023-04-16T00:00:00"/>
    <x v="387"/>
    <s v="Q2-2023"/>
    <d v="2023-04-19T00:00:00"/>
    <d v="2023-04-19T00:00:00"/>
    <n v="3"/>
    <n v="3"/>
    <x v="1"/>
    <x v="5"/>
    <x v="3"/>
    <x v="6"/>
    <s v="Munich"/>
    <s v="Europe - Germany - Munich"/>
    <s v="Corporate"/>
    <x v="4"/>
    <x v="5"/>
    <x v="6"/>
    <x v="478"/>
    <n v="553.61"/>
    <n v="699.47"/>
    <n v="699.47"/>
    <s v="Low"/>
    <n v="0.02"/>
    <n v="0.02"/>
    <x v="0"/>
    <n v="33"/>
    <n v="22620.859800000002"/>
    <n v="18269.13"/>
    <n v="4351.729800000001"/>
    <n v="0.19237685209472014"/>
  </r>
  <r>
    <s v="ORD-2024-105586"/>
    <d v="2024-01-02T00:00:00"/>
    <x v="279"/>
    <s v="Q1-2024"/>
    <d v="2024-01-15T00:00:00"/>
    <d v="2024-01-15T00:00:00"/>
    <n v="13"/>
    <n v="13"/>
    <x v="0"/>
    <x v="2"/>
    <x v="1"/>
    <x v="2"/>
    <s v="Nagoya"/>
    <s v="Asia - Japan - Nagoya"/>
    <s v="Small Business"/>
    <x v="2"/>
    <x v="3"/>
    <x v="2"/>
    <x v="479"/>
    <n v="1219.06"/>
    <n v="2738.69"/>
    <n v="2738.69"/>
    <s v="High"/>
    <n v="7.5999999999999998E-2"/>
    <n v="7.5999999999999998E-2"/>
    <x v="0"/>
    <n v="16"/>
    <n v="40488.792960000006"/>
    <n v="19504.96"/>
    <n v="20983.832960000007"/>
    <n v="0.51826274447673737"/>
  </r>
  <r>
    <s v="ORD-2024-207792"/>
    <d v="2024-09-03T00:00:00"/>
    <x v="209"/>
    <s v="Q3-2024"/>
    <d v="2024-09-07T00:00:00"/>
    <d v="2024-09-07T00:00:00"/>
    <n v="4"/>
    <n v="4"/>
    <x v="1"/>
    <x v="2"/>
    <x v="1"/>
    <x v="2"/>
    <s v="Tokyo"/>
    <s v="Asia - Japan - Tokyo"/>
    <s v="Small Business"/>
    <x v="3"/>
    <x v="13"/>
    <x v="1"/>
    <x v="480"/>
    <n v="43.23"/>
    <n v="94.78"/>
    <n v="94.78"/>
    <s v="Low"/>
    <n v="9.0999999999999998E-2"/>
    <n v="9.0999999999999998E-2"/>
    <x v="0"/>
    <n v="55"/>
    <n v="4738.5261"/>
    <n v="2377.6499999999996"/>
    <n v="2360.8761000000004"/>
    <n v="0.49823005090127082"/>
  </r>
  <r>
    <s v="ORD-2025-417336"/>
    <d v="2025-08-30T00:00:00"/>
    <x v="388"/>
    <s v="Q3-2025"/>
    <d v="2025-09-03T00:00:00"/>
    <d v="2025-09-03T00:00:00"/>
    <n v="4"/>
    <n v="4"/>
    <x v="1"/>
    <x v="6"/>
    <x v="3"/>
    <x v="7"/>
    <s v="Marseille"/>
    <s v="Europe - France - Marseille"/>
    <s v="Small Business"/>
    <x v="2"/>
    <x v="1"/>
    <x v="4"/>
    <x v="481"/>
    <n v="1286.56"/>
    <n v="2777.35"/>
    <n v="2777.35"/>
    <s v="High"/>
    <n v="0.13200000000000001"/>
    <n v="0.13200000000000001"/>
    <x v="0"/>
    <n v="15"/>
    <n v="36161.097000000002"/>
    <n v="19298.399999999998"/>
    <n v="16862.697000000004"/>
    <n v="0.46632150014696744"/>
  </r>
  <r>
    <s v="ORD-2025-252117"/>
    <d v="2025-04-28T00:00:00"/>
    <x v="86"/>
    <s v="Q2-2025"/>
    <d v="2025-05-19T00:00:00"/>
    <d v="2025-05-19T00:00:00"/>
    <n v="21"/>
    <n v="21"/>
    <x v="0"/>
    <x v="5"/>
    <x v="3"/>
    <x v="6"/>
    <s v="Berlin"/>
    <s v="Europe - Germany - Berlin"/>
    <s v="Corporate"/>
    <x v="3"/>
    <x v="5"/>
    <x v="3"/>
    <x v="482"/>
    <n v="350.76"/>
    <n v="492.18"/>
    <n v="492.18"/>
    <s v="Low"/>
    <n v="5.2999999999999999E-2"/>
    <n v="5.2999999999999999E-2"/>
    <x v="0"/>
    <n v="11"/>
    <n v="5127.0390600000001"/>
    <n v="3858.3599999999997"/>
    <n v="1268.6790600000004"/>
    <n v="0.24744868239798437"/>
  </r>
  <r>
    <s v="ORD-2023-867175"/>
    <d v="2023-08-10T00:00:00"/>
    <x v="389"/>
    <s v="Q3-2023"/>
    <d v="2023-08-15T00:00:00"/>
    <d v="2023-08-15T00:00:00"/>
    <n v="5"/>
    <n v="5"/>
    <x v="1"/>
    <x v="4"/>
    <x v="2"/>
    <x v="5"/>
    <s v="São Paulo"/>
    <s v="Americas - Brazil - São Paulo"/>
    <s v="Education"/>
    <x v="4"/>
    <x v="3"/>
    <x v="2"/>
    <x v="483"/>
    <n v="1307.52"/>
    <n v="1921.65"/>
    <n v="1921.65"/>
    <s v="High"/>
    <n v="0.123"/>
    <n v="0.123"/>
    <x v="0"/>
    <n v="13"/>
    <n v="21908.731650000002"/>
    <n v="16997.759999999998"/>
    <n v="4910.9716500000031"/>
    <n v="0.22415590863289445"/>
  </r>
  <r>
    <s v="ORD-2024-382152"/>
    <d v="2024-12-08T00:00:00"/>
    <x v="390"/>
    <s v="Q4-2024"/>
    <d v="2024-12-08T00:00:00"/>
    <d v="2024-12-08T00:00:00"/>
    <n v="0"/>
    <n v="0"/>
    <x v="1"/>
    <x v="6"/>
    <x v="3"/>
    <x v="7"/>
    <s v="Lyon"/>
    <s v="Europe - France - Lyon"/>
    <s v="Enterprise"/>
    <x v="0"/>
    <x v="10"/>
    <x v="0"/>
    <x v="484"/>
    <n v="257.44"/>
    <n v="290.33"/>
    <n v="290.33"/>
    <s v="Low"/>
    <n v="9.1999999999999998E-2"/>
    <n v="9.1999999999999998E-2"/>
    <x v="0"/>
    <n v="23"/>
    <n v="6063.2517199999993"/>
    <n v="5921.12"/>
    <n v="142.1317199999994"/>
    <n v="2.3441500792581216E-2"/>
  </r>
  <r>
    <s v="ORD-2023-597666"/>
    <d v="2023-10-25T00:00:00"/>
    <x v="391"/>
    <s v="Q4-2023"/>
    <d v="2023-11-24T00:00:00"/>
    <d v="2023-11-24T00:00:00"/>
    <n v="30"/>
    <n v="30"/>
    <x v="0"/>
    <x v="6"/>
    <x v="3"/>
    <x v="7"/>
    <s v="Paris"/>
    <s v="Europe - France - Paris"/>
    <s v="Enterprise"/>
    <x v="3"/>
    <x v="0"/>
    <x v="3"/>
    <x v="485"/>
    <n v="287.85000000000002"/>
    <n v="602.91999999999996"/>
    <n v="602.91999999999996"/>
    <s v="Low"/>
    <n v="0.222"/>
    <n v="0.222"/>
    <x v="1"/>
    <n v="11"/>
    <n v="5159.7893599999998"/>
    <n v="3166.3500000000004"/>
    <n v="1993.4393599999994"/>
    <n v="0.38634122847216373"/>
  </r>
  <r>
    <s v="ORD-2024-371409"/>
    <d v="2024-11-17T00:00:00"/>
    <x v="392"/>
    <s v="Q4-2024"/>
    <d v="2024-11-28T00:00:00"/>
    <d v="2024-11-28T00:00:00"/>
    <n v="11"/>
    <n v="11"/>
    <x v="0"/>
    <x v="3"/>
    <x v="2"/>
    <x v="3"/>
    <s v="Vancouver"/>
    <s v="Americas - Canada - Vancouver"/>
    <s v="Consumer"/>
    <x v="3"/>
    <x v="8"/>
    <x v="1"/>
    <x v="486"/>
    <n v="1008.16"/>
    <n v="2077.5"/>
    <n v="2077.5"/>
    <s v="High"/>
    <n v="7.3999999999999996E-2"/>
    <n v="7.3999999999999996E-2"/>
    <x v="0"/>
    <n v="15"/>
    <n v="28856.475000000002"/>
    <n v="15122.4"/>
    <n v="13734.075000000003"/>
    <n v="0.47594430712691005"/>
  </r>
  <r>
    <s v="ORD-2024-973420"/>
    <d v="2024-05-12T00:00:00"/>
    <x v="393"/>
    <s v="Q2-2024"/>
    <d v="2024-05-24T00:00:00"/>
    <d v="2024-05-24T00:00:00"/>
    <n v="12"/>
    <n v="12"/>
    <x v="0"/>
    <x v="7"/>
    <x v="3"/>
    <x v="8"/>
    <s v="Manchester"/>
    <s v="Europe - United Kingdom - Manchester"/>
    <s v="Education"/>
    <x v="2"/>
    <x v="11"/>
    <x v="1"/>
    <x v="487"/>
    <n v="111.02"/>
    <n v="172.88"/>
    <n v="172.88"/>
    <s v="Low"/>
    <n v="0.19700000000000001"/>
    <n v="0.19700000000000001"/>
    <x v="0"/>
    <n v="29"/>
    <n v="4025.8565599999993"/>
    <n v="3219.58"/>
    <n v="806.27655999999934"/>
    <n v="0.20027453735212053"/>
  </r>
  <r>
    <s v="ORD-2025-254721"/>
    <d v="2025-05-15T00:00:00"/>
    <x v="394"/>
    <s v="Q2-2025"/>
    <d v="2025-06-05T00:00:00"/>
    <d v="2025-06-05T00:00:00"/>
    <n v="21"/>
    <n v="21"/>
    <x v="0"/>
    <x v="2"/>
    <x v="1"/>
    <x v="2"/>
    <s v="Osaka"/>
    <s v="Asia - Japan - Osaka"/>
    <s v="Enterprise"/>
    <x v="4"/>
    <x v="10"/>
    <x v="3"/>
    <x v="488"/>
    <n v="1466.5"/>
    <n v="2778.74"/>
    <n v="2778.74"/>
    <s v="High"/>
    <n v="0.13500000000000001"/>
    <n v="0.13500000000000001"/>
    <x v="0"/>
    <n v="4"/>
    <n v="9614.4403999999995"/>
    <n v="5866"/>
    <n v="3748.4403999999995"/>
    <n v="0.38987608680792279"/>
  </r>
  <r>
    <s v="ORD-2024-247032"/>
    <d v="2024-04-21T00:00:00"/>
    <x v="395"/>
    <s v="Q2-2024"/>
    <d v="2024-05-19T00:00:00"/>
    <d v="2024-05-19T00:00:00"/>
    <n v="28"/>
    <n v="28"/>
    <x v="0"/>
    <x v="1"/>
    <x v="0"/>
    <x v="1"/>
    <s v="Lagos"/>
    <s v="Africa - Nigeria - Lagos"/>
    <s v="Corporate"/>
    <x v="3"/>
    <x v="8"/>
    <x v="6"/>
    <x v="489"/>
    <n v="187.22"/>
    <n v="309.47000000000003"/>
    <n v="309.47000000000003"/>
    <s v="Low"/>
    <n v="0"/>
    <n v="0"/>
    <x v="0"/>
    <n v="5"/>
    <n v="1547.3500000000001"/>
    <n v="936.1"/>
    <n v="611.25000000000011"/>
    <n v="0.39503021294471197"/>
  </r>
  <r>
    <s v="ORD-2024-792353"/>
    <d v="2024-08-19T00:00:00"/>
    <x v="396"/>
    <s v="Q3-2024"/>
    <d v="2024-09-07T00:00:00"/>
    <d v="2024-09-07T00:00:00"/>
    <n v="19"/>
    <n v="19"/>
    <x v="0"/>
    <x v="6"/>
    <x v="3"/>
    <x v="7"/>
    <s v="Lyon"/>
    <s v="Europe - France - Lyon"/>
    <s v="Corporate"/>
    <x v="4"/>
    <x v="1"/>
    <x v="0"/>
    <x v="490"/>
    <n v="297.58999999999997"/>
    <n v="666.41"/>
    <n v="666.41"/>
    <s v="Low"/>
    <n v="0"/>
    <n v="0"/>
    <x v="0"/>
    <n v="10"/>
    <n v="6664.0999999999995"/>
    <n v="2975.8999999999996"/>
    <n v="3688.2"/>
    <n v="0.55344307558409989"/>
  </r>
  <r>
    <s v="ORD-2025-703623"/>
    <d v="2025-07-23T00:00:00"/>
    <x v="319"/>
    <s v="Q3-2025"/>
    <d v="2025-08-19T00:00:00"/>
    <d v="2025-08-19T00:00:00"/>
    <n v="27"/>
    <n v="27"/>
    <x v="0"/>
    <x v="2"/>
    <x v="1"/>
    <x v="2"/>
    <s v="Nagoya"/>
    <s v="Asia - Japan - Nagoya"/>
    <s v="Consumer"/>
    <x v="2"/>
    <x v="5"/>
    <x v="6"/>
    <x v="491"/>
    <n v="896.09"/>
    <n v="744.27"/>
    <n v="744.27"/>
    <s v="Low"/>
    <n v="8.3000000000000004E-2"/>
    <n v="8.3000000000000004E-2"/>
    <x v="0"/>
    <n v="11"/>
    <n v="7507.4514899999995"/>
    <n v="9856.99"/>
    <n v="-2349.5385100000003"/>
    <n v="-0.31296086469950679"/>
  </r>
  <r>
    <s v="ORD-2024-516704"/>
    <d v="2024-03-01T00:00:00"/>
    <x v="397"/>
    <s v="Q1-2024"/>
    <d v="2024-02-29T00:00:00"/>
    <d v="2024-03-14T00:00:00"/>
    <n v="-1"/>
    <n v="13"/>
    <x v="0"/>
    <x v="4"/>
    <x v="2"/>
    <x v="5"/>
    <s v="São Paulo"/>
    <s v="Americas - Brazil - São Paulo"/>
    <s v="Non-Profit"/>
    <x v="4"/>
    <x v="2"/>
    <x v="3"/>
    <x v="492"/>
    <n v="5.34"/>
    <n v="12.69"/>
    <n v="12.69"/>
    <s v="Low"/>
    <n v="0.13200000000000001"/>
    <n v="0.13200000000000001"/>
    <x v="0"/>
    <n v="10"/>
    <n v="110.14919999999999"/>
    <n v="53.4"/>
    <n v="56.749199999999995"/>
    <n v="0.51520301554618642"/>
  </r>
  <r>
    <s v="ORD-2024-578646"/>
    <d v="2024-05-27T00:00:00"/>
    <x v="398"/>
    <s v="Q2-2024"/>
    <d v="2024-06-17T00:00:00"/>
    <d v="2024-06-17T00:00:00"/>
    <n v="21"/>
    <n v="21"/>
    <x v="0"/>
    <x v="4"/>
    <x v="1"/>
    <x v="4"/>
    <s v="Delhi"/>
    <s v="Asia - India - Delhi"/>
    <s v="Small Business"/>
    <x v="1"/>
    <x v="10"/>
    <x v="6"/>
    <x v="493"/>
    <n v="465.02"/>
    <n v="651.55999999999995"/>
    <n v="651.55999999999995"/>
    <s v="Low"/>
    <n v="4.2000000000000003E-2"/>
    <n v="4.2000000000000003E-2"/>
    <x v="0"/>
    <n v="19"/>
    <n v="11859.695119999998"/>
    <n v="8835.3799999999992"/>
    <n v="3024.3151199999993"/>
    <n v="0.25500783025187918"/>
  </r>
  <r>
    <s v="ORD-2024-433936"/>
    <d v="2024-08-04T00:00:00"/>
    <x v="399"/>
    <s v="Q3-2024"/>
    <d v="2024-08-17T00:00:00"/>
    <d v="2024-08-17T00:00:00"/>
    <n v="13"/>
    <n v="13"/>
    <x v="0"/>
    <x v="9"/>
    <x v="2"/>
    <x v="10"/>
    <s v="Austin"/>
    <s v="Americas - USA - Austin"/>
    <s v="Consumer"/>
    <x v="0"/>
    <x v="14"/>
    <x v="5"/>
    <x v="494"/>
    <n v="352.79"/>
    <n v="754.22"/>
    <n v="754.22"/>
    <s v="Low"/>
    <n v="0.113"/>
    <n v="0.113"/>
    <x v="0"/>
    <n v="7"/>
    <n v="4682.9519799999998"/>
    <n v="2469.5300000000002"/>
    <n v="2213.4219799999996"/>
    <n v="0.47265528014233443"/>
  </r>
  <r>
    <s v="ORD-2023-434071"/>
    <d v="2023-06-20T00:00:00"/>
    <x v="264"/>
    <s v="Q2-2023"/>
    <d v="2023-07-04T00:00:00"/>
    <d v="2023-07-04T00:00:00"/>
    <n v="14"/>
    <n v="14"/>
    <x v="0"/>
    <x v="4"/>
    <x v="2"/>
    <x v="5"/>
    <s v="Brasília"/>
    <s v="Americas - Brazil - Brasília"/>
    <s v="Non-Profit"/>
    <x v="4"/>
    <x v="0"/>
    <x v="2"/>
    <x v="495"/>
    <n v="1292.8599999999999"/>
    <n v="2981.01"/>
    <n v="2981.01"/>
    <s v="High"/>
    <n v="0.14199999999999999"/>
    <n v="0.14199999999999999"/>
    <x v="0"/>
    <n v="12"/>
    <n v="30692.47896"/>
    <n v="15514.32"/>
    <n v="15178.158960000001"/>
    <n v="0.49452372288927687"/>
  </r>
  <r>
    <s v="ORD-2024-728474"/>
    <d v="2024-09-09T00:00:00"/>
    <x v="191"/>
    <s v="Q3-2024"/>
    <d v="2024-09-13T00:00:00"/>
    <d v="2024-09-13T00:00:00"/>
    <n v="4"/>
    <n v="4"/>
    <x v="1"/>
    <x v="7"/>
    <x v="3"/>
    <x v="8"/>
    <s v="London"/>
    <s v="Europe - United Kingdom - London"/>
    <s v="Consumer"/>
    <x v="2"/>
    <x v="9"/>
    <x v="2"/>
    <x v="496"/>
    <n v="1133.08"/>
    <n v="976.17"/>
    <n v="976.17"/>
    <s v="Medium"/>
    <n v="4.2000000000000003E-2"/>
    <n v="4.2000000000000003E-2"/>
    <x v="0"/>
    <n v="27"/>
    <n v="25249.613219999999"/>
    <n v="30593.159999999996"/>
    <n v="-5343.5467799999969"/>
    <n v="-0.21162885678452373"/>
  </r>
  <r>
    <s v="ORD-2023-406606"/>
    <d v="2023-10-25T00:00:00"/>
    <x v="391"/>
    <s v="Q4-2023"/>
    <d v="2023-10-28T00:00:00"/>
    <d v="2023-10-28T00:00:00"/>
    <n v="3"/>
    <n v="3"/>
    <x v="1"/>
    <x v="4"/>
    <x v="2"/>
    <x v="5"/>
    <s v="Brasília"/>
    <s v="Americas - Brazil - Brasília"/>
    <s v="Corporate"/>
    <x v="3"/>
    <x v="4"/>
    <x v="6"/>
    <x v="497"/>
    <n v="509.31"/>
    <n v="1145.9000000000001"/>
    <n v="1145.9000000000001"/>
    <s v="Medium"/>
    <n v="5.7000000000000002E-2"/>
    <n v="5.7000000000000002E-2"/>
    <x v="0"/>
    <n v="8"/>
    <n v="8644.6696000000011"/>
    <n v="4074.48"/>
    <n v="4570.1896000000015"/>
    <n v="0.52867140231709964"/>
  </r>
  <r>
    <s v="ORD-2025-823055"/>
    <d v="2025-09-08T00:00:00"/>
    <x v="17"/>
    <s v="Q3-2025"/>
    <d v="2025-10-05T00:00:00"/>
    <d v="2025-10-05T00:00:00"/>
    <n v="27"/>
    <n v="27"/>
    <x v="0"/>
    <x v="4"/>
    <x v="2"/>
    <x v="5"/>
    <s v="Rio de Janeiro"/>
    <s v="Americas - Brazil - Rio de Janeiro"/>
    <s v="Education"/>
    <x v="1"/>
    <x v="0"/>
    <x v="5"/>
    <x v="498"/>
    <n v="660.78"/>
    <n v="1630.39"/>
    <n v="1630.39"/>
    <s v="Medium"/>
    <n v="0.218"/>
    <n v="0.218"/>
    <x v="1"/>
    <n v="13"/>
    <n v="16574.544740000001"/>
    <n v="8590.14"/>
    <n v="7984.4047400000018"/>
    <n v="0.48172694123724097"/>
  </r>
  <r>
    <s v="ORD-2023-573656"/>
    <d v="2023-05-02T00:00:00"/>
    <x v="129"/>
    <s v="Q2-2023"/>
    <d v="2023-05-16T00:00:00"/>
    <d v="2023-05-16T00:00:00"/>
    <n v="14"/>
    <n v="14"/>
    <x v="0"/>
    <x v="4"/>
    <x v="1"/>
    <x v="4"/>
    <s v="Bengaluru"/>
    <s v="Asia - India - Bengaluru"/>
    <s v="Non-Profit"/>
    <x v="0"/>
    <x v="4"/>
    <x v="5"/>
    <x v="499"/>
    <n v="475.37"/>
    <n v="963.73"/>
    <n v="963.73"/>
    <s v="Medium"/>
    <n v="4.1000000000000002E-2"/>
    <n v="4.1000000000000002E-2"/>
    <x v="0"/>
    <n v="22"/>
    <n v="20332.775539999999"/>
    <n v="10458.14"/>
    <n v="9874.6355399999993"/>
    <n v="0.48565113604750881"/>
  </r>
  <r>
    <s v="ORD-2024-567435"/>
    <d v="2024-04-26T00:00:00"/>
    <x v="400"/>
    <s v="Q2-2024"/>
    <d v="2024-04-24T00:00:00"/>
    <d v="2024-05-10T00:00:00"/>
    <n v="-2"/>
    <n v="14"/>
    <x v="0"/>
    <x v="7"/>
    <x v="3"/>
    <x v="8"/>
    <s v="London"/>
    <s v="Europe - United Kingdom - London"/>
    <s v="Non-Profit"/>
    <x v="3"/>
    <x v="13"/>
    <x v="3"/>
    <x v="500"/>
    <n v="1232.77"/>
    <n v="891.73"/>
    <n v="891.73"/>
    <s v="Medium"/>
    <n v="0.16700000000000001"/>
    <n v="0.16700000000000001"/>
    <x v="0"/>
    <n v="10"/>
    <n v="7428.1108999999988"/>
    <n v="12327.7"/>
    <n v="-4899.589100000002"/>
    <n v="-0.65960096260813805"/>
  </r>
  <r>
    <s v="ORD-2023-744942"/>
    <d v="2023-02-23T00:00:00"/>
    <x v="29"/>
    <s v="Q1-2023"/>
    <d v="2023-03-18T00:00:00"/>
    <d v="2023-03-18T00:00:00"/>
    <n v="23"/>
    <n v="23"/>
    <x v="0"/>
    <x v="8"/>
    <x v="1"/>
    <x v="9"/>
    <s v="Beijing"/>
    <s v="Asia - China - Beijing"/>
    <s v="Education"/>
    <x v="3"/>
    <x v="11"/>
    <x v="1"/>
    <x v="501"/>
    <n v="770.11"/>
    <n v="1667.82"/>
    <n v="1667.82"/>
    <s v="High"/>
    <n v="6.9000000000000006E-2"/>
    <n v="6.9000000000000006E-2"/>
    <x v="0"/>
    <n v="7"/>
    <n v="10869.182940000001"/>
    <n v="5390.77"/>
    <n v="5478.4129400000002"/>
    <n v="0.50403171703355287"/>
  </r>
  <r>
    <s v="ORD-2025-331237"/>
    <d v="2025-03-24T00:00:00"/>
    <x v="401"/>
    <s v="Q1-2025"/>
    <d v="2025-03-25T00:00:00"/>
    <d v="2025-03-25T00:00:00"/>
    <n v="1"/>
    <n v="1"/>
    <x v="1"/>
    <x v="8"/>
    <x v="1"/>
    <x v="9"/>
    <s v="Beijing"/>
    <s v="Asia - China - Beijing"/>
    <s v="Non-Profit"/>
    <x v="1"/>
    <x v="3"/>
    <x v="2"/>
    <x v="502"/>
    <n v="1133.03"/>
    <n v="1921.51"/>
    <n v="1921.51"/>
    <s v="High"/>
    <n v="0.10100000000000001"/>
    <n v="0.10100000000000001"/>
    <x v="0"/>
    <n v="5"/>
    <n v="8637.1874499999994"/>
    <n v="5665.15"/>
    <n v="2972.0374499999998"/>
    <n v="0.3440978289755654"/>
  </r>
  <r>
    <s v="ORD-2025-680118"/>
    <d v="2025-03-10T00:00:00"/>
    <x v="402"/>
    <s v="Q1-2025"/>
    <d v="2025-03-27T00:00:00"/>
    <d v="2025-03-27T00:00:00"/>
    <n v="17"/>
    <n v="17"/>
    <x v="0"/>
    <x v="4"/>
    <x v="2"/>
    <x v="5"/>
    <s v="Rio de Janeiro"/>
    <s v="Americas - Brazil - Rio de Janeiro"/>
    <s v="Enterprise"/>
    <x v="4"/>
    <x v="9"/>
    <x v="2"/>
    <x v="503"/>
    <n v="996.73"/>
    <n v="1217.43"/>
    <n v="1217.43"/>
    <s v="Medium"/>
    <n v="7.0000000000000007E-2"/>
    <n v="7.0000000000000007E-2"/>
    <x v="0"/>
    <n v="9"/>
    <n v="10189.8891"/>
    <n v="8970.57"/>
    <n v="1219.3191000000006"/>
    <n v="0.11965970267527255"/>
  </r>
  <r>
    <s v="ORD-2024-310809"/>
    <d v="2024-04-05T00:00:00"/>
    <x v="403"/>
    <s v="Q2-2024"/>
    <d v="2024-04-09T00:00:00"/>
    <d v="2024-04-09T00:00:00"/>
    <n v="4"/>
    <n v="4"/>
    <x v="1"/>
    <x v="1"/>
    <x v="0"/>
    <x v="1"/>
    <s v="Lagos"/>
    <s v="Africa - Nigeria - Lagos"/>
    <s v="Non-Profit"/>
    <x v="4"/>
    <x v="11"/>
    <x v="0"/>
    <x v="504"/>
    <n v="395.07"/>
    <n v="970.27"/>
    <n v="970.27"/>
    <s v="Medium"/>
    <n v="0.123"/>
    <n v="0.123"/>
    <x v="0"/>
    <n v="38"/>
    <n v="32335.21802"/>
    <n v="15012.66"/>
    <n v="17322.55802"/>
    <n v="0.53571799049833657"/>
  </r>
  <r>
    <s v="ORD-2025-474368"/>
    <d v="2025-04-27T00:00:00"/>
    <x v="60"/>
    <s v="Q2-2025"/>
    <d v="2025-05-17T00:00:00"/>
    <d v="2025-05-17T00:00:00"/>
    <n v="20"/>
    <n v="20"/>
    <x v="0"/>
    <x v="9"/>
    <x v="2"/>
    <x v="10"/>
    <s v="Austin"/>
    <s v="Americas - USA - Austin"/>
    <s v="Corporate"/>
    <x v="4"/>
    <x v="13"/>
    <x v="3"/>
    <x v="505"/>
    <n v="932.26"/>
    <n v="1624.67"/>
    <n v="1624.67"/>
    <s v="Medium"/>
    <n v="0.23499999999999999"/>
    <n v="0.23499999999999999"/>
    <x v="1"/>
    <n v="28"/>
    <n v="34800.431400000001"/>
    <n v="26103.279999999999"/>
    <n v="8697.1514000000025"/>
    <n v="0.24991504559337163"/>
  </r>
  <r>
    <s v="ORD-2024-732543"/>
    <d v="2024-10-24T00:00:00"/>
    <x v="404"/>
    <s v="Q4-2024"/>
    <d v="2024-10-28T00:00:00"/>
    <d v="2024-10-28T00:00:00"/>
    <n v="4"/>
    <n v="4"/>
    <x v="1"/>
    <x v="8"/>
    <x v="1"/>
    <x v="9"/>
    <s v="Shanghai"/>
    <s v="Asia - China - Shanghai"/>
    <s v="Small Business"/>
    <x v="3"/>
    <x v="2"/>
    <x v="2"/>
    <x v="506"/>
    <n v="1331.77"/>
    <n v="2606.11"/>
    <n v="2606.11"/>
    <s v="High"/>
    <n v="0.02"/>
    <n v="0.02"/>
    <x v="0"/>
    <n v="6"/>
    <n v="15323.926799999999"/>
    <n v="7990.62"/>
    <n v="7333.3067999999994"/>
    <n v="0.47855271665745619"/>
  </r>
  <r>
    <s v="ORD-2023-867166"/>
    <d v="2023-04-13T00:00:00"/>
    <x v="290"/>
    <s v="Q2-2023"/>
    <d v="2023-04-20T00:00:00"/>
    <d v="2023-04-20T00:00:00"/>
    <n v="7"/>
    <n v="7"/>
    <x v="1"/>
    <x v="6"/>
    <x v="3"/>
    <x v="7"/>
    <s v="Lyon"/>
    <s v="Europe - France - Lyon"/>
    <s v="Small Business"/>
    <x v="1"/>
    <x v="8"/>
    <x v="4"/>
    <x v="507"/>
    <n v="227.02"/>
    <n v="434.72"/>
    <n v="434.72"/>
    <s v="Low"/>
    <n v="9.8000000000000004E-2"/>
    <n v="9.8000000000000004E-2"/>
    <x v="0"/>
    <n v="10"/>
    <n v="3921.1744000000008"/>
    <n v="2270.2000000000003"/>
    <n v="1650.9744000000005"/>
    <n v="0.42104079838938052"/>
  </r>
  <r>
    <s v="ORD-2024-776337"/>
    <d v="2024-11-12T00:00:00"/>
    <x v="405"/>
    <s v="Q4-2024"/>
    <d v="2024-11-21T00:00:00"/>
    <d v="2024-11-21T00:00:00"/>
    <n v="9"/>
    <n v="9"/>
    <x v="0"/>
    <x v="4"/>
    <x v="1"/>
    <x v="4"/>
    <s v="Mumbai"/>
    <s v="Asia - India - Mumbai"/>
    <s v="Corporate"/>
    <x v="4"/>
    <x v="10"/>
    <x v="4"/>
    <x v="508"/>
    <n v="903.41"/>
    <n v="1860.41"/>
    <n v="1860.41"/>
    <s v="High"/>
    <n v="0.108"/>
    <n v="0.108"/>
    <x v="0"/>
    <n v="5"/>
    <n v="8297.4286000000011"/>
    <n v="4517.05"/>
    <n v="3780.3786000000009"/>
    <n v="0.455608451996803"/>
  </r>
  <r>
    <s v="ORD-2023-913592"/>
    <d v="2023-05-10T00:00:00"/>
    <x v="406"/>
    <s v="Q2-2023"/>
    <d v="2023-05-14T00:00:00"/>
    <d v="2023-05-14T00:00:00"/>
    <n v="4"/>
    <n v="4"/>
    <x v="1"/>
    <x v="4"/>
    <x v="1"/>
    <x v="4"/>
    <s v="Delhi"/>
    <s v="Asia - India - Delhi"/>
    <s v="Non-Profit"/>
    <x v="3"/>
    <x v="0"/>
    <x v="5"/>
    <x v="509"/>
    <n v="622.6"/>
    <n v="833.69"/>
    <n v="833.69"/>
    <s v="Medium"/>
    <n v="0.20899999999999999"/>
    <n v="0.20899999999999999"/>
    <x v="1"/>
    <n v="14"/>
    <n v="9232.2830599999998"/>
    <n v="8716.4"/>
    <n v="515.88306000000011"/>
    <n v="5.5878167582959715E-2"/>
  </r>
  <r>
    <s v="ORD-2024-961501"/>
    <d v="2024-03-02T00:00:00"/>
    <x v="263"/>
    <s v="Q1-2024"/>
    <d v="2024-03-23T00:00:00"/>
    <d v="2024-03-23T00:00:00"/>
    <n v="21"/>
    <n v="21"/>
    <x v="0"/>
    <x v="9"/>
    <x v="2"/>
    <x v="10"/>
    <s v="Chicago"/>
    <s v="Americas - USA - Chicago"/>
    <s v="Small Business"/>
    <x v="1"/>
    <x v="9"/>
    <x v="0"/>
    <x v="510"/>
    <n v="225.01"/>
    <n v="333.48"/>
    <n v="333.48"/>
    <s v="Low"/>
    <n v="0.11899999999999999"/>
    <n v="0.11899999999999999"/>
    <x v="0"/>
    <n v="12"/>
    <n v="3525.5505600000001"/>
    <n v="2700.12"/>
    <n v="825.43056000000024"/>
    <n v="0.23412813004729685"/>
  </r>
  <r>
    <s v="ORD-2024-964950"/>
    <d v="2024-10-10T00:00:00"/>
    <x v="407"/>
    <s v="Q4-2024"/>
    <d v="2024-10-11T00:00:00"/>
    <d v="2024-10-11T00:00:00"/>
    <n v="1"/>
    <n v="1"/>
    <x v="1"/>
    <x v="7"/>
    <x v="3"/>
    <x v="8"/>
    <s v="Manchester"/>
    <s v="Europe - United Kingdom - Manchester"/>
    <s v="Non-Profit"/>
    <x v="3"/>
    <x v="4"/>
    <x v="0"/>
    <x v="511"/>
    <n v="1389.46"/>
    <n v="1784.7"/>
    <n v="1784.7"/>
    <s v="High"/>
    <n v="0.14599999999999999"/>
    <n v="0.14599999999999999"/>
    <x v="0"/>
    <n v="33"/>
    <n v="50296.415399999998"/>
    <n v="45852.18"/>
    <n v="4444.2353999999978"/>
    <n v="8.8360877503011831E-2"/>
  </r>
  <r>
    <s v="ORD-2023-349264"/>
    <d v="2023-06-01T00:00:00"/>
    <x v="408"/>
    <s v="Q2-2023"/>
    <d v="2023-06-08T00:00:00"/>
    <d v="2023-06-08T00:00:00"/>
    <n v="7"/>
    <n v="7"/>
    <x v="1"/>
    <x v="5"/>
    <x v="3"/>
    <x v="6"/>
    <s v="Frankfurt"/>
    <s v="Europe - Germany - Frankfurt"/>
    <s v="Consumer"/>
    <x v="1"/>
    <x v="8"/>
    <x v="3"/>
    <x v="512"/>
    <n v="804.17"/>
    <n v="1072.29"/>
    <n v="1072.29"/>
    <s v="Medium"/>
    <n v="3.2000000000000001E-2"/>
    <n v="3.2000000000000001E-2"/>
    <x v="0"/>
    <n v="5"/>
    <n v="5189.8836000000001"/>
    <n v="4020.85"/>
    <n v="1169.0336000000002"/>
    <n v="0.2252523736755869"/>
  </r>
  <r>
    <s v="ORD-2025-137394"/>
    <d v="2025-01-04T00:00:00"/>
    <x v="409"/>
    <s v="Q1-2025"/>
    <d v="2025-01-05T00:00:00"/>
    <d v="2025-01-05T00:00:00"/>
    <n v="1"/>
    <n v="1"/>
    <x v="1"/>
    <x v="4"/>
    <x v="1"/>
    <x v="4"/>
    <s v="Delhi"/>
    <s v="Asia - India - Delhi"/>
    <s v="Education"/>
    <x v="0"/>
    <x v="2"/>
    <x v="0"/>
    <x v="513"/>
    <n v="1428.33"/>
    <n v="3028.05"/>
    <n v="3028.05"/>
    <s v="High"/>
    <n v="0"/>
    <n v="0"/>
    <x v="0"/>
    <n v="11"/>
    <n v="33308.550000000003"/>
    <n v="15711.63"/>
    <n v="17596.920000000006"/>
    <n v="0.52830039134096207"/>
  </r>
  <r>
    <s v="ORD-2025-635337"/>
    <d v="2025-08-05T00:00:00"/>
    <x v="117"/>
    <s v="Q3-2025"/>
    <d v="2025-08-28T00:00:00"/>
    <d v="2025-08-28T00:00:00"/>
    <n v="23"/>
    <n v="23"/>
    <x v="0"/>
    <x v="4"/>
    <x v="1"/>
    <x v="4"/>
    <s v="Mumbai"/>
    <s v="Asia - India - Mumbai"/>
    <s v="Non-Profit"/>
    <x v="3"/>
    <x v="13"/>
    <x v="4"/>
    <x v="514"/>
    <n v="638.54"/>
    <n v="987.24"/>
    <n v="987.24"/>
    <s v="Medium"/>
    <n v="0"/>
    <n v="0"/>
    <x v="0"/>
    <n v="11"/>
    <n v="10859.64"/>
    <n v="7023.94"/>
    <n v="3835.7"/>
    <n v="0.35320692030306716"/>
  </r>
  <r>
    <s v="ORD-2023-568013"/>
    <d v="2023-09-30T00:00:00"/>
    <x v="323"/>
    <s v="Q3-2023"/>
    <d v="2023-10-30T00:00:00"/>
    <d v="2023-10-30T00:00:00"/>
    <n v="30"/>
    <n v="30"/>
    <x v="0"/>
    <x v="2"/>
    <x v="1"/>
    <x v="2"/>
    <s v="Tokyo"/>
    <s v="Asia - Japan - Tokyo"/>
    <s v="Enterprise"/>
    <x v="1"/>
    <x v="14"/>
    <x v="1"/>
    <x v="515"/>
    <n v="649.13"/>
    <n v="975.43"/>
    <n v="975.43"/>
    <s v="Medium"/>
    <n v="0.157"/>
    <n v="0.157"/>
    <x v="0"/>
    <n v="27"/>
    <n v="22201.762229999997"/>
    <n v="17526.509999999998"/>
    <n v="4675.2522299999982"/>
    <n v="0.21058023149543473"/>
  </r>
  <r>
    <s v="ORD-2025-828263"/>
    <d v="2025-05-17T00:00:00"/>
    <x v="253"/>
    <s v="Q2-2025"/>
    <d v="2025-05-30T00:00:00"/>
    <d v="2025-05-30T00:00:00"/>
    <n v="13"/>
    <n v="13"/>
    <x v="0"/>
    <x v="1"/>
    <x v="0"/>
    <x v="1"/>
    <s v="Lagos"/>
    <s v="Africa - Nigeria - Lagos"/>
    <s v="Consumer"/>
    <x v="3"/>
    <x v="9"/>
    <x v="6"/>
    <x v="516"/>
    <n v="66.400000000000006"/>
    <n v="141.43"/>
    <n v="141.43"/>
    <s v="Low"/>
    <n v="0.107"/>
    <n v="0.107"/>
    <x v="0"/>
    <n v="8"/>
    <n v="1010.3759200000001"/>
    <n v="531.20000000000005"/>
    <n v="479.17592000000002"/>
    <n v="0.47425508715607551"/>
  </r>
  <r>
    <s v="ORD-2024-402240"/>
    <d v="2024-05-01T00:00:00"/>
    <x v="372"/>
    <s v="Q2-2024"/>
    <d v="2024-05-26T00:00:00"/>
    <d v="2024-05-26T00:00:00"/>
    <n v="25"/>
    <n v="25"/>
    <x v="0"/>
    <x v="5"/>
    <x v="3"/>
    <x v="6"/>
    <s v="Berlin"/>
    <s v="Europe - Germany - Berlin"/>
    <s v="Non-Profit"/>
    <x v="0"/>
    <x v="5"/>
    <x v="2"/>
    <x v="517"/>
    <n v="930.71"/>
    <n v="1625.42"/>
    <n v="1625.42"/>
    <s v="Medium"/>
    <n v="0.13800000000000001"/>
    <n v="0.13800000000000001"/>
    <x v="0"/>
    <n v="7"/>
    <n v="9807.7842799999999"/>
    <n v="6514.97"/>
    <n v="3292.8142799999996"/>
    <n v="0.33573477821231196"/>
  </r>
  <r>
    <s v="ORD-2023-125739"/>
    <d v="2023-05-01T00:00:00"/>
    <x v="410"/>
    <s v="Q2-2023"/>
    <d v="2023-05-18T00:00:00"/>
    <d v="2023-05-18T00:00:00"/>
    <n v="17"/>
    <n v="17"/>
    <x v="0"/>
    <x v="1"/>
    <x v="0"/>
    <x v="1"/>
    <s v="Port Harcourt"/>
    <s v="Africa - Nigeria - Port Harcourt"/>
    <s v="Corporate"/>
    <x v="4"/>
    <x v="9"/>
    <x v="0"/>
    <x v="518"/>
    <n v="327.97"/>
    <n v="299.94"/>
    <n v="299.94"/>
    <s v="Low"/>
    <n v="4.9000000000000002E-2"/>
    <n v="4.9000000000000002E-2"/>
    <x v="0"/>
    <n v="3"/>
    <n v="855.72881999999993"/>
    <n v="983.91000000000008"/>
    <n v="-128.18118000000015"/>
    <n v="-0.14979182306843442"/>
  </r>
  <r>
    <s v="ORD-2024-892879"/>
    <d v="2024-07-09T00:00:00"/>
    <x v="411"/>
    <s v="Q3-2024"/>
    <d v="2024-08-08T00:00:00"/>
    <d v="2024-08-08T00:00:00"/>
    <n v="30"/>
    <n v="30"/>
    <x v="0"/>
    <x v="6"/>
    <x v="3"/>
    <x v="7"/>
    <s v="Marseille"/>
    <s v="Europe - France - Marseille"/>
    <s v="Corporate"/>
    <x v="4"/>
    <x v="1"/>
    <x v="0"/>
    <x v="519"/>
    <n v="1062.3800000000001"/>
    <n v="1503.96"/>
    <n v="1503.96"/>
    <s v="Medium"/>
    <n v="0.18"/>
    <n v="0.18"/>
    <x v="0"/>
    <n v="6"/>
    <n v="7399.4832000000006"/>
    <n v="6374.2800000000007"/>
    <n v="1025.2031999999999"/>
    <n v="0.13855064905073369"/>
  </r>
  <r>
    <s v="ORD-2023-472050"/>
    <d v="2023-05-10T00:00:00"/>
    <x v="406"/>
    <s v="Q2-2023"/>
    <d v="2023-05-27T00:00:00"/>
    <d v="2023-05-27T00:00:00"/>
    <n v="17"/>
    <n v="17"/>
    <x v="0"/>
    <x v="4"/>
    <x v="1"/>
    <x v="4"/>
    <s v="Mumbai"/>
    <s v="Asia - India - Mumbai"/>
    <s v="Consumer"/>
    <x v="0"/>
    <x v="12"/>
    <x v="4"/>
    <x v="520"/>
    <n v="1286.1600000000001"/>
    <n v="3101.11"/>
    <n v="3101.11"/>
    <s v="High"/>
    <n v="0.1"/>
    <n v="0.1"/>
    <x v="0"/>
    <n v="23"/>
    <n v="64192.976999999999"/>
    <n v="29581.68"/>
    <n v="34611.296999999999"/>
    <n v="0.53917575749758417"/>
  </r>
  <r>
    <s v="ORD-2024-468615"/>
    <d v="2024-07-09T00:00:00"/>
    <x v="411"/>
    <s v="Q3-2024"/>
    <d v="2024-07-12T00:00:00"/>
    <d v="2024-07-12T00:00:00"/>
    <n v="3"/>
    <n v="3"/>
    <x v="1"/>
    <x v="8"/>
    <x v="1"/>
    <x v="9"/>
    <s v="Shanghai"/>
    <s v="Asia - China - Shanghai"/>
    <s v="Small Business"/>
    <x v="0"/>
    <x v="14"/>
    <x v="6"/>
    <x v="521"/>
    <n v="748.39"/>
    <n v="979.42"/>
    <n v="979.42"/>
    <s v="Medium"/>
    <n v="0"/>
    <n v="0"/>
    <x v="0"/>
    <n v="23"/>
    <n v="22526.66"/>
    <n v="17212.97"/>
    <n v="5313.6899999999987"/>
    <n v="0.23588450307324738"/>
  </r>
  <r>
    <s v="ORD-2024-833375"/>
    <d v="2024-04-24T00:00:00"/>
    <x v="412"/>
    <s v="Q2-2024"/>
    <d v="2024-05-10T00:00:00"/>
    <d v="2024-05-10T00:00:00"/>
    <n v="16"/>
    <n v="16"/>
    <x v="0"/>
    <x v="0"/>
    <x v="0"/>
    <x v="0"/>
    <s v="Kisumu"/>
    <s v="Africa - Kenya - Kisumu"/>
    <s v="Non-Profit"/>
    <x v="1"/>
    <x v="13"/>
    <x v="5"/>
    <x v="522"/>
    <n v="513.30999999999995"/>
    <n v="1186.26"/>
    <n v="1186.26"/>
    <s v="Medium"/>
    <n v="9.4E-2"/>
    <n v="9.4E-2"/>
    <x v="0"/>
    <n v="15"/>
    <n v="16121.273400000002"/>
    <n v="7699.65"/>
    <n v="8421.6234000000022"/>
    <n v="0.52239194702820446"/>
  </r>
  <r>
    <s v="ORD-2024-206311"/>
    <d v="2024-01-13T00:00:00"/>
    <x v="94"/>
    <s v="Q1-2024"/>
    <d v="2024-01-15T00:00:00"/>
    <d v="2024-01-15T00:00:00"/>
    <n v="2"/>
    <n v="2"/>
    <x v="1"/>
    <x v="9"/>
    <x v="2"/>
    <x v="10"/>
    <s v="San Francisco"/>
    <s v="Americas - USA - San Francisco"/>
    <s v="Non-Profit"/>
    <x v="4"/>
    <x v="6"/>
    <x v="0"/>
    <x v="523"/>
    <n v="1061.3699999999999"/>
    <n v="1938.33"/>
    <n v="1938.33"/>
    <s v="High"/>
    <n v="0.17"/>
    <n v="0.17"/>
    <x v="0"/>
    <n v="4"/>
    <n v="6435.2555999999995"/>
    <n v="4245.4799999999996"/>
    <n v="2189.7755999999999"/>
    <n v="0.34027795259600879"/>
  </r>
  <r>
    <s v="ORD-2024-364080"/>
    <d v="2024-04-16T00:00:00"/>
    <x v="413"/>
    <s v="Q2-2024"/>
    <d v="2024-04-27T00:00:00"/>
    <d v="2024-04-27T00:00:00"/>
    <n v="11"/>
    <n v="11"/>
    <x v="0"/>
    <x v="0"/>
    <x v="0"/>
    <x v="0"/>
    <s v="Nakuru"/>
    <s v="Africa - Kenya - Nakuru"/>
    <s v="Enterprise"/>
    <x v="1"/>
    <x v="14"/>
    <x v="1"/>
    <x v="524"/>
    <n v="401.3"/>
    <n v="826.47"/>
    <n v="826.47"/>
    <s v="Medium"/>
    <n v="0.22500000000000001"/>
    <n v="0.22500000000000001"/>
    <x v="1"/>
    <n v="13"/>
    <n v="8326.6852500000005"/>
    <n v="5216.9000000000005"/>
    <n v="3109.7852499999999"/>
    <n v="0.37347217489696755"/>
  </r>
  <r>
    <s v="ORD-2025-460466"/>
    <d v="2025-02-07T00:00:00"/>
    <x v="414"/>
    <s v="Q1-2025"/>
    <d v="2025-02-16T00:00:00"/>
    <d v="2025-02-16T00:00:00"/>
    <n v="9"/>
    <n v="9"/>
    <x v="0"/>
    <x v="1"/>
    <x v="0"/>
    <x v="1"/>
    <s v="Lagos"/>
    <s v="Africa - Nigeria - Lagos"/>
    <s v="Small Business"/>
    <x v="3"/>
    <x v="0"/>
    <x v="1"/>
    <x v="525"/>
    <n v="90.68"/>
    <n v="118.17"/>
    <n v="118.17"/>
    <s v="Low"/>
    <n v="0.13500000000000001"/>
    <n v="0.13500000000000001"/>
    <x v="0"/>
    <n v="21"/>
    <n v="2146.5580500000001"/>
    <n v="1904.2800000000002"/>
    <n v="242.27804999999989"/>
    <n v="0.11286815653552899"/>
  </r>
  <r>
    <s v="ORD-2023-700699"/>
    <d v="2023-01-12T00:00:00"/>
    <x v="415"/>
    <s v="Q1-2023"/>
    <d v="2023-01-26T00:00:00"/>
    <d v="2023-01-26T00:00:00"/>
    <n v="14"/>
    <n v="14"/>
    <x v="0"/>
    <x v="8"/>
    <x v="1"/>
    <x v="9"/>
    <s v="Shenzhen"/>
    <s v="Asia - China - Shenzhen"/>
    <s v="Non-Profit"/>
    <x v="0"/>
    <x v="12"/>
    <x v="1"/>
    <x v="526"/>
    <n v="1083.0899999999999"/>
    <n v="1425.87"/>
    <n v="1425.87"/>
    <s v="Medium"/>
    <n v="0"/>
    <n v="0"/>
    <x v="0"/>
    <n v="8"/>
    <n v="11406.96"/>
    <n v="8664.7199999999993"/>
    <n v="2742.24"/>
    <n v="0.24040059752992909"/>
  </r>
  <r>
    <s v="ORD-2024-713332"/>
    <d v="2024-06-05T00:00:00"/>
    <x v="416"/>
    <s v="Q2-2024"/>
    <d v="2024-06-23T00:00:00"/>
    <d v="2024-06-23T00:00:00"/>
    <n v="18"/>
    <n v="18"/>
    <x v="0"/>
    <x v="0"/>
    <x v="0"/>
    <x v="0"/>
    <s v="Nairobi"/>
    <s v="Africa - Kenya - Nairobi"/>
    <s v="Consumer"/>
    <x v="3"/>
    <x v="14"/>
    <x v="4"/>
    <x v="527"/>
    <n v="1208.74"/>
    <n v="1594.78"/>
    <n v="1594.78"/>
    <s v="Medium"/>
    <n v="5.8999999999999997E-2"/>
    <n v="5.8999999999999997E-2"/>
    <x v="0"/>
    <n v="39"/>
    <n v="58526.83122"/>
    <n v="47140.86"/>
    <n v="11385.971219999999"/>
    <n v="0.1945427589817838"/>
  </r>
  <r>
    <s v="ORD-2023-640022"/>
    <d v="2023-08-24T00:00:00"/>
    <x v="417"/>
    <s v="Q3-2023"/>
    <d v="2023-09-20T00:00:00"/>
    <d v="2023-09-20T00:00:00"/>
    <n v="27"/>
    <n v="27"/>
    <x v="0"/>
    <x v="10"/>
    <x v="0"/>
    <x v="11"/>
    <s v="Durban"/>
    <s v="Africa - South Africa - Durban"/>
    <s v="Small Business"/>
    <x v="2"/>
    <x v="12"/>
    <x v="1"/>
    <x v="528"/>
    <n v="1399.64"/>
    <n v="3342.11"/>
    <n v="3342.11"/>
    <s v="High"/>
    <n v="0"/>
    <n v="0"/>
    <x v="0"/>
    <n v="10"/>
    <n v="33421.1"/>
    <n v="13996.400000000001"/>
    <n v="19424.699999999997"/>
    <n v="0.58121067229983447"/>
  </r>
  <r>
    <s v="ORD-2024-532184"/>
    <d v="2024-01-25T00:00:00"/>
    <x v="247"/>
    <s v="Q1-2024"/>
    <d v="2024-02-08T00:00:00"/>
    <d v="2024-02-08T00:00:00"/>
    <n v="14"/>
    <n v="14"/>
    <x v="0"/>
    <x v="2"/>
    <x v="1"/>
    <x v="2"/>
    <s v="Osaka"/>
    <s v="Asia - Japan - Osaka"/>
    <s v="Consumer"/>
    <x v="2"/>
    <x v="2"/>
    <x v="2"/>
    <x v="529"/>
    <n v="937.16"/>
    <n v="1069.77"/>
    <n v="1069.77"/>
    <s v="Medium"/>
    <n v="3.7999999999999999E-2"/>
    <n v="3.7999999999999999E-2"/>
    <x v="0"/>
    <n v="9"/>
    <n v="9262.0686600000008"/>
    <n v="8434.44"/>
    <n v="827.62866000000031"/>
    <n v="8.9356783066645962E-2"/>
  </r>
  <r>
    <s v="ORD-2025-926547"/>
    <d v="2025-03-11T00:00:00"/>
    <x v="418"/>
    <s v="Q1-2025"/>
    <d v="2025-03-26T00:00:00"/>
    <d v="2025-03-26T00:00:00"/>
    <n v="15"/>
    <n v="15"/>
    <x v="0"/>
    <x v="5"/>
    <x v="3"/>
    <x v="6"/>
    <s v="Berlin"/>
    <s v="Europe - Germany - Berlin"/>
    <s v="Small Business"/>
    <x v="1"/>
    <x v="2"/>
    <x v="3"/>
    <x v="530"/>
    <n v="116.97"/>
    <n v="140.82"/>
    <n v="140.82"/>
    <s v="Low"/>
    <n v="0.122"/>
    <n v="0.122"/>
    <x v="0"/>
    <n v="5"/>
    <n v="618.19979999999987"/>
    <n v="584.85"/>
    <n v="33.349799999999846"/>
    <n v="5.3946636669891926E-2"/>
  </r>
  <r>
    <s v="ORD-2025-778145"/>
    <d v="2025-04-22T00:00:00"/>
    <x v="222"/>
    <s v="Q2-2025"/>
    <d v="2025-05-12T00:00:00"/>
    <d v="2025-05-12T00:00:00"/>
    <n v="20"/>
    <n v="20"/>
    <x v="0"/>
    <x v="6"/>
    <x v="3"/>
    <x v="7"/>
    <s v="Lyon"/>
    <s v="Europe - France - Lyon"/>
    <s v="Enterprise"/>
    <x v="2"/>
    <x v="11"/>
    <x v="5"/>
    <x v="531"/>
    <n v="59.51"/>
    <n v="67.040000000000006"/>
    <n v="67.040000000000006"/>
    <s v="Low"/>
    <n v="0.114"/>
    <n v="0.114"/>
    <x v="0"/>
    <n v="9"/>
    <n v="534.57695999999999"/>
    <n v="535.59"/>
    <n v="-1.0130400000000463"/>
    <n v="-1.8950311663264469E-3"/>
  </r>
  <r>
    <s v="ORD-2023-525643"/>
    <d v="2023-08-17T00:00:00"/>
    <x v="419"/>
    <s v="Q3-2023"/>
    <d v="2023-09-03T00:00:00"/>
    <d v="2023-09-03T00:00:00"/>
    <n v="17"/>
    <n v="17"/>
    <x v="0"/>
    <x v="10"/>
    <x v="0"/>
    <x v="11"/>
    <s v="Durban"/>
    <s v="Africa - South Africa - Durban"/>
    <s v="Enterprise"/>
    <x v="0"/>
    <x v="8"/>
    <x v="3"/>
    <x v="532"/>
    <n v="676.37"/>
    <n v="1276.67"/>
    <n v="1276.67"/>
    <s v="Medium"/>
    <n v="6.6000000000000003E-2"/>
    <n v="6.6000000000000003E-2"/>
    <x v="0"/>
    <n v="10"/>
    <n v="11924.0978"/>
    <n v="6763.7"/>
    <n v="5160.3977999999997"/>
    <n v="0.4327705027712872"/>
  </r>
  <r>
    <s v="ORD-2025-312803"/>
    <d v="2025-06-24T00:00:00"/>
    <x v="35"/>
    <s v="Q2-2025"/>
    <d v="2025-07-14T00:00:00"/>
    <d v="2025-07-14T00:00:00"/>
    <n v="20"/>
    <n v="20"/>
    <x v="0"/>
    <x v="10"/>
    <x v="0"/>
    <x v="11"/>
    <s v="Johannesburg"/>
    <s v="Africa - South Africa - Johannesburg"/>
    <s v="Enterprise"/>
    <x v="2"/>
    <x v="1"/>
    <x v="4"/>
    <x v="533"/>
    <n v="1151.06"/>
    <n v="2821.36"/>
    <n v="2821.36"/>
    <s v="High"/>
    <n v="0.248"/>
    <n v="0.248"/>
    <x v="1"/>
    <n v="20"/>
    <n v="42433.254400000005"/>
    <n v="23021.199999999997"/>
    <n v="19412.054400000008"/>
    <n v="0.45747267501594235"/>
  </r>
  <r>
    <s v="ORD-2025-149156"/>
    <d v="2025-01-10T00:00:00"/>
    <x v="420"/>
    <s v="Q1-2025"/>
    <d v="2025-02-06T00:00:00"/>
    <d v="2025-02-06T00:00:00"/>
    <n v="27"/>
    <n v="27"/>
    <x v="0"/>
    <x v="4"/>
    <x v="2"/>
    <x v="5"/>
    <s v="Brasília"/>
    <s v="Americas - Brazil - Brasília"/>
    <s v="Non-Profit"/>
    <x v="0"/>
    <x v="5"/>
    <x v="4"/>
    <x v="534"/>
    <n v="725.62"/>
    <n v="1559.19"/>
    <n v="1559.19"/>
    <s v="Medium"/>
    <n v="0.19"/>
    <n v="0.19"/>
    <x v="0"/>
    <n v="12"/>
    <n v="15155.326800000001"/>
    <n v="8707.44"/>
    <n v="6447.8868000000002"/>
    <n v="0.42545349797405885"/>
  </r>
  <r>
    <s v="ORD-2023-215819"/>
    <d v="2023-07-01T00:00:00"/>
    <x v="306"/>
    <s v="Q3-2023"/>
    <d v="2023-07-11T00:00:00"/>
    <d v="2023-07-11T00:00:00"/>
    <n v="10"/>
    <n v="10"/>
    <x v="0"/>
    <x v="6"/>
    <x v="3"/>
    <x v="7"/>
    <s v="Paris"/>
    <s v="Europe - France - Paris"/>
    <s v="Corporate"/>
    <x v="4"/>
    <x v="9"/>
    <x v="2"/>
    <x v="535"/>
    <n v="479.5"/>
    <n v="656.66"/>
    <n v="656.66"/>
    <s v="Low"/>
    <n v="0.14899999999999999"/>
    <n v="0.14899999999999999"/>
    <x v="0"/>
    <n v="14"/>
    <n v="7823.4472399999995"/>
    <n v="6713"/>
    <n v="1110.4472399999995"/>
    <n v="0.14193835606412289"/>
  </r>
  <r>
    <s v="ORD-2024-353078"/>
    <d v="2024-08-16T00:00:00"/>
    <x v="421"/>
    <s v="Q3-2024"/>
    <d v="2024-08-26T00:00:00"/>
    <d v="2024-08-26T00:00:00"/>
    <n v="10"/>
    <n v="10"/>
    <x v="0"/>
    <x v="9"/>
    <x v="2"/>
    <x v="10"/>
    <s v="Chicago"/>
    <s v="Americas - USA - Chicago"/>
    <s v="Corporate"/>
    <x v="3"/>
    <x v="4"/>
    <x v="4"/>
    <x v="387"/>
    <n v="1291.7"/>
    <n v="2657.84"/>
    <n v="2657.84"/>
    <s v="High"/>
    <n v="8.6999999999999994E-2"/>
    <n v="8.6999999999999994E-2"/>
    <x v="0"/>
    <n v="21"/>
    <n v="50958.766320000002"/>
    <n v="27125.7"/>
    <n v="23833.066320000002"/>
    <n v="0.46769315745083367"/>
  </r>
  <r>
    <s v="ORD-2023-621393"/>
    <d v="2023-07-07T00:00:00"/>
    <x v="422"/>
    <s v="Q3-2023"/>
    <d v="2023-07-13T00:00:00"/>
    <d v="2023-07-13T00:00:00"/>
    <n v="6"/>
    <n v="6"/>
    <x v="1"/>
    <x v="10"/>
    <x v="0"/>
    <x v="11"/>
    <s v="Cape Town"/>
    <s v="Africa - South Africa - Cape Town"/>
    <s v="Small Business"/>
    <x v="2"/>
    <x v="5"/>
    <x v="6"/>
    <x v="536"/>
    <n v="612.59"/>
    <n v="1424.74"/>
    <n v="1424.74"/>
    <s v="Medium"/>
    <n v="4.3999999999999997E-2"/>
    <n v="4.3999999999999997E-2"/>
    <x v="0"/>
    <n v="15"/>
    <n v="20430.771599999996"/>
    <n v="9188.85"/>
    <n v="11241.921599999996"/>
    <n v="0.55024459281802152"/>
  </r>
  <r>
    <s v="ORD-2023-974506"/>
    <d v="2023-12-28T00:00:00"/>
    <x v="423"/>
    <s v="Q4-2023"/>
    <d v="2024-01-01T00:00:00"/>
    <d v="2024-01-01T00:00:00"/>
    <n v="4"/>
    <n v="4"/>
    <x v="1"/>
    <x v="10"/>
    <x v="0"/>
    <x v="11"/>
    <s v="Cape Town"/>
    <s v="Africa - South Africa - Cape Town"/>
    <s v="Education"/>
    <x v="3"/>
    <x v="8"/>
    <x v="1"/>
    <x v="537"/>
    <n v="1141.8"/>
    <n v="2318.7399999999998"/>
    <n v="2318.7399999999998"/>
    <s v="High"/>
    <n v="0.107"/>
    <n v="0.107"/>
    <x v="0"/>
    <n v="32"/>
    <n v="66260.314239999992"/>
    <n v="36537.599999999999"/>
    <n v="29722.714239999994"/>
    <n v="0.44857490612468304"/>
  </r>
  <r>
    <s v="ORD-2023-811823"/>
    <d v="2023-01-26T00:00:00"/>
    <x v="424"/>
    <s v="Q1-2023"/>
    <d v="2023-02-15T00:00:00"/>
    <d v="2023-02-15T00:00:00"/>
    <n v="20"/>
    <n v="20"/>
    <x v="0"/>
    <x v="5"/>
    <x v="3"/>
    <x v="6"/>
    <s v="Berlin"/>
    <s v="Europe - Germany - Berlin"/>
    <s v="Small Business"/>
    <x v="1"/>
    <x v="7"/>
    <x v="2"/>
    <x v="538"/>
    <n v="492.62"/>
    <n v="366.7"/>
    <n v="366.7"/>
    <s v="Low"/>
    <n v="8.8999999999999996E-2"/>
    <n v="8.8999999999999996E-2"/>
    <x v="0"/>
    <n v="10"/>
    <n v="3340.6370000000002"/>
    <n v="4926.2"/>
    <n v="-1585.5629999999996"/>
    <n v="-0.47462894052840809"/>
  </r>
  <r>
    <s v="ORD-2023-286720"/>
    <d v="2023-07-08T00:00:00"/>
    <x v="425"/>
    <s v="Q3-2023"/>
    <d v="2023-07-09T00:00:00"/>
    <d v="2023-07-09T00:00:00"/>
    <n v="1"/>
    <n v="1"/>
    <x v="1"/>
    <x v="0"/>
    <x v="0"/>
    <x v="0"/>
    <s v="Nairobi"/>
    <s v="Africa - Kenya - Nairobi"/>
    <s v="Consumer"/>
    <x v="1"/>
    <x v="14"/>
    <x v="4"/>
    <x v="539"/>
    <n v="1258.72"/>
    <n v="2797.41"/>
    <n v="2797.41"/>
    <s v="High"/>
    <n v="0"/>
    <n v="0"/>
    <x v="0"/>
    <n v="7"/>
    <n v="19581.87"/>
    <n v="8811.0400000000009"/>
    <n v="10770.829999999998"/>
    <n v="0.55004093071805704"/>
  </r>
  <r>
    <s v="ORD-2024-626925"/>
    <d v="2024-06-07T00:00:00"/>
    <x v="116"/>
    <s v="Q2-2024"/>
    <d v="2024-06-09T00:00:00"/>
    <d v="2024-06-09T00:00:00"/>
    <n v="2"/>
    <n v="2"/>
    <x v="1"/>
    <x v="8"/>
    <x v="1"/>
    <x v="9"/>
    <s v="Shanghai"/>
    <s v="Asia - China - Shanghai"/>
    <s v="Corporate"/>
    <x v="0"/>
    <x v="7"/>
    <x v="5"/>
    <x v="540"/>
    <n v="1370.28"/>
    <n v="2209.66"/>
    <n v="2209.66"/>
    <s v="High"/>
    <n v="0.13300000000000001"/>
    <n v="0.13300000000000001"/>
    <x v="0"/>
    <n v="16"/>
    <n v="30652.403519999996"/>
    <n v="21924.48"/>
    <n v="8727.9235199999966"/>
    <n v="0.28473863442079589"/>
  </r>
  <r>
    <s v="ORD-2023-960380"/>
    <d v="2023-02-11T00:00:00"/>
    <x v="426"/>
    <s v="Q1-2023"/>
    <d v="2023-02-12T00:00:00"/>
    <d v="2023-02-12T00:00:00"/>
    <n v="1"/>
    <n v="1"/>
    <x v="1"/>
    <x v="1"/>
    <x v="0"/>
    <x v="1"/>
    <s v="Port Harcourt"/>
    <s v="Africa - Nigeria - Port Harcourt"/>
    <s v="Non-Profit"/>
    <x v="4"/>
    <x v="14"/>
    <x v="6"/>
    <x v="541"/>
    <n v="944.61"/>
    <n v="839.04"/>
    <n v="839.04"/>
    <s v="Medium"/>
    <n v="5.8999999999999997E-2"/>
    <n v="5.8999999999999997E-2"/>
    <x v="0"/>
    <n v="6"/>
    <n v="4737.2198399999997"/>
    <n v="5667.66"/>
    <n v="-930.44016000000011"/>
    <n v="-0.19641059343363726"/>
  </r>
  <r>
    <s v="ORD-2023-453699"/>
    <d v="2023-07-01T00:00:00"/>
    <x v="306"/>
    <s v="Q3-2023"/>
    <d v="2023-07-08T00:00:00"/>
    <d v="2023-07-08T00:00:00"/>
    <n v="7"/>
    <n v="7"/>
    <x v="1"/>
    <x v="5"/>
    <x v="3"/>
    <x v="6"/>
    <s v="Frankfurt"/>
    <s v="Europe - Germany - Frankfurt"/>
    <s v="Small Business"/>
    <x v="3"/>
    <x v="13"/>
    <x v="4"/>
    <x v="542"/>
    <n v="460.21"/>
    <n v="1139.1500000000001"/>
    <n v="1139.1500000000001"/>
    <s v="Medium"/>
    <n v="0.115"/>
    <n v="0.115"/>
    <x v="0"/>
    <n v="14"/>
    <n v="14114.068500000001"/>
    <n v="6442.94"/>
    <n v="7671.1285000000016"/>
    <n v="0.54350937151821255"/>
  </r>
  <r>
    <s v="ORD-2025-960931"/>
    <d v="2025-08-20T00:00:00"/>
    <x v="427"/>
    <s v="Q3-2025"/>
    <d v="2025-08-26T00:00:00"/>
    <d v="2025-08-26T00:00:00"/>
    <n v="6"/>
    <n v="6"/>
    <x v="1"/>
    <x v="9"/>
    <x v="2"/>
    <x v="10"/>
    <s v="New York"/>
    <s v="Americas - USA - New York"/>
    <s v="Corporate"/>
    <x v="0"/>
    <x v="12"/>
    <x v="2"/>
    <x v="543"/>
    <n v="1304.95"/>
    <n v="1712.03"/>
    <n v="1712.03"/>
    <s v="High"/>
    <n v="0.21199999999999999"/>
    <n v="0.21199999999999999"/>
    <x v="1"/>
    <n v="8"/>
    <n v="10792.637119999999"/>
    <n v="10439.6"/>
    <n v="353.03711999999905"/>
    <n v="3.2710922833287949E-2"/>
  </r>
  <r>
    <s v="ORD-2024-419248"/>
    <d v="2024-03-04T00:00:00"/>
    <x v="428"/>
    <s v="Q1-2024"/>
    <d v="2024-03-16T00:00:00"/>
    <d v="2024-03-16T00:00:00"/>
    <n v="12"/>
    <n v="12"/>
    <x v="0"/>
    <x v="10"/>
    <x v="0"/>
    <x v="11"/>
    <s v="Johannesburg"/>
    <s v="Africa - South Africa - Johannesburg"/>
    <s v="Enterprise"/>
    <x v="3"/>
    <x v="12"/>
    <x v="5"/>
    <x v="544"/>
    <n v="441.08"/>
    <n v="1054.29"/>
    <n v="1054.29"/>
    <s v="Medium"/>
    <n v="0.23699999999999999"/>
    <n v="0.23699999999999999"/>
    <x v="1"/>
    <n v="6"/>
    <n v="4826.5396199999996"/>
    <n v="2646.48"/>
    <n v="2180.0596199999995"/>
    <n v="0.45168169985932899"/>
  </r>
  <r>
    <s v="ORD-2023-488227"/>
    <d v="2023-09-08T00:00:00"/>
    <x v="429"/>
    <s v="Q3-2023"/>
    <d v="2023-10-02T00:00:00"/>
    <d v="2023-10-02T00:00:00"/>
    <n v="24"/>
    <n v="24"/>
    <x v="0"/>
    <x v="3"/>
    <x v="2"/>
    <x v="3"/>
    <s v="Toronto"/>
    <s v="Americas - Canada - Toronto"/>
    <s v="Education"/>
    <x v="4"/>
    <x v="8"/>
    <x v="6"/>
    <x v="545"/>
    <n v="1299.03"/>
    <n v="2451.2199999999998"/>
    <n v="2451.2199999999998"/>
    <s v="High"/>
    <n v="0.20799999999999999"/>
    <n v="0.20799999999999999"/>
    <x v="1"/>
    <n v="8"/>
    <n v="15530.929919999999"/>
    <n v="10392.24"/>
    <n v="5138.6899199999989"/>
    <n v="0.3308681416032041"/>
  </r>
  <r>
    <s v="ORD-2023-472078"/>
    <d v="2023-02-28T00:00:00"/>
    <x v="2"/>
    <s v="Q1-2023"/>
    <d v="2023-03-06T00:00:00"/>
    <d v="2023-03-06T00:00:00"/>
    <n v="6"/>
    <n v="6"/>
    <x v="1"/>
    <x v="5"/>
    <x v="3"/>
    <x v="6"/>
    <s v="Frankfurt"/>
    <s v="Europe - Germany - Frankfurt"/>
    <s v="Small Business"/>
    <x v="2"/>
    <x v="14"/>
    <x v="1"/>
    <x v="546"/>
    <n v="880.02"/>
    <n v="1251.21"/>
    <n v="1251.21"/>
    <s v="Medium"/>
    <n v="0.123"/>
    <n v="0.123"/>
    <x v="0"/>
    <n v="29"/>
    <n v="31822.023930000003"/>
    <n v="25520.579999999998"/>
    <n v="6301.4439300000049"/>
    <n v="0.19802146915172672"/>
  </r>
  <r>
    <s v="ORD-2024-202877"/>
    <d v="2024-07-13T00:00:00"/>
    <x v="293"/>
    <s v="Q3-2024"/>
    <d v="2024-08-03T00:00:00"/>
    <d v="2024-08-03T00:00:00"/>
    <n v="21"/>
    <n v="21"/>
    <x v="0"/>
    <x v="4"/>
    <x v="2"/>
    <x v="5"/>
    <s v="Rio de Janeiro"/>
    <s v="Americas - Brazil - Rio de Janeiro"/>
    <s v="Corporate"/>
    <x v="2"/>
    <x v="12"/>
    <x v="5"/>
    <x v="547"/>
    <n v="702.98"/>
    <n v="1104.8"/>
    <n v="1104.8"/>
    <s v="Medium"/>
    <n v="0.17499999999999999"/>
    <n v="0.17499999999999999"/>
    <x v="0"/>
    <n v="12"/>
    <n v="10937.519999999999"/>
    <n v="8435.76"/>
    <n v="2501.7599999999984"/>
    <n v="0.22873192460448061"/>
  </r>
  <r>
    <s v="ORD-2024-140633"/>
    <d v="2024-12-07T00:00:00"/>
    <x v="430"/>
    <s v="Q4-2024"/>
    <d v="2024-12-26T00:00:00"/>
    <d v="2024-12-26T00:00:00"/>
    <n v="19"/>
    <n v="19"/>
    <x v="0"/>
    <x v="7"/>
    <x v="3"/>
    <x v="8"/>
    <s v="London"/>
    <s v="Europe - United Kingdom - London"/>
    <s v="Enterprise"/>
    <x v="1"/>
    <x v="14"/>
    <x v="2"/>
    <x v="548"/>
    <n v="1035.24"/>
    <n v="2383.41"/>
    <n v="2383.41"/>
    <s v="High"/>
    <n v="0.17"/>
    <n v="0.17"/>
    <x v="0"/>
    <n v="15"/>
    <n v="29673.454499999993"/>
    <n v="15528.6"/>
    <n v="14144.854499999992"/>
    <n v="0.47668378145860962"/>
  </r>
  <r>
    <s v="ORD-2025-419532"/>
    <d v="2025-08-06T00:00:00"/>
    <x v="431"/>
    <s v="Q3-2025"/>
    <d v="2025-08-23T00:00:00"/>
    <d v="2025-08-23T00:00:00"/>
    <n v="17"/>
    <n v="17"/>
    <x v="0"/>
    <x v="4"/>
    <x v="2"/>
    <x v="5"/>
    <s v="Brasília"/>
    <s v="Americas - Brazil - Brasília"/>
    <s v="Consumer"/>
    <x v="3"/>
    <x v="8"/>
    <x v="5"/>
    <x v="549"/>
    <n v="86.64"/>
    <n v="213.06"/>
    <n v="213.06"/>
    <s v="Low"/>
    <n v="0.21199999999999999"/>
    <n v="0.21199999999999999"/>
    <x v="1"/>
    <n v="11"/>
    <n v="1846.8040799999999"/>
    <n v="953.04"/>
    <n v="893.76407999999992"/>
    <n v="0.48395175735154322"/>
  </r>
  <r>
    <s v="ORD-2023-139236"/>
    <d v="2023-03-03T00:00:00"/>
    <x v="432"/>
    <s v="Q1-2023"/>
    <d v="2023-03-20T00:00:00"/>
    <d v="2023-03-20T00:00:00"/>
    <n v="17"/>
    <n v="17"/>
    <x v="0"/>
    <x v="2"/>
    <x v="1"/>
    <x v="2"/>
    <s v="Nagoya"/>
    <s v="Asia - Japan - Nagoya"/>
    <s v="Small Business"/>
    <x v="1"/>
    <x v="14"/>
    <x v="2"/>
    <x v="550"/>
    <n v="1171.17"/>
    <n v="2030.64"/>
    <n v="2030.64"/>
    <s v="High"/>
    <n v="0.157"/>
    <n v="0.157"/>
    <x v="0"/>
    <n v="11"/>
    <n v="18830.12472"/>
    <n v="12882.87"/>
    <n v="5947.254719999999"/>
    <n v="0.31583724528830415"/>
  </r>
  <r>
    <s v="ORD-2025-337268"/>
    <d v="2025-02-16T00:00:00"/>
    <x v="433"/>
    <s v="Q1-2025"/>
    <d v="2025-03-17T00:00:00"/>
    <d v="2025-03-17T00:00:00"/>
    <n v="29"/>
    <n v="29"/>
    <x v="0"/>
    <x v="5"/>
    <x v="3"/>
    <x v="6"/>
    <s v="Munich"/>
    <s v="Europe - Germany - Munich"/>
    <s v="Consumer"/>
    <x v="0"/>
    <x v="4"/>
    <x v="6"/>
    <x v="551"/>
    <n v="730.42"/>
    <n v="956.7"/>
    <n v="956.7"/>
    <s v="Medium"/>
    <n v="4.2000000000000003E-2"/>
    <n v="4.2000000000000003E-2"/>
    <x v="0"/>
    <n v="22"/>
    <n v="20163.409200000002"/>
    <n v="16069.24"/>
    <n v="4094.1692000000021"/>
    <n v="0.20304945256975698"/>
  </r>
  <r>
    <s v="ORD-2025-332931"/>
    <d v="2025-02-15T00:00:00"/>
    <x v="146"/>
    <s v="Q1-2025"/>
    <d v="2025-03-01T00:00:00"/>
    <d v="2025-03-01T00:00:00"/>
    <n v="14"/>
    <n v="14"/>
    <x v="0"/>
    <x v="0"/>
    <x v="0"/>
    <x v="0"/>
    <s v="Mombasa"/>
    <s v="Africa - Kenya - Mombasa"/>
    <s v="Education"/>
    <x v="4"/>
    <x v="4"/>
    <x v="6"/>
    <x v="552"/>
    <n v="1162.8599999999999"/>
    <n v="1447.68"/>
    <n v="1447.68"/>
    <s v="Medium"/>
    <n v="8.6999999999999994E-2"/>
    <n v="8.6999999999999994E-2"/>
    <x v="0"/>
    <n v="12"/>
    <n v="15860.782080000001"/>
    <n v="13954.32"/>
    <n v="1906.4620800000012"/>
    <n v="0.12019975247021369"/>
  </r>
  <r>
    <s v="ORD-2024-536442"/>
    <d v="2024-08-31T00:00:00"/>
    <x v="434"/>
    <s v="Q3-2024"/>
    <d v="2024-09-26T00:00:00"/>
    <d v="2024-09-26T00:00:00"/>
    <n v="26"/>
    <n v="26"/>
    <x v="0"/>
    <x v="2"/>
    <x v="1"/>
    <x v="2"/>
    <s v="Tokyo"/>
    <s v="Asia - Japan - Tokyo"/>
    <s v="Education"/>
    <x v="1"/>
    <x v="2"/>
    <x v="3"/>
    <x v="553"/>
    <n v="1189.03"/>
    <n v="2949.62"/>
    <n v="2949.62"/>
    <s v="High"/>
    <n v="0.125"/>
    <n v="0.125"/>
    <x v="0"/>
    <n v="13"/>
    <n v="33551.927499999998"/>
    <n v="15457.39"/>
    <n v="18094.537499999999"/>
    <n v="0.53929949330034765"/>
  </r>
  <r>
    <s v="ORD-2023-957692"/>
    <d v="2023-05-07T00:00:00"/>
    <x v="239"/>
    <s v="Q2-2023"/>
    <d v="2023-05-20T00:00:00"/>
    <d v="2023-05-20T00:00:00"/>
    <n v="13"/>
    <n v="13"/>
    <x v="0"/>
    <x v="4"/>
    <x v="1"/>
    <x v="4"/>
    <s v="Mumbai"/>
    <s v="Asia - India - Mumbai"/>
    <s v="Enterprise"/>
    <x v="0"/>
    <x v="14"/>
    <x v="6"/>
    <x v="554"/>
    <n v="1443.28"/>
    <n v="2580.5700000000002"/>
    <n v="2580.5700000000002"/>
    <s v="High"/>
    <n v="0"/>
    <n v="0"/>
    <x v="0"/>
    <n v="18"/>
    <n v="46450.26"/>
    <n v="25979.040000000001"/>
    <n v="20471.22"/>
    <n v="0.4407127107577008"/>
  </r>
  <r>
    <s v="ORD-2025-874124"/>
    <d v="2025-05-14T00:00:00"/>
    <x v="78"/>
    <s v="Q2-2025"/>
    <d v="2025-05-12T00:00:00"/>
    <d v="2025-05-20T00:00:00"/>
    <n v="-2"/>
    <n v="6"/>
    <x v="1"/>
    <x v="3"/>
    <x v="2"/>
    <x v="3"/>
    <s v="Vancouver"/>
    <s v="Americas - Canada - Vancouver"/>
    <s v="Non-Profit"/>
    <x v="3"/>
    <x v="9"/>
    <x v="1"/>
    <x v="555"/>
    <n v="883.5"/>
    <n v="1978.91"/>
    <n v="1978.91"/>
    <s v="High"/>
    <n v="5.3999999999999999E-2"/>
    <n v="5.3999999999999999E-2"/>
    <x v="0"/>
    <n v="27"/>
    <n v="50545.319219999998"/>
    <n v="23854.5"/>
    <n v="26690.819219999998"/>
    <n v="0.52805718970390547"/>
  </r>
  <r>
    <s v="ORD-2024-687073"/>
    <d v="2024-03-11T00:00:00"/>
    <x v="0"/>
    <s v="Q1-2024"/>
    <d v="2024-03-29T00:00:00"/>
    <d v="2024-03-29T00:00:00"/>
    <n v="18"/>
    <n v="18"/>
    <x v="0"/>
    <x v="9"/>
    <x v="2"/>
    <x v="10"/>
    <s v="New York"/>
    <s v="Americas - USA - New York"/>
    <s v="Corporate"/>
    <x v="0"/>
    <x v="12"/>
    <x v="5"/>
    <x v="556"/>
    <n v="710.98"/>
    <n v="1481.45"/>
    <n v="1481.45"/>
    <s v="Medium"/>
    <n v="0.21099999999999999"/>
    <n v="0.21099999999999999"/>
    <x v="1"/>
    <n v="9"/>
    <n v="10519.776450000001"/>
    <n v="6398.82"/>
    <n v="4120.9564500000015"/>
    <n v="0.39173422264120461"/>
  </r>
  <r>
    <s v="ORD-2024-555229"/>
    <d v="2024-05-18T00:00:00"/>
    <x v="22"/>
    <s v="Q2-2024"/>
    <d v="2024-05-22T00:00:00"/>
    <d v="2024-05-22T00:00:00"/>
    <n v="4"/>
    <n v="4"/>
    <x v="1"/>
    <x v="0"/>
    <x v="0"/>
    <x v="0"/>
    <s v="Nairobi"/>
    <s v="Africa - Kenya - Nairobi"/>
    <s v="Corporate"/>
    <x v="4"/>
    <x v="10"/>
    <x v="6"/>
    <x v="557"/>
    <n v="857.42"/>
    <n v="1658.92"/>
    <n v="1658.92"/>
    <s v="High"/>
    <n v="0.122"/>
    <n v="0.122"/>
    <x v="0"/>
    <n v="9"/>
    <n v="13108.78584"/>
    <n v="7716.78"/>
    <n v="5392.0058400000007"/>
    <n v="0.41132763215544305"/>
  </r>
  <r>
    <s v="ORD-2024-872291"/>
    <d v="2024-01-08T00:00:00"/>
    <x v="435"/>
    <s v="Q1-2024"/>
    <d v="2024-01-12T00:00:00"/>
    <d v="2024-01-12T00:00:00"/>
    <n v="4"/>
    <n v="4"/>
    <x v="1"/>
    <x v="4"/>
    <x v="1"/>
    <x v="4"/>
    <s v="Bengaluru"/>
    <s v="Asia - India - Bengaluru"/>
    <s v="Corporate"/>
    <x v="4"/>
    <x v="6"/>
    <x v="1"/>
    <x v="558"/>
    <n v="802.32"/>
    <n v="602.34"/>
    <n v="602.34"/>
    <s v="Low"/>
    <n v="0.12"/>
    <n v="0.12"/>
    <x v="0"/>
    <n v="25"/>
    <n v="13251.48"/>
    <n v="20058"/>
    <n v="-6806.52"/>
    <n v="-0.51364224977134632"/>
  </r>
  <r>
    <s v="ORD-2024-250862"/>
    <d v="2024-10-25T00:00:00"/>
    <x v="40"/>
    <s v="Q4-2024"/>
    <d v="2024-11-05T00:00:00"/>
    <d v="2024-11-05T00:00:00"/>
    <n v="11"/>
    <n v="11"/>
    <x v="0"/>
    <x v="9"/>
    <x v="2"/>
    <x v="10"/>
    <s v="New York"/>
    <s v="Americas - USA - New York"/>
    <s v="Corporate"/>
    <x v="3"/>
    <x v="13"/>
    <x v="0"/>
    <x v="559"/>
    <n v="446.66"/>
    <n v="527.64"/>
    <n v="527.64"/>
    <s v="Low"/>
    <n v="0.14499999999999999"/>
    <n v="0.14499999999999999"/>
    <x v="0"/>
    <n v="15"/>
    <n v="6766.9829999999993"/>
    <n v="6699.9000000000005"/>
    <n v="67.082999999998719"/>
    <n v="9.9132804087137105E-3"/>
  </r>
  <r>
    <s v="ORD-2024-331226"/>
    <d v="2024-11-30T00:00:00"/>
    <x v="25"/>
    <s v="Q4-2024"/>
    <d v="2024-12-19T00:00:00"/>
    <d v="2024-12-19T00:00:00"/>
    <n v="19"/>
    <n v="19"/>
    <x v="0"/>
    <x v="0"/>
    <x v="0"/>
    <x v="0"/>
    <s v="Kisumu"/>
    <s v="Africa - Kenya - Kisumu"/>
    <s v="Corporate"/>
    <x v="1"/>
    <x v="4"/>
    <x v="3"/>
    <x v="560"/>
    <n v="1195.98"/>
    <n v="1841.9"/>
    <n v="1841.9"/>
    <s v="High"/>
    <n v="5.5E-2"/>
    <n v="5.5E-2"/>
    <x v="0"/>
    <n v="19"/>
    <n v="33071.3145"/>
    <n v="22723.62"/>
    <n v="10347.694500000001"/>
    <n v="0.31289032977506842"/>
  </r>
  <r>
    <s v="ORD-2023-356427"/>
    <d v="2023-04-13T00:00:00"/>
    <x v="290"/>
    <s v="Q2-2023"/>
    <d v="2023-05-02T00:00:00"/>
    <d v="2023-05-02T00:00:00"/>
    <n v="19"/>
    <n v="19"/>
    <x v="0"/>
    <x v="3"/>
    <x v="2"/>
    <x v="3"/>
    <s v="Montreal"/>
    <s v="Americas - Canada - Montreal"/>
    <s v="Consumer"/>
    <x v="3"/>
    <x v="6"/>
    <x v="5"/>
    <x v="561"/>
    <n v="671.05"/>
    <n v="1645.48"/>
    <n v="1645.48"/>
    <s v="High"/>
    <n v="0.13700000000000001"/>
    <n v="0.13700000000000001"/>
    <x v="0"/>
    <n v="6"/>
    <n v="8520.2954399999999"/>
    <n v="4026.2999999999997"/>
    <n v="4493.9954400000006"/>
    <n v="0.52744596377517172"/>
  </r>
  <r>
    <s v="ORD-2025-659650"/>
    <d v="2025-02-04T00:00:00"/>
    <x v="185"/>
    <s v="Q1-2025"/>
    <d v="2025-02-08T00:00:00"/>
    <d v="2025-02-08T00:00:00"/>
    <n v="4"/>
    <n v="4"/>
    <x v="1"/>
    <x v="7"/>
    <x v="3"/>
    <x v="8"/>
    <s v="Manchester"/>
    <s v="Europe - United Kingdom - Manchester"/>
    <s v="Enterprise"/>
    <x v="2"/>
    <x v="4"/>
    <x v="2"/>
    <x v="562"/>
    <n v="586.21"/>
    <n v="727.22"/>
    <n v="727.22"/>
    <s v="Low"/>
    <n v="6.8000000000000005E-2"/>
    <n v="6.8000000000000005E-2"/>
    <x v="0"/>
    <n v="15"/>
    <n v="10166.535600000001"/>
    <n v="8793.1500000000015"/>
    <n v="1373.3855999999996"/>
    <n v="0.13508884973559721"/>
  </r>
  <r>
    <s v="ORD-2024-207669"/>
    <d v="2024-01-24T00:00:00"/>
    <x v="436"/>
    <s v="Q1-2024"/>
    <d v="2024-02-04T00:00:00"/>
    <d v="2024-02-04T00:00:00"/>
    <n v="11"/>
    <n v="11"/>
    <x v="0"/>
    <x v="7"/>
    <x v="3"/>
    <x v="8"/>
    <s v="Manchester"/>
    <s v="Europe - United Kingdom - Manchester"/>
    <s v="Consumer"/>
    <x v="0"/>
    <x v="5"/>
    <x v="4"/>
    <x v="563"/>
    <n v="525.34"/>
    <n v="1233.79"/>
    <n v="1233.79"/>
    <s v="Medium"/>
    <n v="0.14299999999999999"/>
    <n v="0.14299999999999999"/>
    <x v="0"/>
    <n v="4"/>
    <n v="4229.4321199999995"/>
    <n v="2101.36"/>
    <n v="2128.0721199999994"/>
    <n v="0.50315788494082736"/>
  </r>
  <r>
    <s v="ORD-2024-979401"/>
    <d v="2024-02-08T00:00:00"/>
    <x v="437"/>
    <s v="Q1-2024"/>
    <d v="2024-02-09T00:00:00"/>
    <d v="2024-02-09T00:00:00"/>
    <n v="1"/>
    <n v="1"/>
    <x v="1"/>
    <x v="0"/>
    <x v="0"/>
    <x v="0"/>
    <s v="Mombasa"/>
    <s v="Africa - Kenya - Mombasa"/>
    <s v="Corporate"/>
    <x v="4"/>
    <x v="9"/>
    <x v="0"/>
    <x v="564"/>
    <n v="1233.52"/>
    <n v="1543.76"/>
    <n v="1543.76"/>
    <s v="Medium"/>
    <n v="0.126"/>
    <n v="0.126"/>
    <x v="0"/>
    <n v="13"/>
    <n v="17540.201120000002"/>
    <n v="16035.76"/>
    <n v="1504.4411200000013"/>
    <n v="8.5771030201277493E-2"/>
  </r>
  <r>
    <s v="ORD-2025-929414"/>
    <d v="2025-06-26T00:00:00"/>
    <x v="438"/>
    <s v="Q2-2025"/>
    <d v="2025-07-11T00:00:00"/>
    <d v="2025-07-11T00:00:00"/>
    <n v="15"/>
    <n v="15"/>
    <x v="0"/>
    <x v="1"/>
    <x v="0"/>
    <x v="1"/>
    <s v="Port Harcourt"/>
    <s v="Africa - Nigeria - Port Harcourt"/>
    <s v="Small Business"/>
    <x v="1"/>
    <x v="8"/>
    <x v="4"/>
    <x v="565"/>
    <n v="1170.1500000000001"/>
    <n v="2115.19"/>
    <n v="2115.19"/>
    <s v="High"/>
    <n v="9.1999999999999998E-2"/>
    <n v="9.1999999999999998E-2"/>
    <x v="0"/>
    <n v="23"/>
    <n v="44173.627960000005"/>
    <n v="26913.45"/>
    <n v="17260.177960000005"/>
    <n v="0.39073489674946776"/>
  </r>
  <r>
    <s v="ORD-2024-766980"/>
    <d v="2024-11-04T00:00:00"/>
    <x v="273"/>
    <s v="Q4-2024"/>
    <d v="2024-11-07T00:00:00"/>
    <d v="2024-11-07T00:00:00"/>
    <n v="3"/>
    <n v="3"/>
    <x v="1"/>
    <x v="6"/>
    <x v="3"/>
    <x v="7"/>
    <s v="Lyon"/>
    <s v="Europe - France - Lyon"/>
    <s v="Corporate"/>
    <x v="1"/>
    <x v="7"/>
    <x v="5"/>
    <x v="566"/>
    <n v="740.68"/>
    <n v="1837.19"/>
    <n v="1837.19"/>
    <s v="High"/>
    <n v="0.19700000000000001"/>
    <n v="0.19700000000000001"/>
    <x v="0"/>
    <n v="17"/>
    <n v="25079.480689999997"/>
    <n v="12591.56"/>
    <n v="12487.920689999997"/>
    <n v="0.4979337827748298"/>
  </r>
  <r>
    <s v="ORD-2024-437164"/>
    <d v="2024-02-20T00:00:00"/>
    <x v="439"/>
    <s v="Q1-2024"/>
    <d v="2024-02-20T00:00:00"/>
    <d v="2024-02-20T00:00:00"/>
    <n v="0"/>
    <n v="0"/>
    <x v="1"/>
    <x v="9"/>
    <x v="2"/>
    <x v="10"/>
    <s v="New York"/>
    <s v="Americas - USA - New York"/>
    <s v="Enterprise"/>
    <x v="1"/>
    <x v="0"/>
    <x v="2"/>
    <x v="567"/>
    <n v="1407.05"/>
    <n v="2858.93"/>
    <n v="2858.93"/>
    <s v="High"/>
    <n v="0"/>
    <n v="0"/>
    <x v="0"/>
    <n v="12"/>
    <n v="34307.159999999996"/>
    <n v="16884.599999999999"/>
    <n v="17422.559999999998"/>
    <n v="0.50784034586366222"/>
  </r>
  <r>
    <s v="ORD-2025-169093"/>
    <d v="2025-04-13T00:00:00"/>
    <x v="440"/>
    <s v="Q2-2025"/>
    <d v="2025-04-14T00:00:00"/>
    <d v="2025-04-14T00:00:00"/>
    <n v="1"/>
    <n v="1"/>
    <x v="1"/>
    <x v="2"/>
    <x v="1"/>
    <x v="2"/>
    <s v="Osaka"/>
    <s v="Asia - Japan - Osaka"/>
    <s v="Enterprise"/>
    <x v="1"/>
    <x v="3"/>
    <x v="0"/>
    <x v="568"/>
    <n v="138.9"/>
    <n v="289.92"/>
    <n v="289.92"/>
    <s v="Low"/>
    <n v="2.9000000000000001E-2"/>
    <n v="2.9000000000000001E-2"/>
    <x v="0"/>
    <n v="12"/>
    <n v="3378.1478400000001"/>
    <n v="1666.8000000000002"/>
    <n v="1711.3478399999999"/>
    <n v="0.50659353025828491"/>
  </r>
  <r>
    <s v="ORD-2023-868460"/>
    <d v="2023-06-01T00:00:00"/>
    <x v="408"/>
    <s v="Q2-2023"/>
    <d v="2023-06-01T00:00:00"/>
    <d v="2023-06-01T00:00:00"/>
    <n v="0"/>
    <n v="0"/>
    <x v="1"/>
    <x v="4"/>
    <x v="1"/>
    <x v="4"/>
    <s v="Bengaluru"/>
    <s v="Asia - India - Bengaluru"/>
    <s v="Corporate"/>
    <x v="0"/>
    <x v="6"/>
    <x v="6"/>
    <x v="569"/>
    <n v="669.37"/>
    <n v="997.2"/>
    <n v="997.2"/>
    <s v="Medium"/>
    <n v="8.2000000000000003E-2"/>
    <n v="8.2000000000000003E-2"/>
    <x v="0"/>
    <n v="5"/>
    <n v="4577.1480000000001"/>
    <n v="3346.85"/>
    <n v="1230.2980000000002"/>
    <n v="0.26879139586484863"/>
  </r>
  <r>
    <s v="ORD-2025-177994"/>
    <d v="2025-03-24T00:00:00"/>
    <x v="401"/>
    <s v="Q1-2025"/>
    <d v="2025-04-04T00:00:00"/>
    <d v="2025-04-04T00:00:00"/>
    <n v="11"/>
    <n v="11"/>
    <x v="0"/>
    <x v="4"/>
    <x v="1"/>
    <x v="4"/>
    <s v="Mumbai"/>
    <s v="Asia - India - Mumbai"/>
    <s v="Education"/>
    <x v="2"/>
    <x v="1"/>
    <x v="3"/>
    <x v="570"/>
    <n v="23.83"/>
    <n v="47.29"/>
    <n v="47.29"/>
    <s v="Low"/>
    <n v="6.4000000000000001E-2"/>
    <n v="6.4000000000000001E-2"/>
    <x v="0"/>
    <n v="19"/>
    <n v="841.00536"/>
    <n v="452.77"/>
    <n v="388.23536000000001"/>
    <n v="0.46163244429262618"/>
  </r>
  <r>
    <s v="ORD-2024-355095"/>
    <d v="2024-01-02T00:00:00"/>
    <x v="279"/>
    <s v="Q1-2024"/>
    <d v="2024-01-02T00:00:00"/>
    <d v="2024-01-02T00:00:00"/>
    <n v="0"/>
    <n v="0"/>
    <x v="1"/>
    <x v="3"/>
    <x v="2"/>
    <x v="3"/>
    <s v="Vancouver"/>
    <s v="Americas - Canada - Vancouver"/>
    <s v="Education"/>
    <x v="4"/>
    <x v="8"/>
    <x v="4"/>
    <x v="571"/>
    <n v="444.41"/>
    <n v="754.24"/>
    <n v="754.24"/>
    <s v="Low"/>
    <n v="0.20699999999999999"/>
    <n v="0.20699999999999999"/>
    <x v="1"/>
    <n v="32"/>
    <n v="19139.594240000002"/>
    <n v="14221.12"/>
    <n v="4918.4742400000014"/>
    <n v="0.25697902360546598"/>
  </r>
  <r>
    <s v="ORD-2023-126505"/>
    <d v="2023-12-19T00:00:00"/>
    <x v="202"/>
    <s v="Q4-2023"/>
    <d v="2024-01-01T00:00:00"/>
    <d v="2024-01-01T00:00:00"/>
    <n v="13"/>
    <n v="13"/>
    <x v="0"/>
    <x v="3"/>
    <x v="2"/>
    <x v="3"/>
    <s v="Toronto"/>
    <s v="Americas - Canada - Toronto"/>
    <s v="Enterprise"/>
    <x v="0"/>
    <x v="11"/>
    <x v="5"/>
    <x v="572"/>
    <n v="856.1"/>
    <n v="901.48"/>
    <n v="901.48"/>
    <s v="Medium"/>
    <n v="5.6000000000000001E-2"/>
    <n v="5.6000000000000001E-2"/>
    <x v="0"/>
    <n v="17"/>
    <n v="14466.95104"/>
    <n v="14553.7"/>
    <n v="-86.748960000000807"/>
    <n v="-5.9963540182134192E-3"/>
  </r>
  <r>
    <s v="ORD-2023-340056"/>
    <d v="2023-04-26T00:00:00"/>
    <x v="441"/>
    <s v="Q2-2023"/>
    <d v="2023-04-26T00:00:00"/>
    <d v="2023-04-26T00:00:00"/>
    <n v="0"/>
    <n v="0"/>
    <x v="1"/>
    <x v="6"/>
    <x v="3"/>
    <x v="7"/>
    <s v="Marseille"/>
    <s v="Europe - France - Marseille"/>
    <s v="Consumer"/>
    <x v="4"/>
    <x v="12"/>
    <x v="0"/>
    <x v="573"/>
    <n v="81.489999999999995"/>
    <n v="113.08"/>
    <n v="113.08"/>
    <s v="Low"/>
    <n v="0.121"/>
    <n v="0.121"/>
    <x v="0"/>
    <n v="5"/>
    <n v="496.98660000000001"/>
    <n v="407.45"/>
    <n v="89.536600000000021"/>
    <n v="0.18015898215364362"/>
  </r>
  <r>
    <s v="ORD-2025-281413"/>
    <d v="2025-08-03T00:00:00"/>
    <x v="442"/>
    <s v="Q3-2025"/>
    <d v="2025-08-16T00:00:00"/>
    <d v="2025-08-16T00:00:00"/>
    <n v="13"/>
    <n v="13"/>
    <x v="0"/>
    <x v="3"/>
    <x v="2"/>
    <x v="3"/>
    <s v="Montreal"/>
    <s v="Americas - Canada - Montreal"/>
    <s v="Enterprise"/>
    <x v="3"/>
    <x v="7"/>
    <x v="2"/>
    <x v="574"/>
    <n v="698.66"/>
    <n v="868.62"/>
    <n v="868.62"/>
    <s v="Medium"/>
    <n v="7.1999999999999995E-2"/>
    <n v="7.1999999999999995E-2"/>
    <x v="0"/>
    <n v="15"/>
    <n v="12091.190399999999"/>
    <n v="10479.9"/>
    <n v="1611.2903999999999"/>
    <n v="0.13326151906432637"/>
  </r>
  <r>
    <s v="ORD-2023-713614"/>
    <d v="2023-08-02T00:00:00"/>
    <x v="443"/>
    <s v="Q3-2023"/>
    <d v="2023-08-19T00:00:00"/>
    <d v="2023-08-19T00:00:00"/>
    <n v="17"/>
    <n v="17"/>
    <x v="0"/>
    <x v="3"/>
    <x v="2"/>
    <x v="3"/>
    <s v="Vancouver"/>
    <s v="Americas - Canada - Vancouver"/>
    <s v="Corporate"/>
    <x v="1"/>
    <x v="9"/>
    <x v="2"/>
    <x v="575"/>
    <n v="175.38"/>
    <n v="347.9"/>
    <n v="347.9"/>
    <s v="Low"/>
    <n v="7.1999999999999995E-2"/>
    <n v="7.1999999999999995E-2"/>
    <x v="0"/>
    <n v="43"/>
    <n v="13882.6016"/>
    <n v="7541.34"/>
    <n v="6341.2615999999998"/>
    <n v="0.45677761148169804"/>
  </r>
  <r>
    <s v="ORD-2023-173313"/>
    <d v="2023-06-15T00:00:00"/>
    <x v="251"/>
    <s v="Q2-2023"/>
    <d v="2023-07-12T00:00:00"/>
    <d v="2023-07-12T00:00:00"/>
    <n v="27"/>
    <n v="27"/>
    <x v="0"/>
    <x v="7"/>
    <x v="3"/>
    <x v="8"/>
    <s v="Manchester"/>
    <s v="Europe - United Kingdom - Manchester"/>
    <s v="Consumer"/>
    <x v="4"/>
    <x v="2"/>
    <x v="6"/>
    <x v="576"/>
    <n v="751.28"/>
    <n v="1111.8800000000001"/>
    <n v="1111.8800000000001"/>
    <s v="Medium"/>
    <n v="0.13500000000000001"/>
    <n v="0.13500000000000001"/>
    <x v="0"/>
    <n v="7"/>
    <n v="6732.4334000000008"/>
    <n v="5258.96"/>
    <n v="1473.4734000000008"/>
    <n v="0.21886193482433863"/>
  </r>
  <r>
    <s v="ORD-2024-496601"/>
    <d v="2024-11-11T00:00:00"/>
    <x v="444"/>
    <s v="Q4-2024"/>
    <d v="2024-11-24T00:00:00"/>
    <d v="2024-11-24T00:00:00"/>
    <n v="13"/>
    <n v="13"/>
    <x v="0"/>
    <x v="7"/>
    <x v="3"/>
    <x v="8"/>
    <s v="London"/>
    <s v="Europe - United Kingdom - London"/>
    <s v="Corporate"/>
    <x v="0"/>
    <x v="6"/>
    <x v="2"/>
    <x v="577"/>
    <n v="164.53"/>
    <n v="327.72"/>
    <n v="327.72"/>
    <s v="Low"/>
    <n v="6.7000000000000004E-2"/>
    <n v="6.7000000000000004E-2"/>
    <x v="0"/>
    <n v="14"/>
    <n v="4280.6786400000001"/>
    <n v="2303.42"/>
    <n v="1977.25864"/>
    <n v="0.46190307805960412"/>
  </r>
  <r>
    <s v="ORD-2025-155182"/>
    <d v="2025-07-11T00:00:00"/>
    <x v="445"/>
    <s v="Q3-2025"/>
    <d v="2025-08-03T00:00:00"/>
    <d v="2025-08-03T00:00:00"/>
    <n v="23"/>
    <n v="23"/>
    <x v="0"/>
    <x v="0"/>
    <x v="0"/>
    <x v="0"/>
    <s v="Nakuru"/>
    <s v="Africa - Kenya - Nakuru"/>
    <s v="Small Business"/>
    <x v="0"/>
    <x v="0"/>
    <x v="3"/>
    <x v="578"/>
    <n v="389.93"/>
    <n v="486.13"/>
    <n v="486.13"/>
    <s v="Low"/>
    <n v="0.13200000000000001"/>
    <n v="0.13200000000000001"/>
    <x v="0"/>
    <n v="17"/>
    <n v="7173.3342799999991"/>
    <n v="6628.81"/>
    <n v="544.52427999999873"/>
    <n v="7.5909508569562828E-2"/>
  </r>
  <r>
    <s v="ORD-2023-244375"/>
    <d v="2023-06-03T00:00:00"/>
    <x v="446"/>
    <s v="Q2-2023"/>
    <d v="2023-07-01T00:00:00"/>
    <d v="2023-07-01T00:00:00"/>
    <n v="28"/>
    <n v="28"/>
    <x v="0"/>
    <x v="4"/>
    <x v="2"/>
    <x v="5"/>
    <s v="Brasília"/>
    <s v="Americas - Brazil - Brasília"/>
    <s v="Small Business"/>
    <x v="2"/>
    <x v="8"/>
    <x v="0"/>
    <x v="579"/>
    <n v="860.4"/>
    <n v="2066.6"/>
    <n v="2066.6"/>
    <s v="High"/>
    <n v="0.01"/>
    <n v="0.01"/>
    <x v="0"/>
    <n v="3"/>
    <n v="6137.8019999999988"/>
    <n v="2581.1999999999998"/>
    <n v="3556.601999999999"/>
    <n v="0.57945857491004105"/>
  </r>
  <r>
    <s v="ORD-2023-856322"/>
    <d v="2023-01-29T00:00:00"/>
    <x v="171"/>
    <s v="Q1-2023"/>
    <d v="2023-02-06T00:00:00"/>
    <d v="2023-02-06T00:00:00"/>
    <n v="8"/>
    <n v="8"/>
    <x v="0"/>
    <x v="4"/>
    <x v="2"/>
    <x v="5"/>
    <s v="Brasília"/>
    <s v="Americas - Brazil - Brasília"/>
    <s v="Corporate"/>
    <x v="2"/>
    <x v="14"/>
    <x v="5"/>
    <x v="580"/>
    <n v="41.84"/>
    <n v="86.2"/>
    <n v="86.2"/>
    <s v="Low"/>
    <n v="0.22600000000000001"/>
    <n v="0.22600000000000001"/>
    <x v="1"/>
    <n v="27"/>
    <n v="1801.4076000000002"/>
    <n v="1129.68"/>
    <n v="671.72760000000017"/>
    <n v="0.37289039970742882"/>
  </r>
  <r>
    <s v="ORD-2024-594527"/>
    <d v="2024-09-06T00:00:00"/>
    <x v="331"/>
    <s v="Q3-2024"/>
    <d v="2024-09-04T00:00:00"/>
    <d v="2024-09-20T00:00:00"/>
    <n v="-2"/>
    <n v="14"/>
    <x v="0"/>
    <x v="2"/>
    <x v="1"/>
    <x v="2"/>
    <s v="Osaka"/>
    <s v="Asia - Japan - Osaka"/>
    <s v="Corporate"/>
    <x v="4"/>
    <x v="8"/>
    <x v="4"/>
    <x v="581"/>
    <n v="1368.17"/>
    <n v="2307.75"/>
    <n v="2307.75"/>
    <s v="High"/>
    <n v="0.16300000000000001"/>
    <n v="0.16300000000000001"/>
    <x v="0"/>
    <n v="21"/>
    <n v="40563.321749999996"/>
    <n v="28731.57"/>
    <n v="11831.751749999996"/>
    <n v="0.29168596750831921"/>
  </r>
  <r>
    <s v="ORD-2024-689872"/>
    <d v="2024-08-03T00:00:00"/>
    <x v="447"/>
    <s v="Q3-2024"/>
    <d v="2024-08-09T00:00:00"/>
    <d v="2024-08-09T00:00:00"/>
    <n v="6"/>
    <n v="6"/>
    <x v="1"/>
    <x v="0"/>
    <x v="0"/>
    <x v="0"/>
    <s v="Mombasa"/>
    <s v="Africa - Kenya - Mombasa"/>
    <s v="Consumer"/>
    <x v="2"/>
    <x v="10"/>
    <x v="4"/>
    <x v="582"/>
    <n v="643.21"/>
    <n v="1112.81"/>
    <n v="1112.81"/>
    <s v="Medium"/>
    <n v="0.14099999999999999"/>
    <n v="0.14099999999999999"/>
    <x v="0"/>
    <n v="4"/>
    <n v="3823.6151599999998"/>
    <n v="2572.84"/>
    <n v="1250.7751599999997"/>
    <n v="0.32711847496702562"/>
  </r>
  <r>
    <s v="ORD-2025-246692"/>
    <d v="2025-04-17T00:00:00"/>
    <x v="448"/>
    <s v="Q2-2025"/>
    <d v="2025-04-17T00:00:00"/>
    <d v="2025-04-17T00:00:00"/>
    <n v="0"/>
    <n v="0"/>
    <x v="1"/>
    <x v="4"/>
    <x v="2"/>
    <x v="5"/>
    <s v="São Paulo"/>
    <s v="Americas - Brazil - São Paulo"/>
    <s v="Corporate"/>
    <x v="3"/>
    <x v="4"/>
    <x v="3"/>
    <x v="583"/>
    <n v="719.41"/>
    <n v="1125.99"/>
    <n v="1125.99"/>
    <s v="Medium"/>
    <n v="4.1000000000000002E-2"/>
    <n v="4.1000000000000002E-2"/>
    <x v="0"/>
    <n v="21"/>
    <n v="22676.312610000001"/>
    <n v="15107.609999999999"/>
    <n v="7568.7026100000021"/>
    <n v="0.33377131194876403"/>
  </r>
  <r>
    <s v="ORD-2023-378676"/>
    <d v="2023-05-03T00:00:00"/>
    <x v="449"/>
    <s v="Q2-2023"/>
    <d v="2023-05-16T00:00:00"/>
    <d v="2023-05-16T00:00:00"/>
    <n v="13"/>
    <n v="13"/>
    <x v="0"/>
    <x v="9"/>
    <x v="2"/>
    <x v="10"/>
    <s v="New York"/>
    <s v="Americas - USA - New York"/>
    <s v="Corporate"/>
    <x v="2"/>
    <x v="4"/>
    <x v="3"/>
    <x v="584"/>
    <n v="64.5"/>
    <n v="123.62"/>
    <n v="123.62"/>
    <s v="Low"/>
    <n v="0"/>
    <n v="0"/>
    <x v="0"/>
    <n v="3"/>
    <n v="370.86"/>
    <n v="193.5"/>
    <n v="177.36"/>
    <n v="0.47823976702798904"/>
  </r>
  <r>
    <s v="ORD-2024-243988"/>
    <d v="2024-03-13T00:00:00"/>
    <x v="450"/>
    <s v="Q1-2024"/>
    <d v="2024-04-06T00:00:00"/>
    <d v="2024-04-06T00:00:00"/>
    <n v="24"/>
    <n v="24"/>
    <x v="0"/>
    <x v="1"/>
    <x v="0"/>
    <x v="1"/>
    <s v="Abuja"/>
    <s v="Africa - Nigeria - Abuja"/>
    <s v="Consumer"/>
    <x v="3"/>
    <x v="4"/>
    <x v="0"/>
    <x v="585"/>
    <n v="1232.78"/>
    <n v="1731.75"/>
    <n v="1731.75"/>
    <s v="High"/>
    <n v="9.2999999999999999E-2"/>
    <n v="9.2999999999999999E-2"/>
    <x v="0"/>
    <n v="16"/>
    <n v="25131.155999999999"/>
    <n v="19724.48"/>
    <n v="5406.6759999999995"/>
    <n v="0.21513837246484005"/>
  </r>
  <r>
    <s v="ORD-2024-572312"/>
    <d v="2024-06-16T00:00:00"/>
    <x v="249"/>
    <s v="Q2-2024"/>
    <d v="2024-06-21T00:00:00"/>
    <d v="2024-06-21T00:00:00"/>
    <n v="5"/>
    <n v="5"/>
    <x v="1"/>
    <x v="2"/>
    <x v="1"/>
    <x v="2"/>
    <s v="Tokyo"/>
    <s v="Asia - Japan - Tokyo"/>
    <s v="Small Business"/>
    <x v="3"/>
    <x v="9"/>
    <x v="3"/>
    <x v="586"/>
    <n v="1367.13"/>
    <n v="3062.01"/>
    <n v="3062.01"/>
    <s v="High"/>
    <n v="0.10299999999999999"/>
    <n v="0.10299999999999999"/>
    <x v="0"/>
    <n v="25"/>
    <n v="68665.574250000005"/>
    <n v="34178.25"/>
    <n v="34487.324250000005"/>
    <n v="0.50225057645971705"/>
  </r>
  <r>
    <s v="ORD-2025-281062"/>
    <d v="2025-02-15T00:00:00"/>
    <x v="146"/>
    <s v="Q1-2025"/>
    <d v="2025-02-27T00:00:00"/>
    <d v="2025-02-27T00:00:00"/>
    <n v="12"/>
    <n v="12"/>
    <x v="0"/>
    <x v="6"/>
    <x v="3"/>
    <x v="7"/>
    <s v="Lyon"/>
    <s v="Europe - France - Lyon"/>
    <s v="Non-Profit"/>
    <x v="4"/>
    <x v="11"/>
    <x v="6"/>
    <x v="587"/>
    <n v="1027.26"/>
    <n v="2200.41"/>
    <n v="2200.41"/>
    <s v="High"/>
    <n v="8.7999999999999995E-2"/>
    <n v="8.7999999999999995E-2"/>
    <x v="0"/>
    <n v="6"/>
    <n v="12040.64352"/>
    <n v="6163.5599999999995"/>
    <n v="5877.0835200000001"/>
    <n v="0.48810377204822358"/>
  </r>
  <r>
    <s v="ORD-2023-727290"/>
    <d v="2023-04-03T00:00:00"/>
    <x v="451"/>
    <s v="Q2-2023"/>
    <d v="2023-04-16T00:00:00"/>
    <d v="2023-04-16T00:00:00"/>
    <n v="13"/>
    <n v="13"/>
    <x v="0"/>
    <x v="6"/>
    <x v="3"/>
    <x v="7"/>
    <s v="Marseille"/>
    <s v="Europe - France - Marseille"/>
    <s v="Non-Profit"/>
    <x v="2"/>
    <x v="12"/>
    <x v="6"/>
    <x v="588"/>
    <n v="790.54"/>
    <n v="601.49"/>
    <n v="601.49"/>
    <s v="Low"/>
    <n v="0"/>
    <n v="0"/>
    <x v="0"/>
    <n v="15"/>
    <n v="9022.35"/>
    <n v="11858.099999999999"/>
    <n v="-2835.7499999999982"/>
    <n v="-0.31430281467688553"/>
  </r>
  <r>
    <s v="ORD-2025-993993"/>
    <d v="2025-08-30T00:00:00"/>
    <x v="388"/>
    <s v="Q3-2025"/>
    <d v="2025-09-22T00:00:00"/>
    <d v="2025-09-22T00:00:00"/>
    <n v="23"/>
    <n v="23"/>
    <x v="0"/>
    <x v="6"/>
    <x v="3"/>
    <x v="7"/>
    <s v="Marseille"/>
    <s v="Europe - France - Marseille"/>
    <s v="Corporate"/>
    <x v="4"/>
    <x v="6"/>
    <x v="0"/>
    <x v="589"/>
    <n v="663.9"/>
    <n v="947.77"/>
    <n v="947.77"/>
    <s v="Medium"/>
    <n v="0.17399999999999999"/>
    <n v="0.17399999999999999"/>
    <x v="0"/>
    <n v="15"/>
    <n v="11742.8703"/>
    <n v="9958.5"/>
    <n v="1784.3703000000005"/>
    <n v="0.1519535049280073"/>
  </r>
  <r>
    <s v="ORD-2023-619493"/>
    <d v="2023-02-27T00:00:00"/>
    <x v="452"/>
    <s v="Q1-2023"/>
    <d v="2023-02-26T00:00:00"/>
    <d v="2023-03-09T00:00:00"/>
    <n v="-1"/>
    <n v="10"/>
    <x v="0"/>
    <x v="9"/>
    <x v="2"/>
    <x v="10"/>
    <s v="San Francisco"/>
    <s v="Americas - USA - San Francisco"/>
    <s v="Non-Profit"/>
    <x v="1"/>
    <x v="4"/>
    <x v="2"/>
    <x v="590"/>
    <n v="1015.91"/>
    <n v="2331.48"/>
    <n v="2331.48"/>
    <s v="High"/>
    <n v="0.14599999999999999"/>
    <n v="0.14599999999999999"/>
    <x v="0"/>
    <n v="26"/>
    <n v="51768.181920000003"/>
    <n v="26413.66"/>
    <n v="25354.521920000003"/>
    <n v="0.48977037592669626"/>
  </r>
  <r>
    <s v="ORD-2024-947056"/>
    <d v="2024-07-31T00:00:00"/>
    <x v="453"/>
    <s v="Q3-2024"/>
    <d v="2024-08-15T00:00:00"/>
    <d v="2024-08-15T00:00:00"/>
    <n v="15"/>
    <n v="15"/>
    <x v="0"/>
    <x v="2"/>
    <x v="1"/>
    <x v="2"/>
    <s v="Tokyo"/>
    <s v="Asia - Japan - Tokyo"/>
    <s v="Corporate"/>
    <x v="2"/>
    <x v="9"/>
    <x v="5"/>
    <x v="591"/>
    <n v="1252.52"/>
    <n v="1417.24"/>
    <n v="1417.24"/>
    <s v="Medium"/>
    <n v="0.192"/>
    <n v="0.192"/>
    <x v="0"/>
    <n v="5"/>
    <n v="5725.6496000000006"/>
    <n v="6262.6"/>
    <n v="-536.95039999999972"/>
    <n v="-9.3779821943696953E-2"/>
  </r>
  <r>
    <s v="ORD-2025-856556"/>
    <d v="2025-06-15T00:00:00"/>
    <x v="325"/>
    <s v="Q2-2025"/>
    <d v="2025-07-12T00:00:00"/>
    <d v="2025-07-12T00:00:00"/>
    <n v="27"/>
    <n v="27"/>
    <x v="0"/>
    <x v="6"/>
    <x v="3"/>
    <x v="7"/>
    <s v="Marseille"/>
    <s v="Europe - France - Marseille"/>
    <s v="Consumer"/>
    <x v="4"/>
    <x v="0"/>
    <x v="6"/>
    <x v="592"/>
    <n v="318.83"/>
    <n v="699.5"/>
    <n v="699.5"/>
    <s v="Low"/>
    <n v="0.08"/>
    <n v="0.08"/>
    <x v="0"/>
    <n v="13"/>
    <n v="8366.02"/>
    <n v="4144.79"/>
    <n v="4221.2300000000005"/>
    <n v="0.50456848059172699"/>
  </r>
  <r>
    <s v="ORD-2024-442776"/>
    <d v="2024-06-30T00:00:00"/>
    <x v="24"/>
    <s v="Q2-2024"/>
    <d v="2024-07-21T00:00:00"/>
    <d v="2024-07-21T00:00:00"/>
    <n v="21"/>
    <n v="21"/>
    <x v="0"/>
    <x v="0"/>
    <x v="0"/>
    <x v="0"/>
    <s v="Kisumu"/>
    <s v="Africa - Kenya - Kisumu"/>
    <s v="Small Business"/>
    <x v="0"/>
    <x v="11"/>
    <x v="4"/>
    <x v="593"/>
    <n v="753.43"/>
    <n v="1787.2"/>
    <n v="1787.2"/>
    <s v="High"/>
    <n v="7.2999999999999995E-2"/>
    <n v="7.2999999999999995E-2"/>
    <x v="0"/>
    <n v="9"/>
    <n v="14910.609600000002"/>
    <n v="6780.87"/>
    <n v="8129.7396000000017"/>
    <n v="0.54523187301476939"/>
  </r>
  <r>
    <s v="ORD-2025-705398"/>
    <d v="2025-02-17T00:00:00"/>
    <x v="454"/>
    <s v="Q1-2025"/>
    <d v="2025-02-15T00:00:00"/>
    <d v="2025-02-20T00:00:00"/>
    <n v="-2"/>
    <n v="3"/>
    <x v="1"/>
    <x v="3"/>
    <x v="2"/>
    <x v="3"/>
    <s v="Toronto"/>
    <s v="Americas - Canada - Toronto"/>
    <s v="Small Business"/>
    <x v="0"/>
    <x v="14"/>
    <x v="0"/>
    <x v="594"/>
    <n v="1133.47"/>
    <n v="1698.75"/>
    <n v="1698.75"/>
    <s v="High"/>
    <n v="4.2999999999999997E-2"/>
    <n v="4.2999999999999997E-2"/>
    <x v="0"/>
    <n v="5"/>
    <n v="8128.5187499999993"/>
    <n v="5667.35"/>
    <n v="2461.1687499999989"/>
    <n v="0.30278194904821976"/>
  </r>
  <r>
    <s v="ORD-2023-689428"/>
    <d v="2023-01-07T00:00:00"/>
    <x v="455"/>
    <s v="Q1-2023"/>
    <d v="2023-01-30T00:00:00"/>
    <d v="2023-01-30T00:00:00"/>
    <n v="23"/>
    <n v="23"/>
    <x v="0"/>
    <x v="10"/>
    <x v="0"/>
    <x v="11"/>
    <s v="Cape Town"/>
    <s v="Africa - South Africa - Cape Town"/>
    <s v="Consumer"/>
    <x v="1"/>
    <x v="8"/>
    <x v="1"/>
    <x v="595"/>
    <n v="299.02"/>
    <n v="724.7"/>
    <n v="724.7"/>
    <s v="Low"/>
    <n v="0.14000000000000001"/>
    <n v="0.14000000000000001"/>
    <x v="0"/>
    <n v="5"/>
    <n v="3116.21"/>
    <n v="1495.1"/>
    <n v="1621.1100000000001"/>
    <n v="0.52021847051386139"/>
  </r>
  <r>
    <s v="ORD-2025-683247"/>
    <d v="2025-03-10T00:00:00"/>
    <x v="402"/>
    <s v="Q1-2025"/>
    <d v="2025-04-04T00:00:00"/>
    <d v="2025-04-04T00:00:00"/>
    <n v="25"/>
    <n v="25"/>
    <x v="0"/>
    <x v="2"/>
    <x v="1"/>
    <x v="2"/>
    <s v="Osaka"/>
    <s v="Asia - Japan - Osaka"/>
    <s v="Corporate"/>
    <x v="4"/>
    <x v="10"/>
    <x v="1"/>
    <x v="596"/>
    <n v="783.72"/>
    <n v="1355.94"/>
    <n v="1355.94"/>
    <s v="Medium"/>
    <n v="0.187"/>
    <n v="0.187"/>
    <x v="0"/>
    <n v="4"/>
    <n v="4409.5168800000001"/>
    <n v="3134.88"/>
    <n v="1274.63688"/>
    <n v="0.28906497348525856"/>
  </r>
  <r>
    <s v="ORD-2024-585443"/>
    <d v="2024-08-17T00:00:00"/>
    <x v="456"/>
    <s v="Q3-2024"/>
    <d v="2024-08-15T00:00:00"/>
    <d v="2024-08-21T00:00:00"/>
    <n v="-2"/>
    <n v="4"/>
    <x v="1"/>
    <x v="4"/>
    <x v="2"/>
    <x v="5"/>
    <s v="Rio de Janeiro"/>
    <s v="Americas - Brazil - Rio de Janeiro"/>
    <s v="Consumer"/>
    <x v="4"/>
    <x v="12"/>
    <x v="5"/>
    <x v="597"/>
    <n v="165.3"/>
    <n v="275.07"/>
    <n v="275.07"/>
    <s v="Low"/>
    <n v="0.13300000000000001"/>
    <n v="0.13300000000000001"/>
    <x v="0"/>
    <n v="25"/>
    <n v="5962.1422499999999"/>
    <n v="4132.5"/>
    <n v="1829.6422499999999"/>
    <n v="0.30687665159280625"/>
  </r>
  <r>
    <s v="ORD-2024-907733"/>
    <d v="2024-03-09T00:00:00"/>
    <x v="307"/>
    <s v="Q1-2024"/>
    <d v="2024-03-22T00:00:00"/>
    <d v="2024-03-22T00:00:00"/>
    <n v="13"/>
    <n v="13"/>
    <x v="0"/>
    <x v="7"/>
    <x v="3"/>
    <x v="8"/>
    <s v="Manchester"/>
    <s v="Europe - United Kingdom - Manchester"/>
    <s v="Consumer"/>
    <x v="1"/>
    <x v="6"/>
    <x v="4"/>
    <x v="598"/>
    <n v="985.45"/>
    <n v="1802.44"/>
    <n v="1802.44"/>
    <s v="High"/>
    <n v="8.9999999999999993E-3"/>
    <n v="8.9999999999999993E-3"/>
    <x v="0"/>
    <n v="19"/>
    <n v="33938.142760000002"/>
    <n v="18723.55"/>
    <n v="15214.592760000003"/>
    <n v="0.44830363486867486"/>
  </r>
  <r>
    <s v="ORD-2024-550400"/>
    <d v="2024-08-19T00:00:00"/>
    <x v="396"/>
    <s v="Q3-2024"/>
    <d v="2024-09-02T00:00:00"/>
    <d v="2024-09-02T00:00:00"/>
    <n v="14"/>
    <n v="14"/>
    <x v="0"/>
    <x v="3"/>
    <x v="2"/>
    <x v="3"/>
    <s v="Toronto"/>
    <s v="Americas - Canada - Toronto"/>
    <s v="Consumer"/>
    <x v="3"/>
    <x v="0"/>
    <x v="1"/>
    <x v="599"/>
    <n v="1337.01"/>
    <n v="1269.78"/>
    <n v="1269.78"/>
    <s v="Medium"/>
    <n v="0.16"/>
    <n v="0.16"/>
    <x v="0"/>
    <n v="7"/>
    <n v="7466.3063999999986"/>
    <n v="9359.07"/>
    <n v="-1892.7636000000011"/>
    <n v="-0.25350735672996244"/>
  </r>
  <r>
    <s v="ORD-2025-189846"/>
    <d v="2025-08-11T00:00:00"/>
    <x v="457"/>
    <s v="Q3-2025"/>
    <d v="2025-08-28T00:00:00"/>
    <d v="2025-08-28T00:00:00"/>
    <n v="17"/>
    <n v="17"/>
    <x v="0"/>
    <x v="6"/>
    <x v="3"/>
    <x v="7"/>
    <s v="Paris"/>
    <s v="Europe - France - Paris"/>
    <s v="Education"/>
    <x v="1"/>
    <x v="9"/>
    <x v="2"/>
    <x v="600"/>
    <n v="416.16"/>
    <n v="571.9"/>
    <n v="571.9"/>
    <s v="Low"/>
    <n v="7.0999999999999994E-2"/>
    <n v="7.0999999999999994E-2"/>
    <x v="0"/>
    <n v="2"/>
    <n v="1062.5902000000001"/>
    <n v="832.32"/>
    <n v="230.27020000000005"/>
    <n v="0.21670649701079497"/>
  </r>
  <r>
    <s v="ORD-2025-752192"/>
    <d v="2025-05-16T00:00:00"/>
    <x v="217"/>
    <s v="Q2-2025"/>
    <d v="2025-05-18T00:00:00"/>
    <d v="2025-05-18T00:00:00"/>
    <n v="2"/>
    <n v="2"/>
    <x v="1"/>
    <x v="2"/>
    <x v="1"/>
    <x v="2"/>
    <s v="Tokyo"/>
    <s v="Asia - Japan - Tokyo"/>
    <s v="Enterprise"/>
    <x v="0"/>
    <x v="1"/>
    <x v="1"/>
    <x v="601"/>
    <n v="1144.3800000000001"/>
    <n v="2755.04"/>
    <n v="2755.04"/>
    <s v="High"/>
    <n v="0.15"/>
    <n v="0.15"/>
    <x v="0"/>
    <n v="17"/>
    <n v="39810.328000000001"/>
    <n v="19454.460000000003"/>
    <n v="20355.867999999999"/>
    <n v="0.51132128326096682"/>
  </r>
  <r>
    <s v="ORD-2023-294716"/>
    <d v="2023-04-10T00:00:00"/>
    <x v="458"/>
    <s v="Q2-2023"/>
    <d v="2023-04-25T00:00:00"/>
    <d v="2023-04-25T00:00:00"/>
    <n v="15"/>
    <n v="15"/>
    <x v="0"/>
    <x v="7"/>
    <x v="3"/>
    <x v="8"/>
    <s v="London"/>
    <s v="Europe - United Kingdom - London"/>
    <s v="Small Business"/>
    <x v="0"/>
    <x v="14"/>
    <x v="1"/>
    <x v="602"/>
    <n v="405.66"/>
    <n v="962.51"/>
    <n v="962.51"/>
    <s v="Medium"/>
    <n v="0.19"/>
    <n v="0.19"/>
    <x v="0"/>
    <n v="7"/>
    <n v="5457.4317000000001"/>
    <n v="2839.6200000000003"/>
    <n v="2617.8116999999997"/>
    <n v="0.47967832561239376"/>
  </r>
  <r>
    <s v="ORD-2023-552115"/>
    <d v="2023-09-17T00:00:00"/>
    <x v="459"/>
    <s v="Q3-2023"/>
    <d v="2023-10-02T00:00:00"/>
    <d v="2023-10-02T00:00:00"/>
    <n v="15"/>
    <n v="15"/>
    <x v="0"/>
    <x v="4"/>
    <x v="2"/>
    <x v="5"/>
    <s v="Rio de Janeiro"/>
    <s v="Americas - Brazil - Rio de Janeiro"/>
    <s v="Small Business"/>
    <x v="0"/>
    <x v="5"/>
    <x v="4"/>
    <x v="603"/>
    <n v="689.33"/>
    <n v="668.27"/>
    <n v="668.27"/>
    <s v="Low"/>
    <n v="0.186"/>
    <n v="0.186"/>
    <x v="0"/>
    <n v="13"/>
    <n v="7071.6331400000008"/>
    <n v="8961.2900000000009"/>
    <n v="-1889.6568600000001"/>
    <n v="-0.26721647214861033"/>
  </r>
  <r>
    <s v="ORD-2023-107265"/>
    <d v="2023-04-22T00:00:00"/>
    <x v="460"/>
    <s v="Q2-2023"/>
    <d v="2023-05-14T00:00:00"/>
    <d v="2023-05-14T00:00:00"/>
    <n v="22"/>
    <n v="22"/>
    <x v="0"/>
    <x v="2"/>
    <x v="1"/>
    <x v="2"/>
    <s v="Nagoya"/>
    <s v="Asia - Japan - Nagoya"/>
    <s v="Enterprise"/>
    <x v="0"/>
    <x v="8"/>
    <x v="6"/>
    <x v="604"/>
    <n v="1209.22"/>
    <n v="1404.33"/>
    <n v="1404.33"/>
    <s v="Medium"/>
    <n v="0.10299999999999999"/>
    <n v="0.10299999999999999"/>
    <x v="0"/>
    <n v="11"/>
    <n v="13856.52411"/>
    <n v="13301.42"/>
    <n v="555.10411000000022"/>
    <n v="4.0060848275751328E-2"/>
  </r>
  <r>
    <s v="ORD-2025-262434"/>
    <d v="2025-06-19T00:00:00"/>
    <x v="111"/>
    <s v="Q2-2025"/>
    <d v="2025-06-21T00:00:00"/>
    <d v="2025-06-21T00:00:00"/>
    <n v="2"/>
    <n v="2"/>
    <x v="1"/>
    <x v="10"/>
    <x v="0"/>
    <x v="11"/>
    <s v="Johannesburg"/>
    <s v="Africa - South Africa - Johannesburg"/>
    <s v="Small Business"/>
    <x v="3"/>
    <x v="10"/>
    <x v="3"/>
    <x v="605"/>
    <n v="1466.27"/>
    <n v="3589.89"/>
    <n v="3589.89"/>
    <s v="High"/>
    <n v="9.7000000000000003E-2"/>
    <n v="9.7000000000000003E-2"/>
    <x v="0"/>
    <n v="9"/>
    <n v="29175.036029999999"/>
    <n v="13196.43"/>
    <n v="15978.606029999999"/>
    <n v="0.54768076425234147"/>
  </r>
  <r>
    <s v="ORD-2024-266562"/>
    <d v="2024-11-27T00:00:00"/>
    <x v="461"/>
    <s v="Q4-2024"/>
    <d v="2024-12-24T00:00:00"/>
    <d v="2024-12-24T00:00:00"/>
    <n v="27"/>
    <n v="27"/>
    <x v="0"/>
    <x v="0"/>
    <x v="0"/>
    <x v="0"/>
    <s v="Mombasa"/>
    <s v="Africa - Kenya - Mombasa"/>
    <s v="Corporate"/>
    <x v="3"/>
    <x v="5"/>
    <x v="1"/>
    <x v="606"/>
    <n v="143.33000000000001"/>
    <n v="233.51"/>
    <n v="233.51"/>
    <s v="Low"/>
    <n v="0.16300000000000001"/>
    <n v="0.16300000000000001"/>
    <x v="0"/>
    <n v="14"/>
    <n v="2736.27018"/>
    <n v="2006.6200000000001"/>
    <n v="729.65017999999986"/>
    <n v="0.26665867476580835"/>
  </r>
  <r>
    <s v="ORD-2024-838925"/>
    <d v="2024-01-28T00:00:00"/>
    <x v="10"/>
    <s v="Q1-2024"/>
    <d v="2024-01-27T00:00:00"/>
    <d v="2024-02-03T00:00:00"/>
    <n v="-1"/>
    <n v="6"/>
    <x v="1"/>
    <x v="10"/>
    <x v="0"/>
    <x v="11"/>
    <s v="Cape Town"/>
    <s v="Africa - South Africa - Cape Town"/>
    <s v="Enterprise"/>
    <x v="4"/>
    <x v="7"/>
    <x v="0"/>
    <x v="607"/>
    <n v="109.75"/>
    <n v="124.25"/>
    <n v="124.25"/>
    <s v="Low"/>
    <n v="0.12"/>
    <n v="0.12"/>
    <x v="0"/>
    <n v="19"/>
    <n v="2077.46"/>
    <n v="2085.25"/>
    <n v="-7.7899999999999636"/>
    <n v="-3.7497713554051405E-3"/>
  </r>
  <r>
    <s v="ORD-2023-664790"/>
    <d v="2023-04-16T00:00:00"/>
    <x v="387"/>
    <s v="Q2-2023"/>
    <d v="2023-04-23T00:00:00"/>
    <d v="2023-04-23T00:00:00"/>
    <n v="7"/>
    <n v="7"/>
    <x v="1"/>
    <x v="9"/>
    <x v="2"/>
    <x v="10"/>
    <s v="Austin"/>
    <s v="Americas - USA - Austin"/>
    <s v="Corporate"/>
    <x v="3"/>
    <x v="7"/>
    <x v="1"/>
    <x v="608"/>
    <n v="1099.1500000000001"/>
    <n v="1431.37"/>
    <n v="1431.37"/>
    <s v="Medium"/>
    <n v="0.104"/>
    <n v="0.104"/>
    <x v="0"/>
    <n v="8"/>
    <n v="10260.060159999999"/>
    <n v="8793.2000000000007"/>
    <n v="1466.8601599999984"/>
    <n v="0.14296798821109433"/>
  </r>
  <r>
    <s v="ORD-2024-331408"/>
    <d v="2024-02-01T00:00:00"/>
    <x v="145"/>
    <s v="Q1-2024"/>
    <d v="2024-02-01T00:00:00"/>
    <d v="2024-02-01T00:00:00"/>
    <n v="0"/>
    <n v="0"/>
    <x v="1"/>
    <x v="9"/>
    <x v="2"/>
    <x v="10"/>
    <s v="Austin"/>
    <s v="Americas - USA - Austin"/>
    <s v="Consumer"/>
    <x v="3"/>
    <x v="10"/>
    <x v="1"/>
    <x v="609"/>
    <n v="714.43"/>
    <n v="1595.52"/>
    <n v="1595.52"/>
    <s v="Medium"/>
    <n v="0.19400000000000001"/>
    <n v="0.19400000000000001"/>
    <x v="0"/>
    <n v="14"/>
    <n v="18003.847679999999"/>
    <n v="10002.019999999999"/>
    <n v="8001.8276800000003"/>
    <n v="0.44445097638151093"/>
  </r>
  <r>
    <s v="ORD-2024-741404"/>
    <d v="2024-10-19T00:00:00"/>
    <x v="462"/>
    <s v="Q4-2024"/>
    <d v="2024-11-06T00:00:00"/>
    <d v="2024-11-06T00:00:00"/>
    <n v="18"/>
    <n v="18"/>
    <x v="0"/>
    <x v="9"/>
    <x v="2"/>
    <x v="10"/>
    <s v="Chicago"/>
    <s v="Americas - USA - Chicago"/>
    <s v="Education"/>
    <x v="2"/>
    <x v="0"/>
    <x v="5"/>
    <x v="610"/>
    <n v="942.02"/>
    <n v="1028.46"/>
    <n v="1028.46"/>
    <s v="Medium"/>
    <n v="0"/>
    <n v="0"/>
    <x v="0"/>
    <n v="9"/>
    <n v="9256.14"/>
    <n v="8478.18"/>
    <n v="777.95999999999913"/>
    <n v="8.4047994088248354E-2"/>
  </r>
  <r>
    <s v="ORD-2024-341535"/>
    <d v="2024-06-25T00:00:00"/>
    <x v="463"/>
    <s v="Q2-2024"/>
    <d v="2024-06-30T00:00:00"/>
    <d v="2024-06-30T00:00:00"/>
    <n v="5"/>
    <n v="5"/>
    <x v="1"/>
    <x v="0"/>
    <x v="0"/>
    <x v="0"/>
    <s v="Kisumu"/>
    <s v="Africa - Kenya - Kisumu"/>
    <s v="Education"/>
    <x v="4"/>
    <x v="12"/>
    <x v="2"/>
    <x v="611"/>
    <n v="1323.55"/>
    <n v="3230.35"/>
    <n v="3230.35"/>
    <s v="High"/>
    <n v="2.1999999999999999E-2"/>
    <n v="2.1999999999999999E-2"/>
    <x v="0"/>
    <n v="26"/>
    <n v="82141.339799999987"/>
    <n v="34412.299999999996"/>
    <n v="47729.039799999991"/>
    <n v="0.58105991351263542"/>
  </r>
  <r>
    <s v="ORD-2023-451931"/>
    <d v="2023-07-30T00:00:00"/>
    <x v="203"/>
    <s v="Q3-2023"/>
    <d v="2023-08-19T00:00:00"/>
    <d v="2023-08-19T00:00:00"/>
    <n v="20"/>
    <n v="20"/>
    <x v="0"/>
    <x v="6"/>
    <x v="3"/>
    <x v="7"/>
    <s v="Paris"/>
    <s v="Europe - France - Paris"/>
    <s v="Enterprise"/>
    <x v="2"/>
    <x v="3"/>
    <x v="2"/>
    <x v="612"/>
    <n v="1418.51"/>
    <n v="2789.61"/>
    <n v="2789.61"/>
    <s v="High"/>
    <n v="0.17100000000000001"/>
    <n v="0.17100000000000001"/>
    <x v="0"/>
    <n v="8"/>
    <n v="18500.693520000001"/>
    <n v="11348.08"/>
    <n v="7152.6135200000008"/>
    <n v="0.38661326464695689"/>
  </r>
  <r>
    <s v="ORD-2025-532859"/>
    <d v="2025-03-11T00:00:00"/>
    <x v="418"/>
    <s v="Q1-2025"/>
    <d v="2025-03-27T00:00:00"/>
    <d v="2025-03-27T00:00:00"/>
    <n v="16"/>
    <n v="16"/>
    <x v="0"/>
    <x v="2"/>
    <x v="1"/>
    <x v="2"/>
    <s v="Tokyo"/>
    <s v="Asia - Japan - Tokyo"/>
    <s v="Enterprise"/>
    <x v="3"/>
    <x v="5"/>
    <x v="1"/>
    <x v="613"/>
    <n v="1317.58"/>
    <n v="1897.74"/>
    <n v="1897.74"/>
    <s v="High"/>
    <n v="8.1000000000000003E-2"/>
    <n v="8.1000000000000003E-2"/>
    <x v="0"/>
    <n v="6"/>
    <n v="10464.138360000001"/>
    <n v="7905.48"/>
    <n v="2558.6583600000013"/>
    <n v="0.24451687009230266"/>
  </r>
  <r>
    <s v="ORD-2023-502205"/>
    <d v="2023-10-09T00:00:00"/>
    <x v="327"/>
    <s v="Q4-2023"/>
    <d v="2023-10-11T00:00:00"/>
    <d v="2023-10-11T00:00:00"/>
    <n v="2"/>
    <n v="2"/>
    <x v="1"/>
    <x v="1"/>
    <x v="0"/>
    <x v="1"/>
    <s v="Port Harcourt"/>
    <s v="Africa - Nigeria - Port Harcourt"/>
    <s v="Education"/>
    <x v="2"/>
    <x v="11"/>
    <x v="2"/>
    <x v="614"/>
    <n v="391.16"/>
    <n v="902.47"/>
    <n v="902.47"/>
    <s v="Medium"/>
    <n v="4.0000000000000001E-3"/>
    <n v="4.0000000000000001E-3"/>
    <x v="0"/>
    <n v="12"/>
    <n v="10786.32144"/>
    <n v="4693.92"/>
    <n v="6092.4014399999996"/>
    <n v="0.56482661618139207"/>
  </r>
  <r>
    <s v="ORD-2024-930679"/>
    <d v="2024-12-17T00:00:00"/>
    <x v="55"/>
    <s v="Q4-2024"/>
    <d v="2025-01-16T00:00:00"/>
    <d v="2025-01-16T00:00:00"/>
    <n v="30"/>
    <n v="30"/>
    <x v="0"/>
    <x v="7"/>
    <x v="3"/>
    <x v="8"/>
    <s v="Manchester"/>
    <s v="Europe - United Kingdom - Manchester"/>
    <s v="Corporate"/>
    <x v="0"/>
    <x v="14"/>
    <x v="5"/>
    <x v="615"/>
    <n v="722.87"/>
    <n v="-33.659999999999997"/>
    <n v="33.659999999999997"/>
    <s v="Low"/>
    <n v="0.10199999999999999"/>
    <n v="0.10199999999999999"/>
    <x v="0"/>
    <n v="28"/>
    <n v="-846.34703999999988"/>
    <n v="20240.36"/>
    <n v="-21086.707040000001"/>
    <n v="24.914965189693348"/>
  </r>
  <r>
    <s v="ORD-2025-150713"/>
    <d v="2025-07-11T00:00:00"/>
    <x v="445"/>
    <s v="Q3-2025"/>
    <d v="2025-07-16T00:00:00"/>
    <d v="2025-07-16T00:00:00"/>
    <n v="5"/>
    <n v="5"/>
    <x v="1"/>
    <x v="7"/>
    <x v="3"/>
    <x v="8"/>
    <s v="London"/>
    <s v="Europe - United Kingdom - London"/>
    <s v="Enterprise"/>
    <x v="1"/>
    <x v="11"/>
    <x v="1"/>
    <x v="616"/>
    <n v="930.03"/>
    <n v="1086.68"/>
    <n v="1086.68"/>
    <s v="Medium"/>
    <n v="0.109"/>
    <n v="0.109"/>
    <x v="0"/>
    <n v="26"/>
    <n v="25174.028880000002"/>
    <n v="24180.78"/>
    <n v="993.24888000000283"/>
    <n v="3.9455300728168656E-2"/>
  </r>
  <r>
    <s v="ORD-2024-756884"/>
    <d v="2024-10-13T00:00:00"/>
    <x v="464"/>
    <s v="Q4-2024"/>
    <d v="2024-10-24T00:00:00"/>
    <d v="2024-10-24T00:00:00"/>
    <n v="11"/>
    <n v="11"/>
    <x v="0"/>
    <x v="6"/>
    <x v="3"/>
    <x v="7"/>
    <s v="Paris"/>
    <s v="Europe - France - Paris"/>
    <s v="Education"/>
    <x v="3"/>
    <x v="9"/>
    <x v="0"/>
    <x v="617"/>
    <n v="816.7"/>
    <n v="1010.75"/>
    <n v="1010.75"/>
    <s v="Medium"/>
    <n v="4.7E-2"/>
    <n v="4.7E-2"/>
    <x v="0"/>
    <n v="43"/>
    <n v="41419.524249999995"/>
    <n v="35118.1"/>
    <n v="6301.4242499999964"/>
    <n v="0.15213656757537472"/>
  </r>
  <r>
    <s v="ORD-2023-755337"/>
    <d v="2023-09-08T00:00:00"/>
    <x v="429"/>
    <s v="Q3-2023"/>
    <d v="2023-09-14T00:00:00"/>
    <d v="2023-09-14T00:00:00"/>
    <n v="6"/>
    <n v="6"/>
    <x v="1"/>
    <x v="0"/>
    <x v="0"/>
    <x v="0"/>
    <s v="Nakuru"/>
    <s v="Africa - Kenya - Nakuru"/>
    <s v="Education"/>
    <x v="4"/>
    <x v="2"/>
    <x v="6"/>
    <x v="618"/>
    <n v="251.03"/>
    <n v="411.48"/>
    <n v="411.48"/>
    <s v="Low"/>
    <n v="0.16500000000000001"/>
    <n v="0.16500000000000001"/>
    <x v="0"/>
    <n v="3"/>
    <n v="1030.7574"/>
    <n v="753.09"/>
    <n v="277.66739999999993"/>
    <n v="0.26938191275658069"/>
  </r>
  <r>
    <s v="ORD-2025-907040"/>
    <d v="2025-04-17T00:00:00"/>
    <x v="448"/>
    <s v="Q2-2025"/>
    <d v="2025-05-03T00:00:00"/>
    <d v="2025-05-03T00:00:00"/>
    <n v="16"/>
    <n v="16"/>
    <x v="0"/>
    <x v="4"/>
    <x v="2"/>
    <x v="5"/>
    <s v="Rio de Janeiro"/>
    <s v="Americas - Brazil - Rio de Janeiro"/>
    <s v="Consumer"/>
    <x v="2"/>
    <x v="1"/>
    <x v="2"/>
    <x v="619"/>
    <n v="168.68"/>
    <n v="413.34"/>
    <n v="413.34"/>
    <s v="Low"/>
    <n v="0.186"/>
    <n v="0.186"/>
    <x v="0"/>
    <n v="7"/>
    <n v="2355.2113199999999"/>
    <n v="1180.76"/>
    <n v="1174.4513199999999"/>
    <n v="0.49866069767361682"/>
  </r>
  <r>
    <s v="ORD-2024-817997"/>
    <d v="2024-07-28T00:00:00"/>
    <x v="465"/>
    <s v="Q3-2024"/>
    <d v="2024-08-23T00:00:00"/>
    <d v="2024-08-23T00:00:00"/>
    <n v="26"/>
    <n v="26"/>
    <x v="0"/>
    <x v="4"/>
    <x v="1"/>
    <x v="4"/>
    <s v="Hyderabad"/>
    <s v="Asia - India - Hyderabad"/>
    <s v="Corporate"/>
    <x v="0"/>
    <x v="1"/>
    <x v="2"/>
    <x v="620"/>
    <n v="1339.24"/>
    <n v="1558.89"/>
    <n v="1558.89"/>
    <s v="Medium"/>
    <n v="0.192"/>
    <n v="0.192"/>
    <x v="0"/>
    <n v="24"/>
    <n v="30229.994880000002"/>
    <n v="32141.760000000002"/>
    <n v="-1911.76512"/>
    <n v="-6.3240669659021781E-2"/>
  </r>
  <r>
    <s v="ORD-2025-649633"/>
    <d v="2025-07-19T00:00:00"/>
    <x v="466"/>
    <s v="Q3-2025"/>
    <d v="2025-07-31T00:00:00"/>
    <d v="2025-07-31T00:00:00"/>
    <n v="12"/>
    <n v="12"/>
    <x v="0"/>
    <x v="0"/>
    <x v="0"/>
    <x v="0"/>
    <s v="Nairobi"/>
    <s v="Africa - Kenya - Nairobi"/>
    <s v="Small Business"/>
    <x v="2"/>
    <x v="7"/>
    <x v="6"/>
    <x v="621"/>
    <n v="619.64"/>
    <n v="861.16"/>
    <n v="861.16"/>
    <s v="Medium"/>
    <n v="0.113"/>
    <n v="0.113"/>
    <x v="0"/>
    <n v="14"/>
    <n v="10693.88488"/>
    <n v="8674.9599999999991"/>
    <n v="2018.9248800000005"/>
    <n v="0.18879246435276761"/>
  </r>
  <r>
    <s v="ORD-2023-885216"/>
    <d v="2023-08-03T00:00:00"/>
    <x v="242"/>
    <s v="Q3-2023"/>
    <d v="2023-08-02T00:00:00"/>
    <d v="2023-08-16T00:00:00"/>
    <n v="-1"/>
    <n v="13"/>
    <x v="0"/>
    <x v="8"/>
    <x v="1"/>
    <x v="9"/>
    <s v="Shanghai"/>
    <s v="Asia - China - Shanghai"/>
    <s v="Non-Profit"/>
    <x v="4"/>
    <x v="1"/>
    <x v="2"/>
    <x v="622"/>
    <n v="1021.97"/>
    <n v="2296.25"/>
    <n v="2296.25"/>
    <s v="High"/>
    <n v="0.161"/>
    <n v="0.161"/>
    <x v="0"/>
    <n v="26"/>
    <n v="50090.397499999999"/>
    <n v="26571.22"/>
    <n v="23519.177499999998"/>
    <n v="0.46953465482081669"/>
  </r>
  <r>
    <s v="ORD-2023-561823"/>
    <d v="2023-11-19T00:00:00"/>
    <x v="112"/>
    <s v="Q4-2023"/>
    <d v="2023-12-12T00:00:00"/>
    <d v="2023-12-12T00:00:00"/>
    <n v="23"/>
    <n v="23"/>
    <x v="0"/>
    <x v="4"/>
    <x v="1"/>
    <x v="4"/>
    <s v="Delhi"/>
    <s v="Asia - India - Delhi"/>
    <s v="Small Business"/>
    <x v="4"/>
    <x v="0"/>
    <x v="2"/>
    <x v="623"/>
    <n v="1349.04"/>
    <n v="2636.6"/>
    <n v="2636.6"/>
    <s v="High"/>
    <n v="0.114"/>
    <n v="0.114"/>
    <x v="0"/>
    <n v="14"/>
    <n v="32704.386400000003"/>
    <n v="18886.559999999998"/>
    <n v="13817.826400000005"/>
    <n v="0.42250682312143928"/>
  </r>
  <r>
    <s v="ORD-2023-249805"/>
    <d v="2023-12-22T00:00:00"/>
    <x v="81"/>
    <s v="Q4-2023"/>
    <d v="2024-01-16T00:00:00"/>
    <d v="2024-01-16T00:00:00"/>
    <n v="25"/>
    <n v="25"/>
    <x v="0"/>
    <x v="4"/>
    <x v="1"/>
    <x v="4"/>
    <s v="Hyderabad"/>
    <s v="Asia - India - Hyderabad"/>
    <s v="Small Business"/>
    <x v="0"/>
    <x v="8"/>
    <x v="0"/>
    <x v="624"/>
    <n v="1346.81"/>
    <n v="978.09"/>
    <n v="978.09"/>
    <s v="Medium"/>
    <n v="0.159"/>
    <n v="0.159"/>
    <x v="0"/>
    <n v="17"/>
    <n v="13983.752729999998"/>
    <n v="22895.77"/>
    <n v="-8912.0172700000021"/>
    <n v="-0.6373122753293996"/>
  </r>
  <r>
    <s v="ORD-2023-548934"/>
    <d v="2023-08-03T00:00:00"/>
    <x v="242"/>
    <s v="Q3-2023"/>
    <d v="2023-08-30T00:00:00"/>
    <d v="2023-08-30T00:00:00"/>
    <n v="27"/>
    <n v="27"/>
    <x v="0"/>
    <x v="8"/>
    <x v="1"/>
    <x v="9"/>
    <s v="Shanghai"/>
    <s v="Asia - China - Shanghai"/>
    <s v="Consumer"/>
    <x v="3"/>
    <x v="13"/>
    <x v="5"/>
    <x v="625"/>
    <n v="226.04"/>
    <n v="545.72"/>
    <n v="545.72"/>
    <s v="Low"/>
    <n v="0.151"/>
    <n v="0.151"/>
    <x v="0"/>
    <n v="11"/>
    <n v="5096.4790800000001"/>
    <n v="2486.44"/>
    <n v="2610.03908"/>
    <n v="0.51212592831834014"/>
  </r>
  <r>
    <s v="ORD-2023-921939"/>
    <d v="2023-06-23T00:00:00"/>
    <x v="44"/>
    <s v="Q2-2023"/>
    <d v="2023-07-18T00:00:00"/>
    <d v="2023-07-18T00:00:00"/>
    <n v="25"/>
    <n v="25"/>
    <x v="0"/>
    <x v="3"/>
    <x v="2"/>
    <x v="3"/>
    <s v="Vancouver"/>
    <s v="Americas - Canada - Vancouver"/>
    <s v="Enterprise"/>
    <x v="1"/>
    <x v="13"/>
    <x v="3"/>
    <x v="626"/>
    <n v="807.02"/>
    <n v="1435.54"/>
    <n v="1435.54"/>
    <s v="Medium"/>
    <n v="0"/>
    <n v="0"/>
    <x v="0"/>
    <n v="23"/>
    <n v="33017.42"/>
    <n v="18561.46"/>
    <n v="14455.96"/>
    <n v="0.43782827368098415"/>
  </r>
  <r>
    <s v="ORD-2023-961864"/>
    <d v="2023-12-07T00:00:00"/>
    <x v="141"/>
    <s v="Q4-2023"/>
    <d v="2024-01-02T00:00:00"/>
    <d v="2024-01-02T00:00:00"/>
    <n v="26"/>
    <n v="26"/>
    <x v="0"/>
    <x v="5"/>
    <x v="3"/>
    <x v="6"/>
    <s v="Frankfurt"/>
    <s v="Europe - Germany - Frankfurt"/>
    <s v="Enterprise"/>
    <x v="3"/>
    <x v="6"/>
    <x v="0"/>
    <x v="627"/>
    <n v="1071.99"/>
    <n v="2397.3000000000002"/>
    <n v="2397.3000000000002"/>
    <s v="High"/>
    <n v="6.2E-2"/>
    <n v="6.2E-2"/>
    <x v="0"/>
    <n v="18"/>
    <n v="40476.013200000001"/>
    <n v="19295.82"/>
    <n v="21180.193200000002"/>
    <n v="0.52327765324476183"/>
  </r>
  <r>
    <s v="ORD-2023-455933"/>
    <d v="2023-11-19T00:00:00"/>
    <x v="112"/>
    <s v="Q4-2023"/>
    <d v="2023-12-19T00:00:00"/>
    <d v="2023-12-19T00:00:00"/>
    <n v="30"/>
    <n v="30"/>
    <x v="0"/>
    <x v="2"/>
    <x v="1"/>
    <x v="2"/>
    <s v="Nagoya"/>
    <s v="Asia - Japan - Nagoya"/>
    <s v="Consumer"/>
    <x v="0"/>
    <x v="5"/>
    <x v="3"/>
    <x v="628"/>
    <n v="807.11"/>
    <n v="1853.86"/>
    <n v="1853.86"/>
    <s v="High"/>
    <n v="0.13900000000000001"/>
    <n v="0.13900000000000001"/>
    <x v="0"/>
    <n v="8"/>
    <n v="12769.38768"/>
    <n v="6456.88"/>
    <n v="6312.5076799999997"/>
    <n v="0.49434693645388639"/>
  </r>
  <r>
    <s v="ORD-2025-728935"/>
    <d v="2025-02-28T00:00:00"/>
    <x v="467"/>
    <s v="Q1-2025"/>
    <d v="2025-03-10T00:00:00"/>
    <d v="2025-03-10T00:00:00"/>
    <n v="10"/>
    <n v="10"/>
    <x v="0"/>
    <x v="2"/>
    <x v="1"/>
    <x v="2"/>
    <s v="Osaka"/>
    <s v="Asia - Japan - Osaka"/>
    <s v="Education"/>
    <x v="3"/>
    <x v="13"/>
    <x v="4"/>
    <x v="629"/>
    <n v="51.86"/>
    <n v="45.98"/>
    <n v="45.98"/>
    <s v="Low"/>
    <n v="0.17299999999999999"/>
    <n v="0.17299999999999999"/>
    <x v="0"/>
    <n v="7"/>
    <n v="266.17821999999995"/>
    <n v="363.02"/>
    <n v="-96.841780000000028"/>
    <n v="-0.3638230806412337"/>
  </r>
</pivotCacheRecords>
</file>

<file path=xl/pivotCache/pivotCacheRecords3.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632">
  <r>
    <s v="ORD-2024-275203"/>
    <d v="2024-03-11T00:00:00"/>
    <x v="0"/>
    <s v="Q1-2024"/>
    <d v="2024-04-06T00:00:00"/>
    <d v="2024-04-06T00:00:00"/>
    <n v="26"/>
    <n v="26"/>
    <s v="No"/>
    <d v="2023-01-20T00:00:00"/>
    <x v="0"/>
    <x v="0"/>
    <s v="Kisumu"/>
    <s v="Africa - Kenya - Kisumu"/>
    <s v="Corporate"/>
    <x v="0"/>
    <x v="0"/>
    <x v="0"/>
    <x v="0"/>
    <n v="279.24"/>
    <n v="608.9"/>
    <n v="608.9"/>
    <s v="Low"/>
    <n v="0.112"/>
    <n v="0.112"/>
    <s v="No"/>
    <n v="9"/>
    <n v="4866.3287999999993"/>
    <n v="2513.16"/>
    <n v="2353.1687999999995"/>
    <n v="0.48356140670149533"/>
    <n v="0.112"/>
    <n v="9"/>
    <n v="279.24"/>
    <n v="4866.3287999999993"/>
    <n v="2353.1687999999995"/>
  </r>
  <r>
    <s v="ORD-2024-358795"/>
    <d v="2024-10-23T00:00:00"/>
    <x v="1"/>
    <s v="Q4-2024"/>
    <d v="2024-10-22T00:00:00"/>
    <d v="2024-11-02T00:00:00"/>
    <n v="-1"/>
    <n v="10"/>
    <s v="No"/>
    <d v="2023-01-15T00:00:00"/>
    <x v="0"/>
    <x v="1"/>
    <s v="Port Harcourt"/>
    <s v="Africa - Nigeria - Port Harcourt"/>
    <s v="Education"/>
    <x v="1"/>
    <x v="1"/>
    <x v="1"/>
    <x v="1"/>
    <n v="1084.3900000000001"/>
    <n v="759.33"/>
    <n v="759.33"/>
    <s v="Low"/>
    <n v="0.23699999999999999"/>
    <n v="0.23699999999999999"/>
    <s v="Yes"/>
    <n v="31"/>
    <n v="17960.432489999999"/>
    <n v="33616.090000000004"/>
    <n v="-15655.657510000005"/>
    <n v="-0.87167486187856302"/>
    <n v="0.23699999999999999"/>
    <n v="31"/>
    <n v="1084.3900000000001"/>
    <n v="17960.432489999999"/>
    <n v="-15655.657510000005"/>
  </r>
  <r>
    <s v="ORD-2023-373538"/>
    <d v="2023-02-28T00:00:00"/>
    <x v="2"/>
    <s v="Q1-2023"/>
    <d v="2023-03-25T00:00:00"/>
    <d v="2023-03-25T00:00:00"/>
    <n v="25"/>
    <n v="25"/>
    <s v="No"/>
    <d v="2023-01-20T00:00:00"/>
    <x v="0"/>
    <x v="0"/>
    <s v="Nairobi"/>
    <s v="Africa - Kenya - Nairobi"/>
    <s v="Corporate"/>
    <x v="0"/>
    <x v="2"/>
    <x v="2"/>
    <x v="2"/>
    <n v="1460.76"/>
    <n v="-30.66"/>
    <n v="30.66"/>
    <s v="Low"/>
    <n v="0.13100000000000001"/>
    <n v="0.13100000000000001"/>
    <s v="No"/>
    <n v="12"/>
    <n v="-319.72248000000002"/>
    <n v="17529.12"/>
    <n v="-17848.842479999999"/>
    <n v="55.826047890032626"/>
    <n v="0.13100000000000001"/>
    <n v="12"/>
    <n v="1460.76"/>
    <n v="319.72248000000002"/>
    <n v="-17209.397519999999"/>
  </r>
  <r>
    <s v="ORD-2025-168148"/>
    <d v="2025-03-29T00:00:00"/>
    <x v="3"/>
    <s v="Q1-2025"/>
    <d v="2025-04-02T00:00:00"/>
    <d v="2025-04-02T00:00:00"/>
    <n v="4"/>
    <n v="4"/>
    <s v="Yes"/>
    <d v="2023-01-15T00:00:00"/>
    <x v="0"/>
    <x v="1"/>
    <s v="Lagos"/>
    <s v="Africa - Nigeria - Lagos"/>
    <s v="Non-Profit"/>
    <x v="2"/>
    <x v="3"/>
    <x v="3"/>
    <x v="3"/>
    <n v="259.93"/>
    <n v="255.94"/>
    <n v="255.94"/>
    <s v="Low"/>
    <n v="7.1999999999999995E-2"/>
    <n v="7.1999999999999995E-2"/>
    <s v="No"/>
    <n v="22"/>
    <n v="5225.2710400000005"/>
    <n v="5718.46"/>
    <n v="-493.1889599999995"/>
    <n v="-9.4385335463861311E-2"/>
    <n v="7.1999999999999995E-2"/>
    <n v="22"/>
    <n v="259.93"/>
    <n v="5225.2710400000005"/>
    <n v="-493.1889599999995"/>
  </r>
  <r>
    <s v="ORD-2023-824839"/>
    <d v="2023-12-06T00:00:00"/>
    <x v="4"/>
    <s v="Q4-2023"/>
    <d v="2023-12-31T00:00:00"/>
    <d v="2023-12-31T00:00:00"/>
    <n v="25"/>
    <n v="25"/>
    <s v="No"/>
    <d v="2023-03-03T00:00:00"/>
    <x v="1"/>
    <x v="2"/>
    <s v="Osaka"/>
    <s v="Asia - Japan - Osaka"/>
    <s v="Consumer"/>
    <x v="0"/>
    <x v="4"/>
    <x v="1"/>
    <x v="4"/>
    <n v="663.03"/>
    <n v="813.51"/>
    <n v="813.51"/>
    <s v="Low"/>
    <n v="0.10199999999999999"/>
    <n v="0.10199999999999999"/>
    <s v="No"/>
    <n v="15"/>
    <n v="10957.9797"/>
    <n v="9945.4499999999989"/>
    <n v="1012.529700000001"/>
    <n v="9.2401129379715952E-2"/>
    <n v="0.10199999999999999"/>
    <n v="15"/>
    <n v="663.03"/>
    <n v="10957.9797"/>
    <n v="1012.529700000001"/>
  </r>
  <r>
    <s v="ORD-2023-723587"/>
    <d v="2023-01-02T00:00:00"/>
    <x v="5"/>
    <s v="Q1-2023"/>
    <d v="2023-01-05T00:00:00"/>
    <d v="2023-01-05T00:00:00"/>
    <n v="3"/>
    <n v="3"/>
    <s v="Yes"/>
    <d v="2023-01-02T00:00:00"/>
    <x v="2"/>
    <x v="3"/>
    <s v="Toronto"/>
    <s v="Americas - Canada - Toronto"/>
    <s v="Corporate"/>
    <x v="3"/>
    <x v="5"/>
    <x v="4"/>
    <x v="5"/>
    <n v="315.87"/>
    <n v="591.67999999999995"/>
    <n v="591.67999999999995"/>
    <s v="Low"/>
    <n v="0"/>
    <n v="0"/>
    <s v="No"/>
    <n v="7"/>
    <n v="4141.7599999999993"/>
    <n v="2211.09"/>
    <n v="1930.6699999999992"/>
    <n v="0.46614724175229844"/>
    <n v="0"/>
    <n v="7"/>
    <n v="315.87"/>
    <n v="4141.7599999999993"/>
    <n v="1930.6699999999992"/>
  </r>
  <r>
    <s v="ORD-2024-336584"/>
    <d v="2024-12-27T00:00:00"/>
    <x v="6"/>
    <s v="Q4-2024"/>
    <d v="2025-01-14T00:00:00"/>
    <d v="2025-01-14T00:00:00"/>
    <n v="18"/>
    <n v="18"/>
    <s v="No"/>
    <d v="2023-01-29T00:00:00"/>
    <x v="1"/>
    <x v="4"/>
    <s v="Bengaluru"/>
    <s v="Asia - India - Bengaluru"/>
    <s v="Small Business"/>
    <x v="2"/>
    <x v="6"/>
    <x v="5"/>
    <x v="6"/>
    <n v="586.07000000000005"/>
    <n v="845.97"/>
    <n v="845.97"/>
    <s v="Medium"/>
    <n v="0.14699999999999999"/>
    <n v="0.14699999999999999"/>
    <s v="No"/>
    <n v="4"/>
    <n v="2886.4496399999998"/>
    <n v="2344.2800000000002"/>
    <n v="542.16963999999962"/>
    <n v="0.18783270370862928"/>
    <n v="0.14699999999999999"/>
    <n v="4"/>
    <n v="586.07000000000005"/>
    <n v="2886.4496399999998"/>
    <n v="542.16963999999962"/>
  </r>
  <r>
    <s v="ORD-2023-112666"/>
    <d v="2023-01-15T00:00:00"/>
    <x v="7"/>
    <s v="Q1-2023"/>
    <d v="2023-01-13T00:00:00"/>
    <d v="2023-01-18T00:00:00"/>
    <n v="-2"/>
    <n v="3"/>
    <s v="Yes"/>
    <d v="2023-01-15T00:00:00"/>
    <x v="0"/>
    <x v="1"/>
    <s v="Abuja"/>
    <s v="Africa - Nigeria - Abuja"/>
    <s v="Education"/>
    <x v="1"/>
    <x v="7"/>
    <x v="1"/>
    <x v="7"/>
    <n v="28.38"/>
    <n v="47.22"/>
    <n v="47.22"/>
    <s v="Low"/>
    <n v="0.19400000000000001"/>
    <n v="0.19400000000000001"/>
    <s v="No"/>
    <n v="18"/>
    <n v="685.06776000000002"/>
    <n v="510.84"/>
    <n v="174.22776000000005"/>
    <n v="0.25432193743871417"/>
    <n v="0.19400000000000001"/>
    <n v="18"/>
    <n v="28.38"/>
    <n v="685.06776000000002"/>
    <n v="174.22776000000005"/>
  </r>
  <r>
    <s v="ORD-2024-589570"/>
    <d v="2024-05-04T00:00:00"/>
    <x v="8"/>
    <s v="Q2-2024"/>
    <d v="2024-05-29T00:00:00"/>
    <d v="2024-05-29T00:00:00"/>
    <n v="25"/>
    <n v="25"/>
    <s v="No"/>
    <d v="2023-01-15T00:00:00"/>
    <x v="0"/>
    <x v="1"/>
    <s v="Abuja"/>
    <s v="Africa - Nigeria - Abuja"/>
    <s v="Non-Profit"/>
    <x v="2"/>
    <x v="7"/>
    <x v="5"/>
    <x v="8"/>
    <n v="1295.3399999999999"/>
    <n v="2530.81"/>
    <n v="2530.81"/>
    <s v="High"/>
    <n v="3.1E-2"/>
    <n v="3.1E-2"/>
    <s v="No"/>
    <n v="6"/>
    <n v="14714.12934"/>
    <n v="7772.0399999999991"/>
    <n v="6942.0893400000004"/>
    <n v="0.4717974933880798"/>
    <n v="3.1E-2"/>
    <n v="6"/>
    <n v="1295.3399999999999"/>
    <n v="14714.12934"/>
    <n v="6942.0893400000004"/>
  </r>
  <r>
    <s v="ORD-2025-997421"/>
    <d v="2025-05-21T00:00:00"/>
    <x v="9"/>
    <s v="Q2-2025"/>
    <d v="2025-06-09T00:00:00"/>
    <d v="2025-06-09T00:00:00"/>
    <n v="19"/>
    <n v="19"/>
    <s v="No"/>
    <d v="2023-01-29T00:00:00"/>
    <x v="2"/>
    <x v="5"/>
    <s v="São Paulo"/>
    <s v="Americas - Brazil - São Paulo"/>
    <s v="Non-Profit"/>
    <x v="1"/>
    <x v="8"/>
    <x v="0"/>
    <x v="9"/>
    <n v="1331.38"/>
    <n v="2309.56"/>
    <n v="2309.56"/>
    <s v="High"/>
    <n v="0.14899999999999999"/>
    <n v="0.14899999999999999"/>
    <s v="No"/>
    <n v="31"/>
    <n v="60928.502359999999"/>
    <n v="41272.780000000006"/>
    <n v="19655.722359999992"/>
    <n v="0.32260307735553528"/>
    <n v="0.14899999999999999"/>
    <n v="31"/>
    <n v="1331.38"/>
    <n v="60928.502359999999"/>
    <n v="19655.722359999992"/>
  </r>
  <r>
    <s v="ORD-2024-210687"/>
    <d v="2024-01-28T00:00:00"/>
    <x v="10"/>
    <s v="Q1-2024"/>
    <d v="2024-02-09T00:00:00"/>
    <d v="2024-02-09T00:00:00"/>
    <n v="12"/>
    <n v="12"/>
    <s v="No"/>
    <d v="2023-01-22T00:00:00"/>
    <x v="3"/>
    <x v="6"/>
    <s v="Berlin"/>
    <s v="Europe - Germany - Berlin"/>
    <s v="Corporate"/>
    <x v="1"/>
    <x v="3"/>
    <x v="6"/>
    <x v="10"/>
    <n v="644.16999999999996"/>
    <n v="700.12"/>
    <n v="700.12"/>
    <s v="Low"/>
    <n v="6.0000000000000001E-3"/>
    <n v="6.0000000000000001E-3"/>
    <s v="No"/>
    <n v="23"/>
    <n v="16006.14344"/>
    <n v="14815.91"/>
    <n v="1190.23344"/>
    <n v="7.436103796405813E-2"/>
    <n v="6.0000000000000001E-3"/>
    <n v="23"/>
    <n v="644.16999999999996"/>
    <n v="16006.14344"/>
    <n v="1190.23344"/>
  </r>
  <r>
    <s v="ORD-2025-515515"/>
    <d v="2025-01-03T00:00:00"/>
    <x v="11"/>
    <s v="Q1-2025"/>
    <d v="2025-01-23T00:00:00"/>
    <d v="2025-01-23T00:00:00"/>
    <n v="20"/>
    <n v="20"/>
    <s v="No"/>
    <d v="2023-03-03T00:00:00"/>
    <x v="1"/>
    <x v="2"/>
    <s v="Osaka"/>
    <s v="Asia - Japan - Osaka"/>
    <s v="Corporate"/>
    <x v="3"/>
    <x v="9"/>
    <x v="3"/>
    <x v="11"/>
    <n v="908.6"/>
    <n v="691.37"/>
    <n v="691.37"/>
    <s v="Low"/>
    <n v="0.25"/>
    <n v="0.25"/>
    <s v="Yes"/>
    <n v="20"/>
    <n v="10370.549999999999"/>
    <n v="18172"/>
    <n v="-7801.4500000000007"/>
    <n v="-0.75226964818645115"/>
    <n v="0.25"/>
    <n v="20"/>
    <n v="908.6"/>
    <n v="10370.549999999999"/>
    <n v="-7801.4500000000007"/>
  </r>
  <r>
    <s v="ORD-2025-487261"/>
    <d v="2025-03-06T00:00:00"/>
    <x v="12"/>
    <s v="Q1-2025"/>
    <d v="2025-03-31T00:00:00"/>
    <d v="2025-03-31T00:00:00"/>
    <n v="25"/>
    <n v="25"/>
    <s v="No"/>
    <d v="2023-01-29T00:00:00"/>
    <x v="2"/>
    <x v="5"/>
    <s v="Brasília"/>
    <s v="Americas - Brazil - Brasília"/>
    <s v="Non-Profit"/>
    <x v="1"/>
    <x v="1"/>
    <x v="0"/>
    <x v="12"/>
    <n v="331.57"/>
    <n v="548.4"/>
    <n v="548.4"/>
    <s v="Low"/>
    <n v="9.4E-2"/>
    <n v="9.4E-2"/>
    <s v="No"/>
    <n v="10"/>
    <n v="4968.5039999999999"/>
    <n v="3315.7"/>
    <n v="1652.8040000000001"/>
    <n v="0.33265626836568918"/>
    <n v="9.4E-2"/>
    <n v="10"/>
    <n v="331.57"/>
    <n v="4968.5039999999999"/>
    <n v="1652.8040000000001"/>
  </r>
  <r>
    <s v="ORD-2024-890180"/>
    <d v="2024-01-20T00:00:00"/>
    <x v="13"/>
    <s v="Q1-2024"/>
    <d v="2024-02-13T00:00:00"/>
    <d v="2024-02-13T00:00:00"/>
    <n v="24"/>
    <n v="24"/>
    <s v="No"/>
    <d v="2023-01-10T00:00:00"/>
    <x v="3"/>
    <x v="7"/>
    <s v="Marseille"/>
    <s v="Europe - France - Marseille"/>
    <s v="Corporate"/>
    <x v="0"/>
    <x v="10"/>
    <x v="1"/>
    <x v="13"/>
    <n v="643.53"/>
    <n v="1439.01"/>
    <n v="1439.01"/>
    <s v="Medium"/>
    <n v="0"/>
    <n v="0"/>
    <s v="No"/>
    <n v="15"/>
    <n v="21585.15"/>
    <n v="9652.9499999999989"/>
    <n v="11932.200000000003"/>
    <n v="0.55279671440782208"/>
    <n v="0"/>
    <n v="15"/>
    <n v="643.53"/>
    <n v="21585.15"/>
    <n v="11932.200000000003"/>
  </r>
  <r>
    <s v="ORD-2025-840976"/>
    <d v="2025-09-01T00:00:00"/>
    <x v="14"/>
    <s v="Q3-2025"/>
    <d v="2025-09-30T00:00:00"/>
    <d v="2025-09-30T00:00:00"/>
    <n v="29"/>
    <n v="29"/>
    <s v="No"/>
    <d v="2023-01-29T00:00:00"/>
    <x v="2"/>
    <x v="5"/>
    <s v="Brasília"/>
    <s v="Americas - Brazil - Brasília"/>
    <s v="Education"/>
    <x v="0"/>
    <x v="11"/>
    <x v="6"/>
    <x v="14"/>
    <n v="780.59"/>
    <n v="631.57000000000005"/>
    <n v="631.57000000000005"/>
    <s v="Low"/>
    <n v="0"/>
    <n v="0"/>
    <s v="No"/>
    <n v="12"/>
    <n v="7578.84"/>
    <n v="9367.08"/>
    <n v="-1788.2399999999998"/>
    <n v="-0.23595167598207639"/>
    <n v="0"/>
    <n v="12"/>
    <n v="780.59"/>
    <n v="7578.84"/>
    <n v="-1788.2399999999998"/>
  </r>
  <r>
    <s v="ORD-2023-937291"/>
    <d v="2023-04-23T00:00:00"/>
    <x v="15"/>
    <s v="Q2-2023"/>
    <d v="2023-04-22T00:00:00"/>
    <d v="2023-05-04T00:00:00"/>
    <n v="-1"/>
    <n v="11"/>
    <s v="No"/>
    <d v="2023-01-20T00:00:00"/>
    <x v="0"/>
    <x v="0"/>
    <s v="Nairobi"/>
    <s v="Africa - Kenya - Nairobi"/>
    <s v="Small Business"/>
    <x v="4"/>
    <x v="6"/>
    <x v="4"/>
    <x v="15"/>
    <n v="756.51"/>
    <n v="850.8"/>
    <n v="850.8"/>
    <s v="Medium"/>
    <n v="7.3999999999999996E-2"/>
    <n v="7.3999999999999996E-2"/>
    <s v="No"/>
    <n v="9"/>
    <n v="7090.5672000000004"/>
    <n v="6808.59"/>
    <n v="281.97720000000027"/>
    <n v="3.9767932810791252E-2"/>
    <n v="7.3999999999999996E-2"/>
    <n v="9"/>
    <n v="756.51"/>
    <n v="7090.5672000000004"/>
    <n v="281.97720000000027"/>
  </r>
  <r>
    <s v="ORD-2024-206081"/>
    <d v="2024-12-10T00:00:00"/>
    <x v="16"/>
    <s v="Q4-2024"/>
    <d v="2025-01-08T00:00:00"/>
    <d v="2025-01-08T00:00:00"/>
    <n v="29"/>
    <n v="29"/>
    <s v="No"/>
    <d v="2023-01-10T00:00:00"/>
    <x v="3"/>
    <x v="7"/>
    <s v="Marseille"/>
    <s v="Europe - France - Marseille"/>
    <s v="Small Business"/>
    <x v="0"/>
    <x v="11"/>
    <x v="1"/>
    <x v="16"/>
    <n v="891.08"/>
    <n v="1040.0999999999999"/>
    <n v="1040.0999999999999"/>
    <s v="Medium"/>
    <n v="0.109"/>
    <n v="0.109"/>
    <s v="No"/>
    <n v="28"/>
    <n v="25948.414799999995"/>
    <n v="24950.240000000002"/>
    <n v="998.17479999999341"/>
    <n v="3.8467660074556598E-2"/>
    <n v="0.109"/>
    <n v="28"/>
    <n v="891.08"/>
    <n v="25948.414799999995"/>
    <n v="998.17479999999341"/>
  </r>
  <r>
    <s v="ORD-2025-233883"/>
    <d v="2025-09-08T00:00:00"/>
    <x v="17"/>
    <s v="Q3-2025"/>
    <d v="2025-09-16T00:00:00"/>
    <d v="2025-09-16T00:00:00"/>
    <n v="8"/>
    <n v="8"/>
    <s v="No"/>
    <d v="2023-03-03T00:00:00"/>
    <x v="1"/>
    <x v="2"/>
    <s v="Osaka"/>
    <s v="Asia - Japan - Osaka"/>
    <s v="Corporate"/>
    <x v="3"/>
    <x v="0"/>
    <x v="3"/>
    <x v="17"/>
    <n v="1225.57"/>
    <n v="2705.57"/>
    <n v="2705.57"/>
    <s v="High"/>
    <n v="0.183"/>
    <n v="0.183"/>
    <s v="No"/>
    <n v="16"/>
    <n v="35367.211040000002"/>
    <n v="19609.12"/>
    <n v="15758.091040000003"/>
    <n v="0.44555650775453404"/>
    <n v="0.183"/>
    <n v="16"/>
    <n v="1225.57"/>
    <n v="35367.211040000002"/>
    <n v="15758.091040000003"/>
  </r>
  <r>
    <s v="ORD-2025-843974"/>
    <d v="2025-07-20T00:00:00"/>
    <x v="18"/>
    <s v="Q3-2025"/>
    <d v="2025-08-05T00:00:00"/>
    <d v="2025-08-05T00:00:00"/>
    <n v="16"/>
    <n v="16"/>
    <s v="No"/>
    <d v="2023-01-29T00:00:00"/>
    <x v="2"/>
    <x v="5"/>
    <s v="Brasília"/>
    <s v="Americas - Brazil - Brasília"/>
    <s v="Enterprise"/>
    <x v="2"/>
    <x v="3"/>
    <x v="6"/>
    <x v="18"/>
    <n v="1068.17"/>
    <n v="2375.37"/>
    <n v="2375.37"/>
    <s v="High"/>
    <n v="0.109"/>
    <n v="0.109"/>
    <s v="No"/>
    <n v="18"/>
    <n v="38096.18406"/>
    <n v="19227.060000000001"/>
    <n v="18869.124059999998"/>
    <n v="0.49530220744108822"/>
    <n v="0.109"/>
    <n v="18"/>
    <n v="1068.17"/>
    <n v="38096.18406"/>
    <n v="18869.124059999998"/>
  </r>
  <r>
    <s v="ORD-2025-745263"/>
    <d v="2025-05-21T00:00:00"/>
    <x v="9"/>
    <s v="Q2-2025"/>
    <d v="2025-05-19T00:00:00"/>
    <d v="2025-06-01T00:00:00"/>
    <n v="-2"/>
    <n v="11"/>
    <s v="No"/>
    <d v="2023-01-19T00:00:00"/>
    <x v="3"/>
    <x v="8"/>
    <s v="Birmingham"/>
    <s v="Europe - United Kingdom - Birmingham"/>
    <s v="Enterprise"/>
    <x v="1"/>
    <x v="12"/>
    <x v="4"/>
    <x v="19"/>
    <n v="1015.16"/>
    <n v="2148.14"/>
    <n v="2148.14"/>
    <s v="High"/>
    <n v="3.7999999999999999E-2"/>
    <n v="3.7999999999999999E-2"/>
    <s v="No"/>
    <n v="19"/>
    <n v="39263.702919999996"/>
    <n v="19288.04"/>
    <n v="19975.662919999995"/>
    <n v="0.50875647059322227"/>
    <n v="3.7999999999999999E-2"/>
    <n v="19"/>
    <n v="1015.16"/>
    <n v="39263.702919999996"/>
    <n v="19975.662919999995"/>
  </r>
  <r>
    <s v="ORD-2024-798002"/>
    <d v="2024-07-25T00:00:00"/>
    <x v="19"/>
    <s v="Q3-2024"/>
    <d v="2024-07-24T00:00:00"/>
    <d v="2024-08-05T00:00:00"/>
    <n v="-1"/>
    <n v="11"/>
    <s v="No"/>
    <d v="2023-01-20T00:00:00"/>
    <x v="0"/>
    <x v="0"/>
    <s v="Mombasa"/>
    <s v="Africa - Kenya - Mombasa"/>
    <s v="Non-Profit"/>
    <x v="4"/>
    <x v="1"/>
    <x v="4"/>
    <x v="20"/>
    <n v="1494.4"/>
    <n v="3661.07"/>
    <n v="3661.07"/>
    <s v="High"/>
    <n v="7.1999999999999995E-2"/>
    <n v="7.1999999999999995E-2"/>
    <s v="No"/>
    <n v="7"/>
    <n v="23782.310720000001"/>
    <n v="10460.800000000001"/>
    <n v="13321.51072"/>
    <n v="0.56014366630897339"/>
    <n v="7.1999999999999995E-2"/>
    <n v="7"/>
    <n v="1494.4"/>
    <n v="23782.310720000001"/>
    <n v="13321.51072"/>
  </r>
  <r>
    <s v="ORD-2023-867836"/>
    <d v="2023-05-11T00:00:00"/>
    <x v="20"/>
    <s v="Q2-2023"/>
    <d v="2023-05-28T00:00:00"/>
    <d v="2023-05-28T00:00:00"/>
    <n v="17"/>
    <n v="17"/>
    <s v="No"/>
    <d v="2023-01-12T00:00:00"/>
    <x v="1"/>
    <x v="9"/>
    <s v="Shenzhen"/>
    <s v="Asia - China - Shenzhen"/>
    <s v="Enterprise"/>
    <x v="2"/>
    <x v="6"/>
    <x v="2"/>
    <x v="21"/>
    <n v="1331.19"/>
    <n v="2903.09"/>
    <n v="2903.09"/>
    <s v="High"/>
    <n v="0.14299999999999999"/>
    <n v="0.14299999999999999"/>
    <s v="No"/>
    <n v="8"/>
    <n v="19903.585040000002"/>
    <n v="10649.52"/>
    <n v="9254.0650400000013"/>
    <n v="0.46494463290920784"/>
    <n v="0.14299999999999999"/>
    <n v="8"/>
    <n v="1331.19"/>
    <n v="19903.585040000002"/>
    <n v="9254.0650400000013"/>
  </r>
  <r>
    <s v="ORD-2025-580047"/>
    <d v="2025-06-14T00:00:00"/>
    <x v="21"/>
    <s v="Q2-2025"/>
    <d v="2025-06-29T00:00:00"/>
    <d v="2025-06-29T00:00:00"/>
    <n v="15"/>
    <n v="15"/>
    <s v="No"/>
    <d v="2023-01-15T00:00:00"/>
    <x v="0"/>
    <x v="1"/>
    <s v="Port Harcourt"/>
    <s v="Africa - Nigeria - Port Harcourt"/>
    <s v="Consumer"/>
    <x v="2"/>
    <x v="12"/>
    <x v="6"/>
    <x v="22"/>
    <n v="730.99"/>
    <n v="1242.8399999999999"/>
    <n v="1242.8399999999999"/>
    <s v="Medium"/>
    <n v="0.12"/>
    <n v="0.12"/>
    <s v="No"/>
    <n v="10"/>
    <n v="10936.992"/>
    <n v="7309.9"/>
    <n v="3627.0920000000006"/>
    <n v="0.33163524303574515"/>
    <n v="0.12"/>
    <n v="10"/>
    <n v="730.99"/>
    <n v="10936.992"/>
    <n v="3627.0920000000006"/>
  </r>
  <r>
    <s v="ORD-2024-500109"/>
    <d v="2024-05-18T00:00:00"/>
    <x v="22"/>
    <s v="Q2-2024"/>
    <d v="2024-05-23T00:00:00"/>
    <d v="2024-05-23T00:00:00"/>
    <n v="5"/>
    <n v="5"/>
    <s v="Yes"/>
    <d v="2023-01-13T00:00:00"/>
    <x v="2"/>
    <x v="10"/>
    <s v="Chicago"/>
    <s v="Americas - USA - Chicago"/>
    <s v="Enterprise"/>
    <x v="0"/>
    <x v="10"/>
    <x v="4"/>
    <x v="23"/>
    <n v="1274.5899999999999"/>
    <n v="2553.69"/>
    <n v="2553.69"/>
    <s v="High"/>
    <n v="0.01"/>
    <n v="0.01"/>
    <s v="No"/>
    <n v="8"/>
    <n v="20225.2248"/>
    <n v="10196.719999999999"/>
    <n v="10028.504800000001"/>
    <n v="0.49584145042481803"/>
    <n v="0.01"/>
    <n v="8"/>
    <n v="1274.5899999999999"/>
    <n v="20225.2248"/>
    <n v="10028.504800000001"/>
  </r>
  <r>
    <s v="ORD-2023-271836"/>
    <d v="2023-02-07T00:00:00"/>
    <x v="23"/>
    <s v="Q1-2023"/>
    <d v="2023-02-12T00:00:00"/>
    <d v="2023-02-12T00:00:00"/>
    <n v="5"/>
    <n v="5"/>
    <s v="Yes"/>
    <d v="2023-01-29T00:00:00"/>
    <x v="2"/>
    <x v="5"/>
    <s v="São Paulo"/>
    <s v="Americas - Brazil - São Paulo"/>
    <s v="Education"/>
    <x v="1"/>
    <x v="13"/>
    <x v="0"/>
    <x v="24"/>
    <n v="948.55"/>
    <n v="2089.16"/>
    <n v="2089.16"/>
    <s v="High"/>
    <n v="7.0000000000000001E-3"/>
    <n v="7.0000000000000001E-3"/>
    <s v="No"/>
    <n v="12"/>
    <n v="24894.430559999997"/>
    <n v="11382.599999999999"/>
    <n v="13511.830559999999"/>
    <n v="0.54276519912492427"/>
    <n v="7.0000000000000001E-3"/>
    <n v="12"/>
    <n v="948.55"/>
    <n v="24894.430559999997"/>
    <n v="13511.830559999999"/>
  </r>
  <r>
    <s v="ORD-2024-215294"/>
    <d v="2024-06-30T00:00:00"/>
    <x v="24"/>
    <s v="Q2-2024"/>
    <d v="2024-07-14T00:00:00"/>
    <d v="2024-07-14T00:00:00"/>
    <n v="14"/>
    <n v="14"/>
    <s v="No"/>
    <d v="2023-01-29T00:00:00"/>
    <x v="2"/>
    <x v="5"/>
    <s v="Brasília"/>
    <s v="Americas - Brazil - Brasília"/>
    <s v="Education"/>
    <x v="0"/>
    <x v="0"/>
    <x v="6"/>
    <x v="25"/>
    <n v="1491.85"/>
    <n v="2583.02"/>
    <n v="2583.02"/>
    <s v="High"/>
    <n v="0.16800000000000001"/>
    <n v="0.16800000000000001"/>
    <s v="No"/>
    <n v="4"/>
    <n v="8596.2905599999995"/>
    <n v="5967.4"/>
    <n v="2628.8905599999998"/>
    <n v="0.30581685689321325"/>
    <n v="0.16800000000000001"/>
    <n v="4"/>
    <n v="1491.85"/>
    <n v="8596.2905599999995"/>
    <n v="2628.8905599999998"/>
  </r>
  <r>
    <s v="ORD-2024-788105"/>
    <d v="2024-11-30T00:00:00"/>
    <x v="25"/>
    <s v="Q4-2024"/>
    <d v="2024-12-30T00:00:00"/>
    <d v="2024-12-30T00:00:00"/>
    <n v="30"/>
    <n v="30"/>
    <s v="No"/>
    <d v="2023-01-10T00:00:00"/>
    <x v="3"/>
    <x v="7"/>
    <s v="Marseille"/>
    <s v="Europe - France - Marseille"/>
    <s v="Consumer"/>
    <x v="2"/>
    <x v="9"/>
    <x v="1"/>
    <x v="26"/>
    <n v="117.64"/>
    <n v="175.67"/>
    <n v="175.67"/>
    <s v="Low"/>
    <n v="0"/>
    <n v="0"/>
    <s v="No"/>
    <n v="10"/>
    <n v="1756.6999999999998"/>
    <n v="1176.4000000000001"/>
    <n v="580.29999999999973"/>
    <n v="0.33033528775545046"/>
    <n v="0"/>
    <n v="10"/>
    <n v="117.64"/>
    <n v="1756.6999999999998"/>
    <n v="580.29999999999973"/>
  </r>
  <r>
    <s v="ORD-2024-855073"/>
    <d v="2024-07-19T00:00:00"/>
    <x v="26"/>
    <s v="Q3-2024"/>
    <d v="2024-07-19T00:00:00"/>
    <d v="2024-07-19T00:00:00"/>
    <n v="0"/>
    <n v="0"/>
    <s v="Yes"/>
    <d v="2023-01-20T00:00:00"/>
    <x v="0"/>
    <x v="0"/>
    <s v="Kisumu"/>
    <s v="Africa - Kenya - Kisumu"/>
    <s v="Small Business"/>
    <x v="0"/>
    <x v="8"/>
    <x v="3"/>
    <x v="27"/>
    <n v="857.24"/>
    <n v="758.23"/>
    <n v="758.23"/>
    <s v="Low"/>
    <n v="0.125"/>
    <n v="0.125"/>
    <s v="No"/>
    <n v="6"/>
    <n v="3980.7075"/>
    <n v="5143.4400000000005"/>
    <n v="-1162.7325000000005"/>
    <n v="-0.29209192084572921"/>
    <n v="0.125"/>
    <n v="6"/>
    <n v="857.24"/>
    <n v="3980.7075"/>
    <n v="-1162.7325000000005"/>
  </r>
  <r>
    <s v="ORD-2023-897079"/>
    <d v="2023-04-14T00:00:00"/>
    <x v="27"/>
    <s v="Q2-2023"/>
    <d v="2023-05-14T00:00:00"/>
    <d v="2023-05-14T00:00:00"/>
    <n v="30"/>
    <n v="30"/>
    <s v="No"/>
    <d v="2023-01-20T00:00:00"/>
    <x v="0"/>
    <x v="0"/>
    <s v="Nakuru"/>
    <s v="Africa - Kenya - Nakuru"/>
    <s v="Consumer"/>
    <x v="2"/>
    <x v="12"/>
    <x v="3"/>
    <x v="28"/>
    <n v="209.25"/>
    <n v="434.8"/>
    <n v="434.8"/>
    <s v="Low"/>
    <n v="0"/>
    <n v="0"/>
    <s v="No"/>
    <n v="9"/>
    <n v="3913.2000000000003"/>
    <n v="1883.25"/>
    <n v="2029.9500000000003"/>
    <n v="0.51874425022999082"/>
    <n v="0"/>
    <n v="9"/>
    <n v="209.25"/>
    <n v="3913.2000000000003"/>
    <n v="2029.9500000000003"/>
  </r>
  <r>
    <s v="ORD-2025-548982"/>
    <d v="2025-04-07T00:00:00"/>
    <x v="28"/>
    <s v="Q2-2025"/>
    <d v="2025-04-11T00:00:00"/>
    <d v="2025-04-11T00:00:00"/>
    <n v="4"/>
    <n v="4"/>
    <s v="Yes"/>
    <d v="2023-01-10T00:00:00"/>
    <x v="3"/>
    <x v="7"/>
    <s v="Lyon"/>
    <s v="Europe - France - Lyon"/>
    <s v="Education"/>
    <x v="0"/>
    <x v="6"/>
    <x v="2"/>
    <x v="29"/>
    <n v="754.77"/>
    <n v="1666.18"/>
    <n v="1666.18"/>
    <s v="High"/>
    <n v="0.13900000000000001"/>
    <n v="0.13900000000000001"/>
    <s v="No"/>
    <n v="14"/>
    <n v="20084.133720000002"/>
    <n v="10566.779999999999"/>
    <n v="9517.3537200000028"/>
    <n v="0.47387424584424653"/>
    <n v="0.13900000000000001"/>
    <n v="14"/>
    <n v="754.77"/>
    <n v="20084.133720000002"/>
    <n v="9517.3537200000028"/>
  </r>
  <r>
    <s v="ORD-2024-170313"/>
    <d v="2024-12-27T00:00:00"/>
    <x v="6"/>
    <s v="Q4-2024"/>
    <d v="2025-01-15T00:00:00"/>
    <d v="2025-01-15T00:00:00"/>
    <n v="19"/>
    <n v="19"/>
    <s v="No"/>
    <d v="2023-01-29T00:00:00"/>
    <x v="1"/>
    <x v="4"/>
    <s v="Delhi"/>
    <s v="Asia - India - Delhi"/>
    <s v="Non-Profit"/>
    <x v="3"/>
    <x v="3"/>
    <x v="0"/>
    <x v="30"/>
    <n v="495.59"/>
    <n v="631.78"/>
    <n v="631.78"/>
    <s v="Low"/>
    <n v="8.6999999999999994E-2"/>
    <n v="8.6999999999999994E-2"/>
    <s v="No"/>
    <n v="17"/>
    <n v="9805.8573800000013"/>
    <n v="8425.0299999999988"/>
    <n v="1380.8273800000024"/>
    <n v="0.14081658813601899"/>
    <n v="8.6999999999999994E-2"/>
    <n v="17"/>
    <n v="495.59"/>
    <n v="9805.8573800000013"/>
    <n v="1380.8273800000024"/>
  </r>
  <r>
    <s v="ORD-2023-562894"/>
    <d v="2023-02-23T00:00:00"/>
    <x v="29"/>
    <s v="Q1-2023"/>
    <d v="2023-03-25T00:00:00"/>
    <d v="2023-03-25T00:00:00"/>
    <n v="30"/>
    <n v="30"/>
    <s v="No"/>
    <d v="2023-01-02T00:00:00"/>
    <x v="2"/>
    <x v="3"/>
    <s v="Montreal"/>
    <s v="Americas - Canada - Montreal"/>
    <s v="Enterprise"/>
    <x v="1"/>
    <x v="14"/>
    <x v="3"/>
    <x v="31"/>
    <n v="1242.6600000000001"/>
    <n v="1794.07"/>
    <n v="1794.07"/>
    <s v="High"/>
    <n v="8.8999999999999996E-2"/>
    <n v="8.8999999999999996E-2"/>
    <s v="No"/>
    <n v="16"/>
    <n v="26150.364320000001"/>
    <n v="19882.560000000001"/>
    <n v="6267.8043199999993"/>
    <n v="0.23968325042440553"/>
    <n v="8.8999999999999996E-2"/>
    <n v="16"/>
    <n v="1242.6600000000001"/>
    <n v="26150.364320000001"/>
    <n v="6267.8043199999993"/>
  </r>
  <r>
    <s v="ORD-2025-474710"/>
    <d v="2025-07-24T00:00:00"/>
    <x v="30"/>
    <s v="Q3-2025"/>
    <d v="2025-08-06T00:00:00"/>
    <d v="2025-08-06T00:00:00"/>
    <n v="13"/>
    <n v="13"/>
    <s v="No"/>
    <d v="2023-01-07T00:00:00"/>
    <x v="0"/>
    <x v="11"/>
    <s v="Johannesburg"/>
    <s v="Africa - South Africa - Johannesburg"/>
    <s v="Education"/>
    <x v="2"/>
    <x v="14"/>
    <x v="2"/>
    <x v="32"/>
    <n v="1463.9"/>
    <n v="2633.02"/>
    <n v="2633.02"/>
    <s v="High"/>
    <n v="8.4000000000000005E-2"/>
    <n v="8.4000000000000005E-2"/>
    <s v="No"/>
    <n v="4"/>
    <n v="9647.3852800000004"/>
    <n v="5855.6"/>
    <n v="3791.7852800000001"/>
    <n v="0.39303761277791527"/>
    <n v="8.4000000000000005E-2"/>
    <n v="4"/>
    <n v="1463.9"/>
    <n v="9647.3852800000004"/>
    <n v="3791.7852800000001"/>
  </r>
  <r>
    <s v="ORD-2024-629525"/>
    <d v="2024-04-18T00:00:00"/>
    <x v="31"/>
    <s v="Q2-2024"/>
    <d v="2024-05-08T00:00:00"/>
    <d v="2024-05-08T00:00:00"/>
    <n v="20"/>
    <n v="20"/>
    <s v="No"/>
    <d v="2023-01-19T00:00:00"/>
    <x v="3"/>
    <x v="8"/>
    <s v="London"/>
    <s v="Europe - United Kingdom - London"/>
    <s v="Non-Profit"/>
    <x v="4"/>
    <x v="14"/>
    <x v="4"/>
    <x v="33"/>
    <n v="645.33000000000004"/>
    <n v="1321.85"/>
    <n v="1321.85"/>
    <s v="Medium"/>
    <n v="0"/>
    <n v="0"/>
    <s v="No"/>
    <n v="10"/>
    <n v="13218.5"/>
    <n v="6453.3"/>
    <n v="6765.2"/>
    <n v="0.51179785906116426"/>
    <n v="0"/>
    <n v="10"/>
    <n v="645.33000000000004"/>
    <n v="13218.5"/>
    <n v="6765.2"/>
  </r>
  <r>
    <s v="ORD-2024-167215"/>
    <d v="2024-08-23T00:00:00"/>
    <x v="32"/>
    <s v="Q3-2024"/>
    <d v="2024-08-21T00:00:00"/>
    <d v="2024-09-05T00:00:00"/>
    <n v="-2"/>
    <n v="13"/>
    <s v="No"/>
    <d v="2023-01-07T00:00:00"/>
    <x v="0"/>
    <x v="11"/>
    <s v="Johannesburg"/>
    <s v="Africa - South Africa - Johannesburg"/>
    <s v="Education"/>
    <x v="0"/>
    <x v="6"/>
    <x v="0"/>
    <x v="34"/>
    <n v="1432.52"/>
    <n v="3036.87"/>
    <n v="3036.87"/>
    <s v="High"/>
    <n v="0"/>
    <n v="0"/>
    <s v="No"/>
    <n v="9"/>
    <n v="27331.829999999998"/>
    <n v="12892.68"/>
    <n v="14439.149999999998"/>
    <n v="0.52829064135112791"/>
    <n v="0"/>
    <n v="9"/>
    <n v="1432.52"/>
    <n v="27331.829999999998"/>
    <n v="14439.149999999998"/>
  </r>
  <r>
    <s v="ORD-2023-864121"/>
    <d v="2023-03-27T00:00:00"/>
    <x v="33"/>
    <s v="Q1-2023"/>
    <d v="2023-04-22T00:00:00"/>
    <d v="2023-04-22T00:00:00"/>
    <n v="26"/>
    <n v="26"/>
    <s v="No"/>
    <d v="2023-01-29T00:00:00"/>
    <x v="1"/>
    <x v="4"/>
    <s v="Delhi"/>
    <s v="Asia - India - Delhi"/>
    <s v="Non-Profit"/>
    <x v="2"/>
    <x v="1"/>
    <x v="1"/>
    <x v="35"/>
    <n v="178.53"/>
    <n v="199.37"/>
    <n v="199.37"/>
    <s v="Low"/>
    <n v="0.10100000000000001"/>
    <n v="0.10100000000000001"/>
    <s v="No"/>
    <n v="37"/>
    <n v="6631.6443100000006"/>
    <n v="6605.61"/>
    <n v="26.034310000000914"/>
    <n v="3.9257699573457538E-3"/>
    <n v="0.10100000000000001"/>
    <n v="37"/>
    <n v="178.53"/>
    <n v="6631.6443100000006"/>
    <n v="26.034310000000914"/>
  </r>
  <r>
    <s v="ORD-2024-692673"/>
    <d v="2024-03-07T00:00:00"/>
    <x v="34"/>
    <s v="Q1-2024"/>
    <d v="2024-03-25T00:00:00"/>
    <d v="2024-03-25T00:00:00"/>
    <n v="18"/>
    <n v="18"/>
    <s v="No"/>
    <d v="2023-01-22T00:00:00"/>
    <x v="3"/>
    <x v="6"/>
    <s v="Munich"/>
    <s v="Europe - Germany - Munich"/>
    <s v="Corporate"/>
    <x v="1"/>
    <x v="5"/>
    <x v="0"/>
    <x v="36"/>
    <n v="712.84"/>
    <n v="927.51"/>
    <n v="927.51"/>
    <s v="Medium"/>
    <n v="0.24299999999999999"/>
    <n v="0.24299999999999999"/>
    <s v="Yes"/>
    <n v="27"/>
    <n v="18957.37689"/>
    <n v="19246.68"/>
    <n v="-289.30311000000074"/>
    <n v="-1.5260714163076427E-2"/>
    <n v="0.24299999999999999"/>
    <n v="27"/>
    <n v="712.84"/>
    <n v="18957.37689"/>
    <n v="-289.30311000000074"/>
  </r>
  <r>
    <s v="ORD-2025-718992"/>
    <d v="2025-06-24T00:00:00"/>
    <x v="35"/>
    <s v="Q2-2025"/>
    <d v="2025-07-10T00:00:00"/>
    <d v="2025-07-10T00:00:00"/>
    <n v="16"/>
    <n v="16"/>
    <s v="No"/>
    <d v="2023-01-12T00:00:00"/>
    <x v="1"/>
    <x v="9"/>
    <s v="Shanghai"/>
    <s v="Asia - China - Shanghai"/>
    <s v="Enterprise"/>
    <x v="4"/>
    <x v="13"/>
    <x v="0"/>
    <x v="37"/>
    <n v="757.19"/>
    <n v="1735.41"/>
    <n v="1735.41"/>
    <s v="High"/>
    <n v="0.13600000000000001"/>
    <n v="0.13600000000000001"/>
    <s v="No"/>
    <n v="8"/>
    <n v="11995.153920000001"/>
    <n v="6057.52"/>
    <n v="5937.6339200000002"/>
    <n v="0.4950027285685718"/>
    <n v="0.13600000000000001"/>
    <n v="8"/>
    <n v="757.19"/>
    <n v="11995.153920000001"/>
    <n v="5937.6339200000002"/>
  </r>
  <r>
    <s v="ORD-2024-599522"/>
    <d v="2024-04-19T00:00:00"/>
    <x v="36"/>
    <s v="Q2-2024"/>
    <d v="2024-05-06T00:00:00"/>
    <d v="2024-05-06T00:00:00"/>
    <n v="17"/>
    <n v="17"/>
    <s v="No"/>
    <d v="2023-01-15T00:00:00"/>
    <x v="0"/>
    <x v="1"/>
    <s v="Port Harcourt"/>
    <s v="Africa - Nigeria - Port Harcourt"/>
    <s v="Non-Profit"/>
    <x v="1"/>
    <x v="8"/>
    <x v="1"/>
    <x v="38"/>
    <n v="865.33"/>
    <n v="1395.64"/>
    <n v="1395.64"/>
    <s v="Medium"/>
    <n v="0.17499999999999999"/>
    <n v="0.17499999999999999"/>
    <s v="No"/>
    <n v="13"/>
    <n v="14968.239"/>
    <n v="11249.29"/>
    <n v="3718.9489999999987"/>
    <n v="0.24845601409758347"/>
    <n v="0.17499999999999999"/>
    <n v="13"/>
    <n v="865.33"/>
    <n v="14968.239"/>
    <n v="3718.9489999999987"/>
  </r>
  <r>
    <s v="ORD-2023-651638"/>
    <d v="2023-06-17T00:00:00"/>
    <x v="37"/>
    <s v="Q2-2023"/>
    <d v="2023-06-24T00:00:00"/>
    <d v="2023-06-24T00:00:00"/>
    <n v="7"/>
    <n v="7"/>
    <s v="Yes"/>
    <d v="2023-01-13T00:00:00"/>
    <x v="2"/>
    <x v="10"/>
    <s v="San Francisco"/>
    <s v="Americas - USA - San Francisco"/>
    <s v="Corporate"/>
    <x v="0"/>
    <x v="2"/>
    <x v="1"/>
    <x v="39"/>
    <n v="313.99"/>
    <n v="454.42"/>
    <n v="454.42"/>
    <s v="Low"/>
    <n v="0.129"/>
    <n v="0.129"/>
    <s v="No"/>
    <n v="9"/>
    <n v="3562.1983800000003"/>
    <n v="2825.91"/>
    <n v="736.28838000000042"/>
    <n v="0.20669493988147858"/>
    <n v="0.129"/>
    <n v="9"/>
    <n v="313.99"/>
    <n v="3562.1983800000003"/>
    <n v="736.28838000000042"/>
  </r>
  <r>
    <s v="ORD-2024-635626"/>
    <d v="2024-08-27T00:00:00"/>
    <x v="38"/>
    <s v="Q3-2024"/>
    <d v="2024-09-19T00:00:00"/>
    <d v="2024-09-19T00:00:00"/>
    <n v="23"/>
    <n v="23"/>
    <s v="No"/>
    <d v="2023-01-22T00:00:00"/>
    <x v="3"/>
    <x v="6"/>
    <s v="Berlin"/>
    <s v="Europe - Germany - Berlin"/>
    <s v="Small Business"/>
    <x v="4"/>
    <x v="14"/>
    <x v="5"/>
    <x v="40"/>
    <n v="1024.01"/>
    <n v="1580.97"/>
    <n v="1580.97"/>
    <s v="Medium"/>
    <n v="3.6999999999999998E-2"/>
    <n v="3.6999999999999998E-2"/>
    <s v="No"/>
    <n v="27"/>
    <n v="41106.800970000004"/>
    <n v="27648.27"/>
    <n v="13458.530970000003"/>
    <n v="0.3274039976942531"/>
    <n v="3.6999999999999998E-2"/>
    <n v="27"/>
    <n v="1024.01"/>
    <n v="41106.800970000004"/>
    <n v="13458.530970000003"/>
  </r>
  <r>
    <s v="ORD-2024-296582"/>
    <d v="2024-01-11T00:00:00"/>
    <x v="39"/>
    <s v="Q1-2024"/>
    <d v="2024-02-02T00:00:00"/>
    <d v="2024-02-02T00:00:00"/>
    <n v="22"/>
    <n v="22"/>
    <s v="No"/>
    <d v="2023-01-07T00:00:00"/>
    <x v="0"/>
    <x v="11"/>
    <s v="Durban"/>
    <s v="Africa - South Africa - Durban"/>
    <s v="Consumer"/>
    <x v="1"/>
    <x v="11"/>
    <x v="2"/>
    <x v="41"/>
    <n v="1206.2"/>
    <n v="1759.79"/>
    <n v="1759.79"/>
    <s v="High"/>
    <n v="0"/>
    <n v="0"/>
    <s v="No"/>
    <n v="6"/>
    <n v="10558.74"/>
    <n v="7237.2000000000007"/>
    <n v="3321.5399999999991"/>
    <n v="0.31457730751964713"/>
    <n v="0"/>
    <n v="6"/>
    <n v="1206.2"/>
    <n v="10558.74"/>
    <n v="3321.5399999999991"/>
  </r>
  <r>
    <s v="ORD-2024-998320"/>
    <d v="2024-10-25T00:00:00"/>
    <x v="40"/>
    <s v="Q4-2024"/>
    <d v="2024-11-14T00:00:00"/>
    <d v="2024-11-14T00:00:00"/>
    <n v="20"/>
    <n v="20"/>
    <s v="No"/>
    <d v="2023-01-20T00:00:00"/>
    <x v="0"/>
    <x v="0"/>
    <s v="Mombasa"/>
    <s v="Africa - Kenya - Mombasa"/>
    <s v="Corporate"/>
    <x v="4"/>
    <x v="10"/>
    <x v="1"/>
    <x v="42"/>
    <n v="1396.48"/>
    <n v="3204.5"/>
    <n v="3204.5"/>
    <s v="High"/>
    <n v="0.318"/>
    <n v="0.11861439999999995"/>
    <s v="No"/>
    <n v="14"/>
    <n v="39541.602172799998"/>
    <n v="19550.72"/>
    <n v="19990.882172799997"/>
    <n v="0.50556581105232468"/>
    <n v="0.11861439999999995"/>
    <n v="14"/>
    <n v="1396.48"/>
    <n v="39541.602172799998"/>
    <n v="19990.882172799997"/>
  </r>
  <r>
    <s v="ORD-2025-820255"/>
    <d v="2025-05-29T00:00:00"/>
    <x v="41"/>
    <s v="Q2-2025"/>
    <d v="2025-06-20T00:00:00"/>
    <d v="2025-06-20T00:00:00"/>
    <n v="22"/>
    <n v="22"/>
    <s v="No"/>
    <d v="2023-01-22T00:00:00"/>
    <x v="3"/>
    <x v="6"/>
    <s v="Berlin"/>
    <s v="Europe - Germany - Berlin"/>
    <s v="Corporate"/>
    <x v="4"/>
    <x v="8"/>
    <x v="1"/>
    <x v="43"/>
    <n v="483.47"/>
    <n v="1135.43"/>
    <n v="1135.43"/>
    <s v="Medium"/>
    <n v="0.14599999999999999"/>
    <n v="0.14599999999999999"/>
    <s v="No"/>
    <n v="11"/>
    <n v="10666.229420000001"/>
    <n v="5318.17"/>
    <n v="5348.0594200000014"/>
    <n v="0.50140112399719983"/>
    <n v="0.14599999999999999"/>
    <n v="11"/>
    <n v="483.47"/>
    <n v="10666.229420000001"/>
    <n v="5348.0594200000014"/>
  </r>
  <r>
    <s v="ORD-2024-389336"/>
    <d v="2024-05-20T00:00:00"/>
    <x v="42"/>
    <s v="Q2-2024"/>
    <d v="2024-06-02T00:00:00"/>
    <d v="2024-06-02T00:00:00"/>
    <n v="13"/>
    <n v="13"/>
    <s v="No"/>
    <d v="2023-01-02T00:00:00"/>
    <x v="2"/>
    <x v="3"/>
    <s v="Vancouver"/>
    <s v="Americas - Canada - Vancouver"/>
    <s v="Enterprise"/>
    <x v="2"/>
    <x v="11"/>
    <x v="0"/>
    <x v="44"/>
    <n v="675.43"/>
    <n v="996.36"/>
    <n v="996.36"/>
    <s v="Medium"/>
    <n v="0.182"/>
    <n v="0.182"/>
    <s v="No"/>
    <n v="22"/>
    <n v="17930.494560000003"/>
    <n v="14859.46"/>
    <n v="3071.0345600000037"/>
    <n v="0.17127439233332575"/>
    <n v="0.182"/>
    <n v="22"/>
    <n v="675.43"/>
    <n v="17930.494560000003"/>
    <n v="3071.0345600000037"/>
  </r>
  <r>
    <s v="ORD-2023-308124"/>
    <d v="2023-04-19T00:00:00"/>
    <x v="43"/>
    <s v="Q2-2023"/>
    <d v="2023-04-30T00:00:00"/>
    <d v="2023-04-30T00:00:00"/>
    <n v="11"/>
    <n v="11"/>
    <s v="No"/>
    <d v="2023-01-29T00:00:00"/>
    <x v="1"/>
    <x v="4"/>
    <s v="Delhi"/>
    <s v="Asia - India - Delhi"/>
    <s v="Small Business"/>
    <x v="0"/>
    <x v="8"/>
    <x v="2"/>
    <x v="45"/>
    <n v="826.55"/>
    <n v="1397.05"/>
    <n v="1397.05"/>
    <s v="Medium"/>
    <n v="0.16900000000000001"/>
    <n v="0.16900000000000001"/>
    <s v="No"/>
    <n v="28"/>
    <n v="32506.559399999998"/>
    <n v="23143.399999999998"/>
    <n v="9363.1594000000005"/>
    <n v="0.28803907804527601"/>
    <n v="0.16900000000000001"/>
    <n v="28"/>
    <n v="826.55"/>
    <n v="32506.559399999998"/>
    <n v="9363.1594000000005"/>
  </r>
  <r>
    <s v="ORD-2023-128295"/>
    <d v="2023-06-23T00:00:00"/>
    <x v="44"/>
    <s v="Q2-2023"/>
    <d v="2023-07-03T00:00:00"/>
    <d v="2023-07-03T00:00:00"/>
    <n v="10"/>
    <n v="10"/>
    <s v="No"/>
    <d v="2023-01-15T00:00:00"/>
    <x v="0"/>
    <x v="1"/>
    <s v="Abuja"/>
    <s v="Africa - Nigeria - Abuja"/>
    <s v="Consumer"/>
    <x v="1"/>
    <x v="1"/>
    <x v="1"/>
    <x v="46"/>
    <n v="337.75"/>
    <n v="548.89"/>
    <n v="548.89"/>
    <s v="Low"/>
    <n v="0"/>
    <n v="0"/>
    <s v="No"/>
    <n v="13"/>
    <n v="7135.57"/>
    <n v="4390.75"/>
    <n v="2744.8199999999997"/>
    <n v="0.38466723751571352"/>
    <n v="0"/>
    <n v="13"/>
    <n v="337.75"/>
    <n v="7135.57"/>
    <n v="2744.8199999999997"/>
  </r>
  <r>
    <s v="ORD-2024-548345"/>
    <d v="2024-05-14T00:00:00"/>
    <x v="45"/>
    <s v="Q2-2024"/>
    <d v="2024-05-28T00:00:00"/>
    <d v="2024-05-28T00:00:00"/>
    <n v="14"/>
    <n v="14"/>
    <s v="No"/>
    <d v="2023-01-19T00:00:00"/>
    <x v="3"/>
    <x v="8"/>
    <s v="Birmingham"/>
    <s v="Europe - United Kingdom - Birmingham"/>
    <s v="Consumer"/>
    <x v="0"/>
    <x v="5"/>
    <x v="2"/>
    <x v="47"/>
    <n v="1421.14"/>
    <n v="3524"/>
    <n v="3524"/>
    <s v="High"/>
    <n v="0"/>
    <n v="0"/>
    <s v="No"/>
    <n v="31"/>
    <n v="109244"/>
    <n v="44055.340000000004"/>
    <n v="65188.659999999996"/>
    <n v="0.59672531214528945"/>
    <n v="0"/>
    <n v="31"/>
    <n v="1421.14"/>
    <n v="109244"/>
    <n v="65188.659999999996"/>
  </r>
  <r>
    <s v="ORD-2024-966651"/>
    <d v="2024-10-14T00:00:00"/>
    <x v="46"/>
    <s v="Q4-2024"/>
    <d v="2024-11-08T00:00:00"/>
    <d v="2024-11-08T00:00:00"/>
    <n v="25"/>
    <n v="25"/>
    <s v="No"/>
    <d v="2023-01-15T00:00:00"/>
    <x v="0"/>
    <x v="1"/>
    <s v="Lagos"/>
    <s v="Africa - Nigeria - Lagos"/>
    <s v="Enterprise"/>
    <x v="1"/>
    <x v="7"/>
    <x v="2"/>
    <x v="48"/>
    <n v="859.35"/>
    <n v="1825.61"/>
    <n v="1825.61"/>
    <s v="High"/>
    <n v="0.187"/>
    <n v="0.187"/>
    <s v="No"/>
    <n v="24"/>
    <n v="35621.302319999995"/>
    <n v="20624.400000000001"/>
    <n v="14996.902319999994"/>
    <n v="0.42100937762681989"/>
    <n v="0.187"/>
    <n v="24"/>
    <n v="859.35"/>
    <n v="35621.302319999995"/>
    <n v="14996.902319999994"/>
  </r>
  <r>
    <s v="ORD-2023-292714"/>
    <d v="2023-07-10T00:00:00"/>
    <x v="47"/>
    <s v="Q3-2023"/>
    <d v="2023-08-01T00:00:00"/>
    <d v="2023-08-01T00:00:00"/>
    <n v="22"/>
    <n v="22"/>
    <s v="No"/>
    <d v="2023-01-10T00:00:00"/>
    <x v="3"/>
    <x v="7"/>
    <s v="Marseille"/>
    <s v="Europe - France - Marseille"/>
    <s v="Consumer"/>
    <x v="2"/>
    <x v="5"/>
    <x v="1"/>
    <x v="49"/>
    <n v="1303.56"/>
    <n v="1791.37"/>
    <n v="1791.37"/>
    <s v="High"/>
    <n v="0.126"/>
    <n v="0.126"/>
    <s v="No"/>
    <n v="22"/>
    <n v="34444.462359999998"/>
    <n v="28678.32"/>
    <n v="5766.142359999998"/>
    <n v="0.16740404596055358"/>
    <n v="0.126"/>
    <n v="22"/>
    <n v="1303.56"/>
    <n v="34444.462359999998"/>
    <n v="5766.142359999998"/>
  </r>
  <r>
    <s v="ORD-2024-468501"/>
    <d v="2024-11-06T00:00:00"/>
    <x v="48"/>
    <s v="Q4-2024"/>
    <d v="2024-11-22T00:00:00"/>
    <d v="2024-11-22T00:00:00"/>
    <n v="16"/>
    <n v="16"/>
    <s v="No"/>
    <d v="2023-01-02T00:00:00"/>
    <x v="2"/>
    <x v="3"/>
    <s v="Toronto"/>
    <s v="Americas - Canada - Toronto"/>
    <s v="Non-Profit"/>
    <x v="3"/>
    <x v="14"/>
    <x v="6"/>
    <x v="50"/>
    <n v="1454.11"/>
    <n v="2629.75"/>
    <n v="2629.75"/>
    <s v="High"/>
    <n v="0.29199999999999998"/>
    <n v="0.29199999999999998"/>
    <s v="Yes"/>
    <n v="8"/>
    <n v="14894.903999999999"/>
    <n v="11632.88"/>
    <n v="3262.0239999999994"/>
    <n v="0.21900268709351867"/>
    <n v="0.25"/>
    <n v="8"/>
    <n v="1454.11"/>
    <n v="15778.5"/>
    <n v="4145.6200000000008"/>
  </r>
  <r>
    <s v="ORD-2024-260775"/>
    <d v="2024-10-17T00:00:00"/>
    <x v="49"/>
    <s v="Q4-2024"/>
    <d v="2024-11-06T00:00:00"/>
    <d v="2024-11-06T00:00:00"/>
    <n v="20"/>
    <n v="20"/>
    <s v="No"/>
    <d v="2023-01-29T00:00:00"/>
    <x v="1"/>
    <x v="4"/>
    <s v="Bengaluru"/>
    <s v="Asia - India - Bengaluru"/>
    <s v="Enterprise"/>
    <x v="3"/>
    <x v="7"/>
    <x v="5"/>
    <x v="51"/>
    <n v="72.94"/>
    <n v="106.3"/>
    <n v="106.3"/>
    <s v="Low"/>
    <n v="0.29499999999999998"/>
    <n v="0.29499999999999998"/>
    <s v="Yes"/>
    <n v="8"/>
    <n v="599.53200000000004"/>
    <n v="583.52"/>
    <n v="16.012000000000057"/>
    <n v="2.6707498515508857E-2"/>
    <n v="0.25"/>
    <n v="8"/>
    <n v="72.94"/>
    <n v="637.79999999999995"/>
    <n v="54.279999999999973"/>
  </r>
  <r>
    <s v="ORD-2023-419187"/>
    <d v="2023-03-31T00:00:00"/>
    <x v="50"/>
    <s v="Q1-2023"/>
    <d v="2023-04-05T00:00:00"/>
    <d v="2023-04-05T00:00:00"/>
    <n v="5"/>
    <n v="5"/>
    <s v="Yes"/>
    <d v="2023-01-20T00:00:00"/>
    <x v="0"/>
    <x v="0"/>
    <s v="Nakuru"/>
    <s v="Africa - Kenya - Nakuru"/>
    <s v="Education"/>
    <x v="2"/>
    <x v="5"/>
    <x v="4"/>
    <x v="52"/>
    <n v="533.26"/>
    <n v="385.72"/>
    <n v="385.72"/>
    <s v="Low"/>
    <n v="0"/>
    <n v="0"/>
    <s v="No"/>
    <n v="15"/>
    <n v="5785.8"/>
    <n v="7998.9"/>
    <n v="-2213.0999999999995"/>
    <n v="-0.38250544436378708"/>
    <n v="0"/>
    <n v="15"/>
    <n v="533.26"/>
    <n v="5785.8"/>
    <n v="-2213.0999999999995"/>
  </r>
  <r>
    <s v="ORD-2025-578007"/>
    <d v="2025-01-21T00:00:00"/>
    <x v="51"/>
    <s v="Q1-2025"/>
    <d v="2025-02-16T00:00:00"/>
    <d v="2025-02-16T00:00:00"/>
    <n v="26"/>
    <n v="26"/>
    <s v="No"/>
    <d v="2023-01-10T00:00:00"/>
    <x v="3"/>
    <x v="7"/>
    <s v="Lyon"/>
    <s v="Europe - France - Lyon"/>
    <s v="Corporate"/>
    <x v="3"/>
    <x v="7"/>
    <x v="4"/>
    <x v="53"/>
    <n v="204.11"/>
    <n v="236.87"/>
    <n v="236.87"/>
    <s v="Low"/>
    <n v="0.182"/>
    <n v="0.182"/>
    <s v="No"/>
    <n v="13"/>
    <n v="2518.8755800000004"/>
    <n v="2653.4300000000003"/>
    <n v="-134.55441999999994"/>
    <n v="-5.3418446337075494E-2"/>
    <n v="0.182"/>
    <n v="13"/>
    <n v="204.11"/>
    <n v="2518.8755800000004"/>
    <n v="-134.55441999999994"/>
  </r>
  <r>
    <s v="ORD-2023-235230"/>
    <d v="2023-08-30T00:00:00"/>
    <x v="52"/>
    <s v="Q3-2023"/>
    <d v="2023-09-01T00:00:00"/>
    <d v="2023-09-01T00:00:00"/>
    <n v="2"/>
    <n v="2"/>
    <s v="Yes"/>
    <d v="2023-01-22T00:00:00"/>
    <x v="3"/>
    <x v="6"/>
    <s v="Munich"/>
    <s v="Europe - Germany - Munich"/>
    <s v="Corporate"/>
    <x v="4"/>
    <x v="13"/>
    <x v="2"/>
    <x v="54"/>
    <n v="44.42"/>
    <n v="41.9"/>
    <n v="41.9"/>
    <s v="Low"/>
    <n v="0.14399999999999999"/>
    <n v="0.14399999999999999"/>
    <s v="No"/>
    <n v="6"/>
    <n v="215.19839999999996"/>
    <n v="266.52"/>
    <n v="-51.321600000000018"/>
    <n v="-0.23848504449847224"/>
    <n v="0.14399999999999999"/>
    <n v="6"/>
    <n v="44.42"/>
    <n v="215.19839999999996"/>
    <n v="-51.321600000000018"/>
  </r>
  <r>
    <s v="ORD-2025-765220"/>
    <d v="2025-04-06T00:00:00"/>
    <x v="53"/>
    <s v="Q2-2025"/>
    <d v="2025-04-30T00:00:00"/>
    <d v="2025-04-30T00:00:00"/>
    <n v="24"/>
    <n v="24"/>
    <s v="No"/>
    <d v="2023-01-29T00:00:00"/>
    <x v="2"/>
    <x v="5"/>
    <s v="Brasília"/>
    <s v="Americas - Brazil - Brasília"/>
    <s v="Education"/>
    <x v="1"/>
    <x v="11"/>
    <x v="5"/>
    <x v="55"/>
    <n v="855.78"/>
    <n v="977.38"/>
    <n v="977.38"/>
    <s v="Medium"/>
    <n v="0.14699999999999999"/>
    <n v="0.14699999999999999"/>
    <s v="No"/>
    <n v="38"/>
    <n v="31680.795320000001"/>
    <n v="32519.64"/>
    <n v="-838.84467999999833"/>
    <n v="-2.6478018355506307E-2"/>
    <n v="0.14699999999999999"/>
    <n v="38"/>
    <n v="855.78"/>
    <n v="31680.795320000001"/>
    <n v="-838.84467999999833"/>
  </r>
  <r>
    <s v="ORD-2025-931538"/>
    <d v="2025-02-09T00:00:00"/>
    <x v="54"/>
    <s v="Q1-2025"/>
    <d v="2025-03-01T00:00:00"/>
    <d v="2025-03-01T00:00:00"/>
    <n v="20"/>
    <n v="20"/>
    <s v="No"/>
    <d v="2023-01-29T00:00:00"/>
    <x v="2"/>
    <x v="5"/>
    <s v="São Paulo"/>
    <s v="Americas - Brazil - São Paulo"/>
    <s v="Corporate"/>
    <x v="3"/>
    <x v="5"/>
    <x v="4"/>
    <x v="56"/>
    <n v="1154.6400000000001"/>
    <n v="2794.13"/>
    <n v="2794.13"/>
    <s v="High"/>
    <n v="3.5000000000000003E-2"/>
    <n v="3.5000000000000003E-2"/>
    <s v="No"/>
    <n v="11"/>
    <n v="29659.68995"/>
    <n v="12701.04"/>
    <n v="16958.649949999999"/>
    <n v="0.57177435025749479"/>
    <n v="3.5000000000000003E-2"/>
    <n v="11"/>
    <n v="1154.6400000000001"/>
    <n v="29659.68995"/>
    <n v="16958.649949999999"/>
  </r>
  <r>
    <s v="ORD-2024-289089"/>
    <d v="2024-12-17T00:00:00"/>
    <x v="55"/>
    <s v="Q4-2024"/>
    <d v="2024-12-18T00:00:00"/>
    <d v="2024-12-18T00:00:00"/>
    <n v="1"/>
    <n v="1"/>
    <s v="Yes"/>
    <d v="2023-01-22T00:00:00"/>
    <x v="3"/>
    <x v="6"/>
    <s v="Munich"/>
    <s v="Europe - Germany - Munich"/>
    <s v="Education"/>
    <x v="0"/>
    <x v="4"/>
    <x v="6"/>
    <x v="57"/>
    <n v="346.82"/>
    <n v="701.95"/>
    <n v="701.95"/>
    <s v="Low"/>
    <n v="0.14699999999999999"/>
    <n v="0.14699999999999999"/>
    <s v="No"/>
    <n v="8"/>
    <n v="4790.1068000000005"/>
    <n v="2774.56"/>
    <n v="2015.5468000000005"/>
    <n v="0.42077283120284509"/>
    <n v="0.14699999999999999"/>
    <n v="8"/>
    <n v="346.82"/>
    <n v="4790.1068000000005"/>
    <n v="2015.5468000000005"/>
  </r>
  <r>
    <s v="ORD-2025-639542"/>
    <d v="2025-06-09T00:00:00"/>
    <x v="56"/>
    <s v="Q2-2025"/>
    <d v="2025-06-18T00:00:00"/>
    <d v="2025-06-18T00:00:00"/>
    <n v="9"/>
    <n v="9"/>
    <s v="No"/>
    <d v="2023-01-10T00:00:00"/>
    <x v="3"/>
    <x v="7"/>
    <s v="Marseille"/>
    <s v="Europe - France - Marseille"/>
    <s v="Small Business"/>
    <x v="2"/>
    <x v="10"/>
    <x v="6"/>
    <x v="58"/>
    <n v="1225.5"/>
    <n v="-5.27"/>
    <n v="5.27"/>
    <s v="Low"/>
    <n v="7.4999999999999997E-2"/>
    <n v="7.4999999999999997E-2"/>
    <s v="No"/>
    <n v="56"/>
    <n v="-272.98599999999999"/>
    <n v="68628"/>
    <n v="-68900.986000000004"/>
    <n v="252.39750756449052"/>
    <n v="7.4999999999999997E-2"/>
    <n v="56"/>
    <n v="1225.5"/>
    <n v="272.98599999999999"/>
    <n v="-68355.013999999996"/>
  </r>
  <r>
    <s v="ORD-2025-762301"/>
    <d v="2025-05-02T00:00:00"/>
    <x v="57"/>
    <s v="Q2-2025"/>
    <d v="2025-05-13T00:00:00"/>
    <d v="2025-05-13T00:00:00"/>
    <n v="11"/>
    <n v="11"/>
    <s v="No"/>
    <d v="2023-01-20T00:00:00"/>
    <x v="0"/>
    <x v="0"/>
    <s v="Nakuru"/>
    <s v="Africa - Kenya - Nakuru"/>
    <s v="Small Business"/>
    <x v="1"/>
    <x v="8"/>
    <x v="6"/>
    <x v="59"/>
    <n v="1057.5999999999999"/>
    <n v="1437.06"/>
    <n v="1437.06"/>
    <s v="Medium"/>
    <n v="0.20499999999999999"/>
    <n v="0.20499999999999999"/>
    <s v="Yes"/>
    <n v="4"/>
    <n v="4569.8508000000002"/>
    <n v="4230.3999999999996"/>
    <n v="339.45080000000053"/>
    <n v="7.4280499485891424E-2"/>
    <n v="0.20499999999999999"/>
    <n v="4"/>
    <n v="1057.5999999999999"/>
    <n v="4569.8508000000002"/>
    <n v="339.45080000000053"/>
  </r>
  <r>
    <s v="ORD-2024-906395"/>
    <d v="2024-03-10T00:00:00"/>
    <x v="58"/>
    <s v="Q1-2024"/>
    <d v="2024-04-09T00:00:00"/>
    <d v="2024-04-09T00:00:00"/>
    <n v="30"/>
    <n v="30"/>
    <s v="No"/>
    <d v="2023-01-10T00:00:00"/>
    <x v="3"/>
    <x v="7"/>
    <s v="Lyon"/>
    <s v="Europe - France - Lyon"/>
    <s v="Corporate"/>
    <x v="4"/>
    <x v="2"/>
    <x v="0"/>
    <x v="60"/>
    <n v="1176.56"/>
    <n v="1911.89"/>
    <n v="1911.89"/>
    <s v="High"/>
    <n v="0.11899999999999999"/>
    <n v="0.11899999999999999"/>
    <s v="No"/>
    <n v="20"/>
    <n v="33687.501800000005"/>
    <n v="23531.199999999997"/>
    <n v="10156.301800000008"/>
    <n v="0.30148575160892477"/>
    <n v="0.11899999999999999"/>
    <n v="20"/>
    <n v="1176.56"/>
    <n v="33687.501800000005"/>
    <n v="10156.301800000008"/>
  </r>
  <r>
    <s v="ORD-2025-779574"/>
    <d v="2025-09-10T00:00:00"/>
    <x v="59"/>
    <s v="Q3-2025"/>
    <d v="2025-09-12T00:00:00"/>
    <d v="2025-09-12T00:00:00"/>
    <n v="2"/>
    <n v="2"/>
    <s v="Yes"/>
    <d v="2023-03-03T00:00:00"/>
    <x v="1"/>
    <x v="2"/>
    <s v="Tokyo"/>
    <s v="Asia - Japan - Tokyo"/>
    <s v="Consumer"/>
    <x v="1"/>
    <x v="7"/>
    <x v="0"/>
    <x v="61"/>
    <n v="1470.15"/>
    <n v="2593.7800000000002"/>
    <n v="2593.7800000000002"/>
    <s v="High"/>
    <n v="0.11"/>
    <n v="0.11"/>
    <s v="No"/>
    <n v="12"/>
    <n v="27701.570400000001"/>
    <n v="17641.800000000003"/>
    <n v="10059.770399999998"/>
    <n v="0.36314801849645306"/>
    <n v="0.11"/>
    <n v="12"/>
    <n v="1470.15"/>
    <n v="27701.570400000001"/>
    <n v="10059.770399999998"/>
  </r>
  <r>
    <s v="ORD-2025-526650"/>
    <d v="2025-04-27T00:00:00"/>
    <x v="60"/>
    <s v="Q2-2025"/>
    <d v="2025-05-25T00:00:00"/>
    <d v="2025-05-25T00:00:00"/>
    <n v="28"/>
    <n v="28"/>
    <s v="No"/>
    <d v="2023-01-10T00:00:00"/>
    <x v="3"/>
    <x v="7"/>
    <s v="Paris"/>
    <s v="Europe - France - Paris"/>
    <s v="Small Business"/>
    <x v="2"/>
    <x v="2"/>
    <x v="3"/>
    <x v="62"/>
    <n v="603.45000000000005"/>
    <n v="1244.08"/>
    <n v="1244.08"/>
    <s v="Medium"/>
    <n v="0.2"/>
    <n v="0.2"/>
    <s v="No"/>
    <n v="11"/>
    <n v="10947.904"/>
    <n v="6637.9500000000007"/>
    <n v="4309.9539999999997"/>
    <n v="0.39367846119220623"/>
    <n v="0.2"/>
    <n v="11"/>
    <n v="603.45000000000005"/>
    <n v="10947.904"/>
    <n v="4309.9539999999997"/>
  </r>
  <r>
    <s v="ORD-2024-247979"/>
    <d v="2024-11-02T00:00:00"/>
    <x v="61"/>
    <s v="Q4-2024"/>
    <d v="2024-11-18T00:00:00"/>
    <d v="2024-11-18T00:00:00"/>
    <n v="16"/>
    <n v="16"/>
    <s v="No"/>
    <d v="2023-01-29T00:00:00"/>
    <x v="1"/>
    <x v="4"/>
    <s v="Mumbai"/>
    <s v="Asia - India - Mumbai"/>
    <s v="Small Business"/>
    <x v="3"/>
    <x v="7"/>
    <x v="5"/>
    <x v="63"/>
    <n v="1233.58"/>
    <n v="1912.51"/>
    <n v="1912.51"/>
    <s v="High"/>
    <n v="0.255"/>
    <n v="0.255"/>
    <s v="Yes"/>
    <n v="51"/>
    <n v="72665.817450000002"/>
    <n v="62912.579999999994"/>
    <n v="9753.2374500000078"/>
    <n v="0.134220432553601"/>
    <n v="0.25"/>
    <n v="51"/>
    <n v="1233.58"/>
    <n v="73153.507499999992"/>
    <n v="10240.927499999998"/>
  </r>
  <r>
    <s v="ORD-2023-480975"/>
    <d v="2023-02-15T00:00:00"/>
    <x v="62"/>
    <s v="Q1-2023"/>
    <d v="2023-02-26T00:00:00"/>
    <d v="2023-02-26T00:00:00"/>
    <n v="11"/>
    <n v="11"/>
    <s v="No"/>
    <d v="2023-01-07T00:00:00"/>
    <x v="0"/>
    <x v="11"/>
    <s v="Johannesburg"/>
    <s v="Africa - South Africa - Johannesburg"/>
    <s v="Non-Profit"/>
    <x v="0"/>
    <x v="11"/>
    <x v="4"/>
    <x v="64"/>
    <n v="498.5"/>
    <n v="755.87"/>
    <n v="755.87"/>
    <s v="Low"/>
    <n v="0.13"/>
    <n v="0.13"/>
    <s v="No"/>
    <n v="40"/>
    <n v="26304.275999999998"/>
    <n v="19940"/>
    <n v="6364.275999999998"/>
    <n v="0.24194834330357537"/>
    <n v="0.13"/>
    <n v="40"/>
    <n v="498.5"/>
    <n v="26304.275999999998"/>
    <n v="6364.275999999998"/>
  </r>
  <r>
    <s v="ORD-2023-239789"/>
    <d v="2023-12-03T00:00:00"/>
    <x v="63"/>
    <s v="Q4-2023"/>
    <d v="2023-12-26T00:00:00"/>
    <d v="2023-12-26T00:00:00"/>
    <n v="23"/>
    <n v="23"/>
    <s v="No"/>
    <d v="2023-01-29T00:00:00"/>
    <x v="2"/>
    <x v="5"/>
    <s v="Rio de Janeiro"/>
    <s v="Americas - Brazil - Rio de Janeiro"/>
    <s v="Education"/>
    <x v="0"/>
    <x v="7"/>
    <x v="3"/>
    <x v="65"/>
    <n v="1303.1099999999999"/>
    <n v="1145.67"/>
    <n v="1145.67"/>
    <s v="Medium"/>
    <n v="0.184"/>
    <n v="0.184"/>
    <s v="No"/>
    <n v="13"/>
    <n v="12153.267360000002"/>
    <n v="16940.43"/>
    <n v="-4787.1626399999986"/>
    <n v="-0.39389922875851208"/>
    <n v="0.184"/>
    <n v="13"/>
    <n v="1303.1099999999999"/>
    <n v="12153.267360000002"/>
    <n v="-4787.1626399999986"/>
  </r>
  <r>
    <s v="ORD-2023-548874"/>
    <d v="2023-03-19T00:00:00"/>
    <x v="64"/>
    <s v="Q1-2023"/>
    <d v="2023-04-09T00:00:00"/>
    <d v="2023-04-09T00:00:00"/>
    <n v="21"/>
    <n v="21"/>
    <s v="No"/>
    <d v="2023-01-19T00:00:00"/>
    <x v="3"/>
    <x v="8"/>
    <s v="Manchester"/>
    <s v="Europe - United Kingdom - Manchester"/>
    <s v="Consumer"/>
    <x v="0"/>
    <x v="4"/>
    <x v="6"/>
    <x v="66"/>
    <n v="1082.17"/>
    <n v="1234.0999999999999"/>
    <n v="1234.0999999999999"/>
    <s v="Medium"/>
    <n v="0.189"/>
    <n v="0.189"/>
    <s v="No"/>
    <n v="16"/>
    <n v="16013.681599999998"/>
    <n v="17314.72"/>
    <n v="-1301.0384000000031"/>
    <n v="-8.124542703534228E-2"/>
    <n v="0.189"/>
    <n v="16"/>
    <n v="1082.17"/>
    <n v="16013.681599999998"/>
    <n v="-1301.0384000000031"/>
  </r>
  <r>
    <s v="ORD-2024-347736"/>
    <d v="2024-05-22T00:00:00"/>
    <x v="65"/>
    <s v="Q2-2024"/>
    <d v="2024-06-06T00:00:00"/>
    <d v="2024-06-06T00:00:00"/>
    <n v="15"/>
    <n v="15"/>
    <s v="No"/>
    <d v="2023-03-03T00:00:00"/>
    <x v="1"/>
    <x v="2"/>
    <s v="Nagoya"/>
    <s v="Asia - Japan - Nagoya"/>
    <s v="Corporate"/>
    <x v="3"/>
    <x v="0"/>
    <x v="5"/>
    <x v="67"/>
    <n v="673.88"/>
    <n v="1228.01"/>
    <n v="1228.01"/>
    <s v="Medium"/>
    <n v="0.105"/>
    <n v="0.105"/>
    <s v="No"/>
    <n v="13"/>
    <n v="14287.896349999999"/>
    <n v="8760.44"/>
    <n v="5527.4563499999986"/>
    <n v="0.38686285332689996"/>
    <n v="0.105"/>
    <n v="13"/>
    <n v="673.88"/>
    <n v="14287.896349999999"/>
    <n v="5527.4563499999986"/>
  </r>
  <r>
    <s v="ORD-2023-749324"/>
    <d v="2023-08-19T00:00:00"/>
    <x v="66"/>
    <s v="Q3-2023"/>
    <d v="2023-09-07T00:00:00"/>
    <d v="2023-09-07T00:00:00"/>
    <n v="19"/>
    <n v="19"/>
    <s v="No"/>
    <d v="2023-01-07T00:00:00"/>
    <x v="0"/>
    <x v="11"/>
    <s v="Johannesburg"/>
    <s v="Africa - South Africa - Johannesburg"/>
    <s v="Enterprise"/>
    <x v="0"/>
    <x v="14"/>
    <x v="5"/>
    <x v="68"/>
    <n v="494.61"/>
    <n v="605.23"/>
    <n v="605.23"/>
    <s v="Low"/>
    <n v="0.20399999999999999"/>
    <n v="0.20399999999999999"/>
    <s v="Yes"/>
    <n v="18"/>
    <n v="8671.7354400000004"/>
    <n v="8902.98"/>
    <n v="-231.24455999999918"/>
    <n v="-2.6666468505639647E-2"/>
    <n v="0.20399999999999999"/>
    <n v="18"/>
    <n v="494.61"/>
    <n v="8671.7354400000004"/>
    <n v="-231.24455999999918"/>
  </r>
  <r>
    <s v="ORD-2023-809913"/>
    <d v="2023-04-21T00:00:00"/>
    <x v="67"/>
    <s v="Q2-2023"/>
    <d v="2023-05-10T00:00:00"/>
    <d v="2023-05-10T00:00:00"/>
    <n v="19"/>
    <n v="19"/>
    <s v="No"/>
    <d v="2023-01-12T00:00:00"/>
    <x v="1"/>
    <x v="9"/>
    <s v="Shanghai"/>
    <s v="Asia - China - Shanghai"/>
    <s v="Corporate"/>
    <x v="0"/>
    <x v="8"/>
    <x v="0"/>
    <x v="69"/>
    <n v="882.33"/>
    <n v="1880.15"/>
    <n v="1880.15"/>
    <s v="High"/>
    <n v="0.05"/>
    <n v="0.05"/>
    <s v="No"/>
    <n v="5"/>
    <n v="8930.7124999999996"/>
    <n v="4411.6500000000005"/>
    <n v="4519.0624999999991"/>
    <n v="0.50601365792482955"/>
    <n v="0.05"/>
    <n v="5"/>
    <n v="882.33"/>
    <n v="8930.7124999999996"/>
    <n v="4519.0624999999991"/>
  </r>
  <r>
    <s v="ORD-2024-287210"/>
    <d v="2024-03-18T00:00:00"/>
    <x v="68"/>
    <s v="Q1-2024"/>
    <d v="2024-03-21T00:00:00"/>
    <d v="2024-03-21T00:00:00"/>
    <n v="3"/>
    <n v="3"/>
    <s v="Yes"/>
    <d v="2023-01-22T00:00:00"/>
    <x v="3"/>
    <x v="6"/>
    <s v="Munich"/>
    <s v="Europe - Germany - Munich"/>
    <s v="Small Business"/>
    <x v="1"/>
    <x v="12"/>
    <x v="6"/>
    <x v="70"/>
    <n v="910.63"/>
    <n v="1269.4000000000001"/>
    <n v="1269.4000000000001"/>
    <s v="Medium"/>
    <n v="6.8000000000000005E-2"/>
    <n v="6.8000000000000005E-2"/>
    <s v="No"/>
    <n v="9"/>
    <n v="10647.727199999999"/>
    <n v="8195.67"/>
    <n v="2452.0571999999993"/>
    <n v="0.23028925834989455"/>
    <n v="6.8000000000000005E-2"/>
    <n v="9"/>
    <n v="910.63"/>
    <n v="10647.727199999999"/>
    <n v="2452.0571999999993"/>
  </r>
  <r>
    <s v="ORD-2025-640677"/>
    <d v="2025-04-09T00:00:00"/>
    <x v="69"/>
    <s v="Q2-2025"/>
    <d v="2025-05-06T00:00:00"/>
    <d v="2025-05-06T00:00:00"/>
    <n v="27"/>
    <n v="27"/>
    <s v="No"/>
    <d v="2023-01-29T00:00:00"/>
    <x v="2"/>
    <x v="5"/>
    <s v="Brasília"/>
    <s v="Americas - Brazil - Brasília"/>
    <s v="Enterprise"/>
    <x v="2"/>
    <x v="9"/>
    <x v="4"/>
    <x v="71"/>
    <n v="264.19"/>
    <n v="620.92999999999995"/>
    <n v="620.92999999999995"/>
    <s v="Low"/>
    <n v="0.14199999999999999"/>
    <n v="0.14199999999999999"/>
    <s v="No"/>
    <n v="12"/>
    <n v="6393.0952799999995"/>
    <n v="3170.2799999999997"/>
    <n v="3222.8152799999998"/>
    <n v="0.50410875152794532"/>
    <n v="0.14199999999999999"/>
    <n v="12"/>
    <n v="264.19"/>
    <n v="6393.0952799999995"/>
    <n v="3222.8152799999998"/>
  </r>
  <r>
    <s v="ORD-2024-939873"/>
    <d v="2024-04-12T00:00:00"/>
    <x v="70"/>
    <s v="Q2-2024"/>
    <d v="2024-05-07T00:00:00"/>
    <d v="2024-05-07T00:00:00"/>
    <n v="25"/>
    <n v="25"/>
    <s v="No"/>
    <d v="2023-01-07T00:00:00"/>
    <x v="0"/>
    <x v="11"/>
    <s v="Johannesburg"/>
    <s v="Africa - South Africa - Johannesburg"/>
    <s v="Education"/>
    <x v="3"/>
    <x v="8"/>
    <x v="4"/>
    <x v="72"/>
    <n v="1376.51"/>
    <n v="1455.91"/>
    <n v="1455.91"/>
    <s v="Medium"/>
    <n v="0.185"/>
    <n v="0.185"/>
    <s v="No"/>
    <n v="17"/>
    <n v="20171.63305"/>
    <n v="23400.67"/>
    <n v="-3229.0369499999979"/>
    <n v="-0.1600781127634085"/>
    <n v="0.185"/>
    <n v="17"/>
    <n v="1376.51"/>
    <n v="20171.63305"/>
    <n v="-3229.0369499999979"/>
  </r>
  <r>
    <s v="ORD-2024-800947"/>
    <d v="2024-12-15T00:00:00"/>
    <x v="71"/>
    <s v="Q4-2024"/>
    <d v="2024-12-20T00:00:00"/>
    <d v="2024-12-20T00:00:00"/>
    <n v="5"/>
    <n v="5"/>
    <s v="Yes"/>
    <d v="2023-01-12T00:00:00"/>
    <x v="1"/>
    <x v="9"/>
    <s v="Shenzhen"/>
    <s v="Asia - China - Shenzhen"/>
    <s v="Small Business"/>
    <x v="4"/>
    <x v="1"/>
    <x v="2"/>
    <x v="73"/>
    <n v="717.55"/>
    <n v="546.42999999999995"/>
    <n v="546.42999999999995"/>
    <s v="Low"/>
    <n v="4.7E-2"/>
    <n v="4.7E-2"/>
    <s v="No"/>
    <n v="18"/>
    <n v="9373.460219999999"/>
    <n v="12915.9"/>
    <n v="-3542.4397800000006"/>
    <n v="-0.37792231437026369"/>
    <n v="4.7E-2"/>
    <n v="18"/>
    <n v="717.55"/>
    <n v="9373.460219999999"/>
    <n v="-3542.4397800000006"/>
  </r>
  <r>
    <s v="ORD-2023-382272"/>
    <d v="2023-05-20T00:00:00"/>
    <x v="72"/>
    <s v="Q2-2023"/>
    <d v="2023-05-18T00:00:00"/>
    <d v="2023-05-31T00:00:00"/>
    <n v="-2"/>
    <n v="11"/>
    <s v="No"/>
    <d v="2023-01-07T00:00:00"/>
    <x v="0"/>
    <x v="11"/>
    <s v="Durban"/>
    <s v="Africa - South Africa - Durban"/>
    <s v="Corporate"/>
    <x v="3"/>
    <x v="8"/>
    <x v="0"/>
    <x v="74"/>
    <n v="917.88"/>
    <n v="1347.92"/>
    <n v="1347.92"/>
    <s v="Medium"/>
    <n v="0.34300000000000003"/>
    <n v="0.11861439999999995"/>
    <s v="No"/>
    <n v="5"/>
    <n v="5940.1863897600006"/>
    <n v="4589.3999999999996"/>
    <n v="1350.7863897600009"/>
    <n v="0.22739798065740094"/>
    <n v="0.11861439999999995"/>
    <n v="5"/>
    <n v="917.88"/>
    <n v="5940.1863897600006"/>
    <n v="1350.7863897600009"/>
  </r>
  <r>
    <s v="ORD-2023-722117"/>
    <d v="2023-09-18T00:00:00"/>
    <x v="73"/>
    <s v="Q3-2023"/>
    <d v="2023-10-08T00:00:00"/>
    <d v="2023-10-08T00:00:00"/>
    <n v="20"/>
    <n v="20"/>
    <s v="No"/>
    <d v="2023-01-29T00:00:00"/>
    <x v="1"/>
    <x v="4"/>
    <s v="Delhi"/>
    <s v="Asia - India - Delhi"/>
    <s v="Small Business"/>
    <x v="4"/>
    <x v="5"/>
    <x v="0"/>
    <x v="75"/>
    <n v="825.64"/>
    <n v="1108.43"/>
    <n v="1108.43"/>
    <s v="Medium"/>
    <n v="0.114"/>
    <n v="0.114"/>
    <s v="No"/>
    <n v="7"/>
    <n v="6874.4828600000001"/>
    <n v="5779.48"/>
    <n v="1095.0028600000005"/>
    <n v="0.15928512475773349"/>
    <n v="0.114"/>
    <n v="7"/>
    <n v="825.64"/>
    <n v="6874.4828600000001"/>
    <n v="1095.0028600000005"/>
  </r>
  <r>
    <s v="ORD-2024-446699"/>
    <d v="2024-08-28T00:00:00"/>
    <x v="74"/>
    <s v="Q3-2024"/>
    <d v="2024-09-25T00:00:00"/>
    <d v="2024-09-25T00:00:00"/>
    <n v="28"/>
    <n v="28"/>
    <s v="No"/>
    <d v="2023-01-29T00:00:00"/>
    <x v="2"/>
    <x v="5"/>
    <s v="Rio de Janeiro"/>
    <s v="Americas - Brazil - Rio de Janeiro"/>
    <s v="Non-Profit"/>
    <x v="1"/>
    <x v="12"/>
    <x v="6"/>
    <x v="76"/>
    <n v="1394.65"/>
    <n v="3144.1"/>
    <n v="3144.1"/>
    <s v="High"/>
    <n v="0.13400000000000001"/>
    <n v="0.13400000000000001"/>
    <s v="No"/>
    <n v="13"/>
    <n v="35396.277799999996"/>
    <n v="18130.45"/>
    <n v="17265.827799999995"/>
    <n v="0.4877865378263021"/>
    <n v="0.13400000000000001"/>
    <n v="13"/>
    <n v="1394.65"/>
    <n v="35396.277799999996"/>
    <n v="17265.827799999995"/>
  </r>
  <r>
    <s v="ORD-2024-451005"/>
    <d v="2024-06-30T00:00:00"/>
    <x v="24"/>
    <s v="Q2-2024"/>
    <d v="2024-06-28T00:00:00"/>
    <d v="2024-07-04T00:00:00"/>
    <n v="-2"/>
    <n v="4"/>
    <s v="Yes"/>
    <d v="2023-01-29T00:00:00"/>
    <x v="2"/>
    <x v="5"/>
    <s v="Rio de Janeiro"/>
    <s v="Americas - Brazil - Rio de Janeiro"/>
    <s v="Small Business"/>
    <x v="4"/>
    <x v="4"/>
    <x v="6"/>
    <x v="77"/>
    <n v="1112.98"/>
    <n v="2095.73"/>
    <n v="2095.73"/>
    <s v="High"/>
    <n v="7.1999999999999995E-2"/>
    <n v="7.1999999999999995E-2"/>
    <s v="No"/>
    <n v="17"/>
    <n v="33062.236480000007"/>
    <n v="18920.66"/>
    <n v="14141.576480000007"/>
    <n v="0.42772594916724777"/>
    <n v="7.1999999999999995E-2"/>
    <n v="17"/>
    <n v="1112.98"/>
    <n v="33062.236480000007"/>
    <n v="14141.576480000007"/>
  </r>
  <r>
    <s v="ORD-2023-290279"/>
    <d v="2023-06-14T00:00:00"/>
    <x v="75"/>
    <s v="Q2-2023"/>
    <d v="2023-06-16T00:00:00"/>
    <d v="2023-06-16T00:00:00"/>
    <n v="2"/>
    <n v="2"/>
    <s v="Yes"/>
    <d v="2023-01-19T00:00:00"/>
    <x v="3"/>
    <x v="8"/>
    <s v="Manchester"/>
    <s v="Europe - United Kingdom - Manchester"/>
    <s v="Non-Profit"/>
    <x v="4"/>
    <x v="11"/>
    <x v="0"/>
    <x v="78"/>
    <n v="357.36"/>
    <n v="703.62"/>
    <n v="703.62"/>
    <s v="Low"/>
    <n v="0.25700000000000001"/>
    <n v="0.25700000000000001"/>
    <s v="Yes"/>
    <n v="20"/>
    <n v="10455.7932"/>
    <n v="7147.2000000000007"/>
    <n v="3308.5931999999993"/>
    <n v="0.31643636563125593"/>
    <n v="0.25"/>
    <n v="20"/>
    <n v="357.36"/>
    <n v="10554.3"/>
    <n v="3407.0999999999985"/>
  </r>
  <r>
    <s v="ORD-2024-192263"/>
    <d v="2024-11-21T00:00:00"/>
    <x v="76"/>
    <s v="Q4-2024"/>
    <d v="2024-12-21T00:00:00"/>
    <d v="2024-12-21T00:00:00"/>
    <n v="30"/>
    <n v="30"/>
    <s v="No"/>
    <d v="2023-01-10T00:00:00"/>
    <x v="3"/>
    <x v="7"/>
    <s v="Marseille"/>
    <s v="Europe - France - Marseille"/>
    <s v="Small Business"/>
    <x v="4"/>
    <x v="2"/>
    <x v="5"/>
    <x v="79"/>
    <n v="1122.68"/>
    <n v="1997.19"/>
    <n v="1997.19"/>
    <s v="High"/>
    <n v="0.186"/>
    <n v="0.186"/>
    <s v="No"/>
    <n v="3"/>
    <n v="4877.1379800000004"/>
    <n v="3368.04"/>
    <n v="1509.0979800000005"/>
    <n v="0.30942285951073306"/>
    <n v="0.186"/>
    <n v="3"/>
    <n v="1122.68"/>
    <n v="4877.1379800000004"/>
    <n v="1509.0979800000005"/>
  </r>
  <r>
    <s v="ORD-2023-159379"/>
    <d v="2023-02-08T00:00:00"/>
    <x v="77"/>
    <s v="Q1-2023"/>
    <d v="2023-02-11T00:00:00"/>
    <d v="2023-02-11T00:00:00"/>
    <n v="3"/>
    <n v="3"/>
    <s v="Yes"/>
    <d v="2023-01-07T00:00:00"/>
    <x v="0"/>
    <x v="11"/>
    <s v="Cape Town"/>
    <s v="Africa - South Africa - Cape Town"/>
    <s v="Corporate"/>
    <x v="4"/>
    <x v="12"/>
    <x v="2"/>
    <x v="80"/>
    <n v="1410.05"/>
    <n v="2763.95"/>
    <n v="2763.95"/>
    <s v="High"/>
    <n v="0.161"/>
    <n v="0.161"/>
    <s v="No"/>
    <n v="26"/>
    <n v="60292.805299999993"/>
    <n v="36661.299999999996"/>
    <n v="23631.505299999997"/>
    <n v="0.39194569206750779"/>
    <n v="0.161"/>
    <n v="26"/>
    <n v="1410.05"/>
    <n v="60292.805299999993"/>
    <n v="23631.505299999997"/>
  </r>
  <r>
    <s v="ORD-2023-343322"/>
    <d v="2023-08-19T00:00:00"/>
    <x v="66"/>
    <s v="Q3-2023"/>
    <d v="2023-09-12T00:00:00"/>
    <d v="2023-09-12T00:00:00"/>
    <n v="24"/>
    <n v="24"/>
    <s v="No"/>
    <d v="2023-01-02T00:00:00"/>
    <x v="2"/>
    <x v="3"/>
    <s v="Vancouver"/>
    <s v="Americas - Canada - Vancouver"/>
    <s v="Enterprise"/>
    <x v="0"/>
    <x v="2"/>
    <x v="1"/>
    <x v="81"/>
    <n v="1183.95"/>
    <n v="1503.53"/>
    <n v="1503.53"/>
    <s v="Medium"/>
    <n v="0.24099999999999999"/>
    <n v="0.24099999999999999"/>
    <s v="Yes"/>
    <n v="16"/>
    <n v="18258.868320000001"/>
    <n v="18943.2"/>
    <n v="-684.33167999999932"/>
    <n v="-3.7479413729623705E-2"/>
    <n v="0.24099999999999999"/>
    <n v="16"/>
    <n v="1183.95"/>
    <n v="18258.868320000001"/>
    <n v="-684.33167999999932"/>
  </r>
  <r>
    <s v="ORD-2025-114382"/>
    <d v="2025-05-14T00:00:00"/>
    <x v="78"/>
    <s v="Q2-2025"/>
    <d v="2025-05-24T00:00:00"/>
    <d v="2025-05-24T00:00:00"/>
    <n v="10"/>
    <n v="10"/>
    <s v="No"/>
    <d v="2023-01-10T00:00:00"/>
    <x v="3"/>
    <x v="7"/>
    <s v="Paris"/>
    <s v="Europe - France - Paris"/>
    <s v="Small Business"/>
    <x v="2"/>
    <x v="11"/>
    <x v="0"/>
    <x v="82"/>
    <n v="170.39"/>
    <n v="388.04"/>
    <n v="388.04"/>
    <s v="Low"/>
    <n v="8.4000000000000005E-2"/>
    <n v="8.4000000000000005E-2"/>
    <s v="No"/>
    <n v="15"/>
    <n v="5331.6696000000002"/>
    <n v="2555.85"/>
    <n v="2775.8196000000003"/>
    <n v="0.52062858508711796"/>
    <n v="8.4000000000000005E-2"/>
    <n v="15"/>
    <n v="170.39"/>
    <n v="5331.6696000000002"/>
    <n v="2775.8196000000003"/>
  </r>
  <r>
    <s v="ORD-2025-488349"/>
    <d v="2025-04-23T00:00:00"/>
    <x v="79"/>
    <s v="Q2-2025"/>
    <d v="2025-04-22T00:00:00"/>
    <d v="2025-05-04T00:00:00"/>
    <n v="-1"/>
    <n v="11"/>
    <s v="No"/>
    <d v="2023-01-13T00:00:00"/>
    <x v="2"/>
    <x v="10"/>
    <s v="San Francisco"/>
    <s v="Americas - USA - San Francisco"/>
    <s v="Non-Profit"/>
    <x v="3"/>
    <x v="14"/>
    <x v="5"/>
    <x v="83"/>
    <n v="23.24"/>
    <n v="44.57"/>
    <n v="44.57"/>
    <s v="Low"/>
    <n v="0.215"/>
    <n v="0.215"/>
    <s v="Yes"/>
    <n v="15"/>
    <n v="524.81174999999996"/>
    <n v="348.59999999999997"/>
    <n v="176.21174999999999"/>
    <n v="0.33576182316802167"/>
    <n v="0.215"/>
    <n v="15"/>
    <n v="23.24"/>
    <n v="524.81174999999996"/>
    <n v="176.21174999999999"/>
  </r>
  <r>
    <s v="ORD-2025-330203"/>
    <d v="2025-03-25T00:00:00"/>
    <x v="80"/>
    <s v="Q1-2025"/>
    <d v="2025-04-17T00:00:00"/>
    <d v="2025-04-17T00:00:00"/>
    <n v="23"/>
    <n v="23"/>
    <s v="No"/>
    <d v="2023-01-19T00:00:00"/>
    <x v="3"/>
    <x v="8"/>
    <s v="London"/>
    <s v="Europe - United Kingdom - London"/>
    <s v="Consumer"/>
    <x v="0"/>
    <x v="10"/>
    <x v="2"/>
    <x v="84"/>
    <n v="1421.19"/>
    <n v="1808.26"/>
    <n v="1808.26"/>
    <s v="High"/>
    <n v="0.104"/>
    <n v="0.104"/>
    <s v="No"/>
    <n v="13"/>
    <n v="21062.61248"/>
    <n v="18475.47"/>
    <n v="2587.1424799999986"/>
    <n v="0.12283103449093123"/>
    <n v="0.104"/>
    <n v="13"/>
    <n v="1421.19"/>
    <n v="21062.61248"/>
    <n v="2587.1424799999986"/>
  </r>
  <r>
    <s v="ORD-2023-841426"/>
    <d v="2023-12-22T00:00:00"/>
    <x v="81"/>
    <s v="Q4-2023"/>
    <d v="2023-12-23T00:00:00"/>
    <d v="2023-12-23T00:00:00"/>
    <n v="1"/>
    <n v="1"/>
    <s v="Yes"/>
    <d v="2023-01-07T00:00:00"/>
    <x v="0"/>
    <x v="11"/>
    <s v="Cape Town"/>
    <s v="Africa - South Africa - Cape Town"/>
    <s v="Non-Profit"/>
    <x v="2"/>
    <x v="14"/>
    <x v="0"/>
    <x v="85"/>
    <n v="1186.18"/>
    <n v="1285.0899999999999"/>
    <n v="1285.0899999999999"/>
    <s v="Medium"/>
    <n v="7.0000000000000007E-2"/>
    <n v="7.0000000000000007E-2"/>
    <s v="No"/>
    <n v="11"/>
    <n v="13146.470699999998"/>
    <n v="13047.980000000001"/>
    <n v="98.49069999999665"/>
    <n v="7.4917977796121861E-3"/>
    <n v="7.0000000000000007E-2"/>
    <n v="11"/>
    <n v="1186.18"/>
    <n v="13146.470699999998"/>
    <n v="98.49069999999665"/>
  </r>
  <r>
    <s v="ORD-2024-594592"/>
    <d v="2024-04-06T00:00:00"/>
    <x v="82"/>
    <s v="Q2-2024"/>
    <d v="2024-04-25T00:00:00"/>
    <d v="2024-04-25T00:00:00"/>
    <n v="19"/>
    <n v="19"/>
    <s v="No"/>
    <d v="2023-01-12T00:00:00"/>
    <x v="1"/>
    <x v="9"/>
    <s v="Shanghai"/>
    <s v="Asia - China - Shanghai"/>
    <s v="Corporate"/>
    <x v="0"/>
    <x v="11"/>
    <x v="0"/>
    <x v="86"/>
    <n v="1366.48"/>
    <n v="1678.14"/>
    <n v="1678.14"/>
    <s v="High"/>
    <n v="0.154"/>
    <n v="0.154"/>
    <s v="No"/>
    <n v="10"/>
    <n v="14197.064400000001"/>
    <n v="13664.8"/>
    <n v="532.26440000000184"/>
    <n v="3.7491159087790132E-2"/>
    <n v="0.154"/>
    <n v="10"/>
    <n v="1366.48"/>
    <n v="14197.064400000001"/>
    <n v="532.26440000000184"/>
  </r>
  <r>
    <s v="ORD-2025-863978"/>
    <d v="2025-08-07T00:00:00"/>
    <x v="83"/>
    <s v="Q3-2025"/>
    <d v="2025-08-19T00:00:00"/>
    <d v="2025-08-19T00:00:00"/>
    <n v="12"/>
    <n v="12"/>
    <s v="No"/>
    <d v="2023-01-20T00:00:00"/>
    <x v="0"/>
    <x v="0"/>
    <s v="Nakuru"/>
    <s v="Africa - Kenya - Nakuru"/>
    <s v="Corporate"/>
    <x v="4"/>
    <x v="12"/>
    <x v="0"/>
    <x v="87"/>
    <n v="601.51"/>
    <n v="679.35"/>
    <n v="679.35"/>
    <s v="Low"/>
    <n v="0.188"/>
    <n v="0.188"/>
    <s v="No"/>
    <n v="3"/>
    <n v="1654.8966000000003"/>
    <n v="1804.53"/>
    <n v="-149.63339999999971"/>
    <n v="-9.0418579626062243E-2"/>
    <n v="0.188"/>
    <n v="3"/>
    <n v="601.51"/>
    <n v="1654.8966000000003"/>
    <n v="-149.63339999999971"/>
  </r>
  <r>
    <s v="ORD-2024-604471"/>
    <d v="2024-01-21T00:00:00"/>
    <x v="84"/>
    <s v="Q1-2024"/>
    <d v="2024-01-25T00:00:00"/>
    <d v="2024-01-25T00:00:00"/>
    <n v="4"/>
    <n v="4"/>
    <s v="Yes"/>
    <d v="2023-01-29T00:00:00"/>
    <x v="1"/>
    <x v="4"/>
    <s v="Delhi"/>
    <s v="Asia - India - Delhi"/>
    <s v="Consumer"/>
    <x v="4"/>
    <x v="0"/>
    <x v="5"/>
    <x v="88"/>
    <n v="523.70000000000005"/>
    <n v="1109.92"/>
    <n v="1109.92"/>
    <s v="Medium"/>
    <n v="0.03"/>
    <n v="0.03"/>
    <s v="No"/>
    <n v="11"/>
    <n v="11842.8464"/>
    <n v="5760.7000000000007"/>
    <n v="6082.1463999999996"/>
    <n v="0.51357133197302973"/>
    <n v="0.03"/>
    <n v="11"/>
    <n v="523.70000000000005"/>
    <n v="11842.8464"/>
    <n v="6082.1463999999996"/>
  </r>
  <r>
    <s v="ORD-2023-258768"/>
    <d v="2023-06-29T00:00:00"/>
    <x v="85"/>
    <s v="Q2-2023"/>
    <d v="2023-07-02T00:00:00"/>
    <d v="2023-07-02T00:00:00"/>
    <n v="3"/>
    <n v="3"/>
    <s v="Yes"/>
    <d v="2023-03-03T00:00:00"/>
    <x v="1"/>
    <x v="2"/>
    <s v="Nagoya"/>
    <s v="Asia - Japan - Nagoya"/>
    <s v="Education"/>
    <x v="2"/>
    <x v="9"/>
    <x v="5"/>
    <x v="89"/>
    <n v="55.65"/>
    <n v="83.57"/>
    <n v="83.57"/>
    <s v="Low"/>
    <n v="6.6000000000000003E-2"/>
    <n v="6.6000000000000003E-2"/>
    <s v="No"/>
    <n v="8"/>
    <n v="624.43503999999996"/>
    <n v="445.2"/>
    <n v="179.23503999999997"/>
    <n v="0.2870355257449998"/>
    <n v="6.6000000000000003E-2"/>
    <n v="8"/>
    <n v="55.65"/>
    <n v="624.43503999999996"/>
    <n v="179.23503999999997"/>
  </r>
  <r>
    <s v="ORD-2025-626047"/>
    <d v="2025-04-28T00:00:00"/>
    <x v="86"/>
    <s v="Q2-2025"/>
    <d v="2025-05-15T00:00:00"/>
    <d v="2025-05-15T00:00:00"/>
    <n v="17"/>
    <n v="17"/>
    <s v="No"/>
    <d v="2023-03-03T00:00:00"/>
    <x v="1"/>
    <x v="2"/>
    <s v="Nagoya"/>
    <s v="Asia - Japan - Nagoya"/>
    <s v="Education"/>
    <x v="4"/>
    <x v="13"/>
    <x v="2"/>
    <x v="90"/>
    <n v="691.19"/>
    <n v="1284.3"/>
    <n v="1284.3"/>
    <s v="Medium"/>
    <n v="7.3999999999999996E-2"/>
    <n v="7.3999999999999996E-2"/>
    <s v="No"/>
    <n v="7"/>
    <n v="8324.8326000000015"/>
    <n v="4838.33"/>
    <n v="3486.5026000000016"/>
    <n v="0.41880753253825198"/>
    <n v="7.3999999999999996E-2"/>
    <n v="7"/>
    <n v="691.19"/>
    <n v="8324.8326000000015"/>
    <n v="3486.5026000000016"/>
  </r>
  <r>
    <s v="ORD-2025-526752"/>
    <d v="2025-06-09T00:00:00"/>
    <x v="56"/>
    <s v="Q2-2025"/>
    <d v="2025-06-25T00:00:00"/>
    <d v="2025-06-25T00:00:00"/>
    <n v="16"/>
    <n v="16"/>
    <s v="No"/>
    <d v="2023-01-29T00:00:00"/>
    <x v="1"/>
    <x v="4"/>
    <s v="Hyderabad"/>
    <s v="Asia - India - Hyderabad"/>
    <s v="Enterprise"/>
    <x v="3"/>
    <x v="12"/>
    <x v="3"/>
    <x v="91"/>
    <n v="527.33000000000004"/>
    <n v="911.72"/>
    <n v="911.72"/>
    <s v="Medium"/>
    <n v="0.14399999999999999"/>
    <n v="0.14399999999999999"/>
    <s v="No"/>
    <n v="25"/>
    <n v="19510.808000000001"/>
    <n v="13183.250000000002"/>
    <n v="6327.5579999999991"/>
    <n v="0.32431040272652978"/>
    <n v="0.14399999999999999"/>
    <n v="25"/>
    <n v="527.33000000000004"/>
    <n v="19510.808000000001"/>
    <n v="6327.5579999999991"/>
  </r>
  <r>
    <s v="ORD-2023-374486"/>
    <d v="2023-06-24T00:00:00"/>
    <x v="87"/>
    <s v="Q2-2023"/>
    <d v="2023-06-23T00:00:00"/>
    <d v="2023-07-07T00:00:00"/>
    <n v="-1"/>
    <n v="13"/>
    <s v="No"/>
    <d v="2023-01-29T00:00:00"/>
    <x v="2"/>
    <x v="5"/>
    <s v="Rio de Janeiro"/>
    <s v="Americas - Brazil - Rio de Janeiro"/>
    <s v="Non-Profit"/>
    <x v="0"/>
    <x v="6"/>
    <x v="1"/>
    <x v="92"/>
    <n v="804.01"/>
    <n v="1405.07"/>
    <n v="1405.07"/>
    <s v="Medium"/>
    <n v="9.6000000000000002E-2"/>
    <n v="9.6000000000000002E-2"/>
    <s v="No"/>
    <n v="8"/>
    <n v="10161.46624"/>
    <n v="6432.08"/>
    <n v="3729.3862399999998"/>
    <n v="0.36701260939287439"/>
    <n v="9.6000000000000002E-2"/>
    <n v="8"/>
    <n v="804.01"/>
    <n v="10161.46624"/>
    <n v="3729.3862399999998"/>
  </r>
  <r>
    <s v="ORD-2024-997336"/>
    <d v="2024-10-04T00:00:00"/>
    <x v="88"/>
    <s v="Q4-2024"/>
    <d v="2024-11-02T00:00:00"/>
    <d v="2024-11-02T00:00:00"/>
    <n v="29"/>
    <n v="29"/>
    <s v="No"/>
    <d v="2023-01-15T00:00:00"/>
    <x v="0"/>
    <x v="1"/>
    <s v="Abuja"/>
    <s v="Africa - Nigeria - Abuja"/>
    <s v="Corporate"/>
    <x v="3"/>
    <x v="9"/>
    <x v="6"/>
    <x v="93"/>
    <n v="412.09"/>
    <n v="968.94"/>
    <n v="968.94"/>
    <s v="Medium"/>
    <n v="9.9000000000000005E-2"/>
    <n v="9.9000000000000005E-2"/>
    <s v="No"/>
    <n v="23"/>
    <n v="20079.343620000003"/>
    <n v="9478.07"/>
    <n v="10601.273620000004"/>
    <n v="0.52796913189137418"/>
    <n v="9.9000000000000005E-2"/>
    <n v="23"/>
    <n v="412.09"/>
    <n v="20079.343620000003"/>
    <n v="10601.273620000004"/>
  </r>
  <r>
    <s v="ORD-2025-725646"/>
    <d v="2025-09-10T00:00:00"/>
    <x v="59"/>
    <s v="Q3-2025"/>
    <d v="2025-09-30T00:00:00"/>
    <d v="2025-09-30T00:00:00"/>
    <n v="20"/>
    <n v="20"/>
    <s v="No"/>
    <d v="2023-01-20T00:00:00"/>
    <x v="0"/>
    <x v="0"/>
    <s v="Mombasa"/>
    <s v="Africa - Kenya - Mombasa"/>
    <s v="Corporate"/>
    <x v="4"/>
    <x v="4"/>
    <x v="3"/>
    <x v="94"/>
    <n v="1009.48"/>
    <n v="1088.81"/>
    <n v="1088.81"/>
    <s v="Medium"/>
    <n v="0.16"/>
    <n v="0.16"/>
    <s v="No"/>
    <n v="6"/>
    <n v="5487.6023999999998"/>
    <n v="6056.88"/>
    <n v="-569.27760000000035"/>
    <n v="-0.10373885688219693"/>
    <n v="0.16"/>
    <n v="6"/>
    <n v="1009.48"/>
    <n v="5487.6023999999998"/>
    <n v="-569.27760000000035"/>
  </r>
  <r>
    <s v="ORD-2023-868734"/>
    <d v="2023-04-06T00:00:00"/>
    <x v="89"/>
    <s v="Q2-2023"/>
    <d v="2023-04-27T00:00:00"/>
    <d v="2023-04-27T00:00:00"/>
    <n v="21"/>
    <n v="21"/>
    <s v="No"/>
    <d v="2023-01-19T00:00:00"/>
    <x v="3"/>
    <x v="8"/>
    <s v="Manchester"/>
    <s v="Europe - United Kingdom - Manchester"/>
    <s v="Enterprise"/>
    <x v="3"/>
    <x v="2"/>
    <x v="1"/>
    <x v="95"/>
    <n v="1084.79"/>
    <n v="2484.9899999999998"/>
    <n v="2484.9899999999998"/>
    <s v="High"/>
    <n v="3.4000000000000002E-2"/>
    <n v="3.4000000000000002E-2"/>
    <s v="No"/>
    <n v="18"/>
    <n v="43209.006119999991"/>
    <n v="19526.22"/>
    <n v="23682.78611999999"/>
    <n v="0.54809837685755114"/>
    <n v="3.4000000000000002E-2"/>
    <n v="18"/>
    <n v="1084.79"/>
    <n v="43209.006119999991"/>
    <n v="23682.78611999999"/>
  </r>
  <r>
    <s v="ORD-2025-262491"/>
    <d v="2025-08-01T00:00:00"/>
    <x v="90"/>
    <s v="Q3-2025"/>
    <d v="2025-08-16T00:00:00"/>
    <d v="2025-08-16T00:00:00"/>
    <n v="15"/>
    <n v="15"/>
    <s v="No"/>
    <d v="2023-01-29T00:00:00"/>
    <x v="1"/>
    <x v="4"/>
    <s v="Delhi"/>
    <s v="Asia - India - Delhi"/>
    <s v="Enterprise"/>
    <x v="4"/>
    <x v="7"/>
    <x v="5"/>
    <x v="96"/>
    <n v="24.44"/>
    <n v="28.69"/>
    <n v="28.69"/>
    <s v="Low"/>
    <n v="0.14599999999999999"/>
    <n v="0.14599999999999999"/>
    <s v="No"/>
    <n v="6"/>
    <n v="147.00756000000001"/>
    <n v="146.64000000000001"/>
    <n v="0.36755999999999744"/>
    <n v="2.5002795774584476E-3"/>
    <n v="0.14599999999999999"/>
    <n v="6"/>
    <n v="24.44"/>
    <n v="147.00756000000001"/>
    <n v="0.36755999999999744"/>
  </r>
  <r>
    <s v="ORD-2024-638884"/>
    <d v="2024-05-28T00:00:00"/>
    <x v="91"/>
    <s v="Q2-2024"/>
    <d v="2024-05-26T00:00:00"/>
    <d v="2024-05-31T00:00:00"/>
    <n v="-2"/>
    <n v="3"/>
    <s v="Yes"/>
    <d v="2023-01-15T00:00:00"/>
    <x v="0"/>
    <x v="1"/>
    <s v="Abuja"/>
    <s v="Africa - Nigeria - Abuja"/>
    <s v="Enterprise"/>
    <x v="1"/>
    <x v="9"/>
    <x v="6"/>
    <x v="97"/>
    <n v="1227.08"/>
    <n v="1896.62"/>
    <n v="1896.62"/>
    <s v="High"/>
    <n v="0"/>
    <n v="0"/>
    <s v="No"/>
    <n v="18"/>
    <n v="34139.159999999996"/>
    <n v="22087.439999999999"/>
    <n v="12051.719999999998"/>
    <n v="0.353017473189147"/>
    <n v="0"/>
    <n v="18"/>
    <n v="1227.08"/>
    <n v="34139.159999999996"/>
    <n v="12051.719999999998"/>
  </r>
  <r>
    <s v="ORD-2025-541501"/>
    <d v="2025-07-22T00:00:00"/>
    <x v="92"/>
    <s v="Q3-2025"/>
    <d v="2025-08-18T00:00:00"/>
    <d v="2025-08-18T00:00:00"/>
    <n v="27"/>
    <n v="27"/>
    <s v="No"/>
    <d v="2023-01-12T00:00:00"/>
    <x v="1"/>
    <x v="9"/>
    <s v="Shenzhen"/>
    <s v="Asia - China - Shenzhen"/>
    <s v="Non-Profit"/>
    <x v="2"/>
    <x v="12"/>
    <x v="2"/>
    <x v="98"/>
    <n v="547.32000000000005"/>
    <n v="419.17"/>
    <n v="419.17"/>
    <s v="Low"/>
    <n v="9.1999999999999998E-2"/>
    <n v="9.1999999999999998E-2"/>
    <s v="No"/>
    <n v="14"/>
    <n v="5328.4890400000004"/>
    <n v="7662.4800000000005"/>
    <n v="-2333.9909600000001"/>
    <n v="-0.43802116181137907"/>
    <n v="9.1999999999999998E-2"/>
    <n v="14"/>
    <n v="547.32000000000005"/>
    <n v="5328.4890400000004"/>
    <n v="-2333.9909600000001"/>
  </r>
  <r>
    <s v="ORD-2023-422918"/>
    <d v="2023-02-28T00:00:00"/>
    <x v="2"/>
    <s v="Q1-2023"/>
    <d v="2023-03-20T00:00:00"/>
    <d v="2023-03-20T00:00:00"/>
    <n v="20"/>
    <n v="20"/>
    <s v="No"/>
    <d v="2023-01-22T00:00:00"/>
    <x v="3"/>
    <x v="6"/>
    <s v="Berlin"/>
    <s v="Europe - Germany - Berlin"/>
    <s v="Small Business"/>
    <x v="4"/>
    <x v="10"/>
    <x v="4"/>
    <x v="99"/>
    <n v="1200.78"/>
    <n v="2001.17"/>
    <n v="2001.17"/>
    <s v="High"/>
    <n v="0.29199999999999998"/>
    <n v="0.29199999999999998"/>
    <s v="Yes"/>
    <n v="18"/>
    <n v="25502.910479999999"/>
    <n v="21614.04"/>
    <n v="3888.8704799999978"/>
    <n v="0.15248732034132906"/>
    <n v="0.25"/>
    <n v="18"/>
    <n v="1200.78"/>
    <n v="27015.794999999998"/>
    <n v="5401.7549999999974"/>
  </r>
  <r>
    <s v="ORD-2025-328504"/>
    <d v="2025-01-27T00:00:00"/>
    <x v="93"/>
    <s v="Q1-2025"/>
    <d v="2025-02-15T00:00:00"/>
    <d v="2025-02-15T00:00:00"/>
    <n v="19"/>
    <n v="19"/>
    <s v="No"/>
    <d v="2023-01-12T00:00:00"/>
    <x v="1"/>
    <x v="9"/>
    <s v="Shenzhen"/>
    <s v="Asia - China - Shenzhen"/>
    <s v="Non-Profit"/>
    <x v="4"/>
    <x v="4"/>
    <x v="3"/>
    <x v="100"/>
    <n v="1253.22"/>
    <n v="3104.71"/>
    <n v="3104.71"/>
    <s v="High"/>
    <n v="0"/>
    <n v="0"/>
    <s v="No"/>
    <n v="17"/>
    <n v="52780.07"/>
    <n v="21304.74"/>
    <n v="31475.329999999998"/>
    <n v="0.59634877331538205"/>
    <n v="0"/>
    <n v="17"/>
    <n v="1253.22"/>
    <n v="52780.07"/>
    <n v="31475.329999999998"/>
  </r>
  <r>
    <s v="ORD-2024-851883"/>
    <d v="2024-01-13T00:00:00"/>
    <x v="94"/>
    <s v="Q1-2024"/>
    <d v="2024-01-22T00:00:00"/>
    <d v="2024-01-22T00:00:00"/>
    <n v="9"/>
    <n v="9"/>
    <s v="No"/>
    <d v="2023-01-29T00:00:00"/>
    <x v="1"/>
    <x v="4"/>
    <s v="Mumbai"/>
    <s v="Asia - India - Mumbai"/>
    <s v="Enterprise"/>
    <x v="2"/>
    <x v="1"/>
    <x v="0"/>
    <x v="101"/>
    <n v="313.60000000000002"/>
    <n v="334.28"/>
    <n v="334.28"/>
    <s v="Low"/>
    <n v="0.14000000000000001"/>
    <n v="0.14000000000000001"/>
    <s v="No"/>
    <n v="22"/>
    <n v="6324.5775999999996"/>
    <n v="6899.2000000000007"/>
    <n v="-574.62240000000111"/>
    <n v="-9.0855458868905517E-2"/>
    <n v="0.14000000000000001"/>
    <n v="22"/>
    <n v="313.60000000000002"/>
    <n v="6324.5775999999996"/>
    <n v="-574.62240000000111"/>
  </r>
  <r>
    <s v="ORD-2025-662997"/>
    <d v="2025-03-31T00:00:00"/>
    <x v="95"/>
    <s v="Q1-2025"/>
    <d v="2025-04-04T00:00:00"/>
    <d v="2025-04-04T00:00:00"/>
    <n v="4"/>
    <n v="4"/>
    <s v="Yes"/>
    <d v="2023-01-20T00:00:00"/>
    <x v="0"/>
    <x v="0"/>
    <s v="Nakuru"/>
    <s v="Africa - Kenya - Nakuru"/>
    <s v="Corporate"/>
    <x v="4"/>
    <x v="0"/>
    <x v="4"/>
    <x v="102"/>
    <n v="862.08"/>
    <n v="1952.83"/>
    <n v="1952.83"/>
    <s v="High"/>
    <n v="0"/>
    <n v="0"/>
    <s v="No"/>
    <n v="7"/>
    <n v="13669.81"/>
    <n v="6034.56"/>
    <n v="7635.2499999999991"/>
    <n v="0.5585483631447693"/>
    <n v="0"/>
    <n v="7"/>
    <n v="862.08"/>
    <n v="13669.81"/>
    <n v="7635.2499999999991"/>
  </r>
  <r>
    <s v="ORD-2024-478165"/>
    <d v="2024-12-05T00:00:00"/>
    <x v="96"/>
    <s v="Q4-2024"/>
    <d v="2024-12-28T00:00:00"/>
    <d v="2024-12-28T00:00:00"/>
    <n v="23"/>
    <n v="23"/>
    <s v="No"/>
    <d v="2023-01-02T00:00:00"/>
    <x v="2"/>
    <x v="3"/>
    <s v="Vancouver"/>
    <s v="Americas - Canada - Vancouver"/>
    <s v="Corporate"/>
    <x v="4"/>
    <x v="9"/>
    <x v="6"/>
    <x v="103"/>
    <n v="107.03"/>
    <n v="242.29"/>
    <n v="242.29"/>
    <s v="Low"/>
    <n v="0.18"/>
    <n v="0.18"/>
    <s v="No"/>
    <n v="30"/>
    <n v="5960.3340000000007"/>
    <n v="3210.9"/>
    <n v="2749.4340000000007"/>
    <n v="0.46128857879440988"/>
    <n v="0.18"/>
    <n v="30"/>
    <n v="107.03"/>
    <n v="5960.3340000000007"/>
    <n v="2749.4340000000007"/>
  </r>
  <r>
    <s v="ORD-2024-771210"/>
    <d v="2024-09-14T00:00:00"/>
    <x v="97"/>
    <s v="Q3-2024"/>
    <d v="2024-10-05T00:00:00"/>
    <d v="2024-10-05T00:00:00"/>
    <n v="21"/>
    <n v="21"/>
    <s v="No"/>
    <d v="2023-01-12T00:00:00"/>
    <x v="1"/>
    <x v="9"/>
    <s v="Shanghai"/>
    <s v="Asia - China - Shanghai"/>
    <s v="Small Business"/>
    <x v="1"/>
    <x v="10"/>
    <x v="4"/>
    <x v="104"/>
    <n v="1405.56"/>
    <n v="2968.87"/>
    <n v="2968.87"/>
    <s v="High"/>
    <n v="0.16900000000000001"/>
    <n v="0.16900000000000001"/>
    <s v="No"/>
    <n v="5"/>
    <n v="12335.654849999999"/>
    <n v="7027.7999999999993"/>
    <n v="5307.8548499999997"/>
    <n v="0.4302856163327235"/>
    <n v="0.16900000000000001"/>
    <n v="5"/>
    <n v="1405.56"/>
    <n v="12335.654849999999"/>
    <n v="5307.8548499999997"/>
  </r>
  <r>
    <s v="ORD-2024-155337"/>
    <d v="2024-05-21T00:00:00"/>
    <x v="98"/>
    <s v="Q2-2024"/>
    <d v="2024-05-27T00:00:00"/>
    <d v="2024-05-27T00:00:00"/>
    <n v="6"/>
    <n v="6"/>
    <s v="Yes"/>
    <d v="2023-01-07T00:00:00"/>
    <x v="0"/>
    <x v="11"/>
    <s v="Johannesburg"/>
    <s v="Africa - South Africa - Johannesburg"/>
    <s v="Non-Profit"/>
    <x v="1"/>
    <x v="12"/>
    <x v="0"/>
    <x v="105"/>
    <n v="1157.51"/>
    <n v="1394.3"/>
    <n v="1394.3"/>
    <s v="Medium"/>
    <n v="0.27800000000000002"/>
    <n v="0.27800000000000002"/>
    <s v="Yes"/>
    <n v="12"/>
    <n v="12080.215199999999"/>
    <n v="13890.119999999999"/>
    <n v="-1809.9048000000003"/>
    <n v="-0.14982388724333326"/>
    <n v="0.25"/>
    <n v="12"/>
    <n v="1157.51"/>
    <n v="12548.699999999999"/>
    <n v="-1341.42"/>
  </r>
  <r>
    <s v="ORD-2023-251563"/>
    <d v="2023-05-11T00:00:00"/>
    <x v="20"/>
    <s v="Q2-2023"/>
    <d v="2023-06-07T00:00:00"/>
    <d v="2023-06-07T00:00:00"/>
    <n v="27"/>
    <n v="27"/>
    <s v="No"/>
    <d v="2023-01-20T00:00:00"/>
    <x v="0"/>
    <x v="0"/>
    <s v="Mombasa"/>
    <s v="Africa - Kenya - Mombasa"/>
    <s v="Corporate"/>
    <x v="1"/>
    <x v="1"/>
    <x v="3"/>
    <x v="106"/>
    <n v="12.85"/>
    <n v="15.41"/>
    <n v="15.41"/>
    <s v="Low"/>
    <n v="0.13700000000000001"/>
    <n v="0.13700000000000001"/>
    <s v="No"/>
    <n v="39"/>
    <n v="518.65436999999997"/>
    <n v="501.15"/>
    <n v="17.504369999999994"/>
    <n v="3.3749585489851353E-2"/>
    <n v="0.13700000000000001"/>
    <n v="39"/>
    <n v="12.85"/>
    <n v="518.65436999999997"/>
    <n v="17.504369999999994"/>
  </r>
  <r>
    <s v="ORD-2024-286833"/>
    <d v="2024-08-14T00:00:00"/>
    <x v="99"/>
    <s v="Q3-2024"/>
    <d v="2024-09-04T00:00:00"/>
    <d v="2024-09-04T00:00:00"/>
    <n v="21"/>
    <n v="21"/>
    <s v="No"/>
    <d v="2023-01-19T00:00:00"/>
    <x v="3"/>
    <x v="8"/>
    <s v="Manchester"/>
    <s v="Europe - United Kingdom - Manchester"/>
    <s v="Non-Profit"/>
    <x v="1"/>
    <x v="1"/>
    <x v="3"/>
    <x v="107"/>
    <n v="1138.8"/>
    <n v="2250.81"/>
    <n v="2250.81"/>
    <s v="High"/>
    <n v="0.123"/>
    <n v="0.123"/>
    <s v="No"/>
    <n v="12"/>
    <n v="23687.524440000001"/>
    <n v="13665.599999999999"/>
    <n v="10021.924440000003"/>
    <n v="0.42308872188756258"/>
    <n v="0.123"/>
    <n v="12"/>
    <n v="1138.8"/>
    <n v="23687.524440000001"/>
    <n v="10021.924440000003"/>
  </r>
  <r>
    <s v="ORD-2024-792558"/>
    <d v="2024-10-16T00:00:00"/>
    <x v="100"/>
    <s v="Q4-2024"/>
    <d v="2024-11-08T00:00:00"/>
    <d v="2024-11-08T00:00:00"/>
    <n v="23"/>
    <n v="23"/>
    <s v="No"/>
    <d v="2023-03-03T00:00:00"/>
    <x v="1"/>
    <x v="2"/>
    <s v="Osaka"/>
    <s v="Asia - Japan - Osaka"/>
    <s v="Small Business"/>
    <x v="0"/>
    <x v="1"/>
    <x v="2"/>
    <x v="108"/>
    <n v="82.14"/>
    <n v="166.04"/>
    <n v="166.04"/>
    <s v="Low"/>
    <n v="0"/>
    <n v="0"/>
    <s v="No"/>
    <n v="10"/>
    <n v="1660.3999999999999"/>
    <n v="821.4"/>
    <n v="838.99999999999989"/>
    <n v="0.50529992772825827"/>
    <n v="0"/>
    <n v="10"/>
    <n v="82.14"/>
    <n v="1660.3999999999999"/>
    <n v="838.99999999999989"/>
  </r>
  <r>
    <s v="ORD-2024-166150"/>
    <d v="2024-06-02T00:00:00"/>
    <x v="101"/>
    <s v="Q2-2024"/>
    <d v="2024-06-08T00:00:00"/>
    <d v="2024-06-08T00:00:00"/>
    <n v="6"/>
    <n v="6"/>
    <s v="Yes"/>
    <d v="2023-01-20T00:00:00"/>
    <x v="0"/>
    <x v="0"/>
    <s v="Kisumu"/>
    <s v="Africa - Kenya - Kisumu"/>
    <s v="Consumer"/>
    <x v="2"/>
    <x v="8"/>
    <x v="6"/>
    <x v="109"/>
    <n v="292.94"/>
    <n v="356.55"/>
    <n v="356.55"/>
    <s v="Low"/>
    <n v="0.22900000000000001"/>
    <n v="0.22900000000000001"/>
    <s v="Yes"/>
    <n v="2"/>
    <n v="549.80010000000004"/>
    <n v="585.88"/>
    <n v="-36.079899999999952"/>
    <n v="-6.5623669402751925E-2"/>
    <n v="0.22900000000000001"/>
    <n v="2"/>
    <n v="292.94"/>
    <n v="549.80010000000004"/>
    <n v="-36.079899999999952"/>
  </r>
  <r>
    <s v="ORD-2024-909942"/>
    <d v="2024-06-09T00:00:00"/>
    <x v="102"/>
    <s v="Q2-2024"/>
    <d v="2024-07-07T00:00:00"/>
    <d v="2024-07-07T00:00:00"/>
    <n v="28"/>
    <n v="28"/>
    <s v="No"/>
    <d v="2023-01-12T00:00:00"/>
    <x v="1"/>
    <x v="9"/>
    <s v="Shenzhen"/>
    <s v="Asia - China - Shenzhen"/>
    <s v="Corporate"/>
    <x v="1"/>
    <x v="1"/>
    <x v="0"/>
    <x v="110"/>
    <n v="550.22"/>
    <n v="1025.05"/>
    <n v="1025.05"/>
    <s v="Medium"/>
    <n v="0"/>
    <n v="0"/>
    <s v="No"/>
    <n v="27"/>
    <n v="27676.35"/>
    <n v="14855.94"/>
    <n v="12820.409999999998"/>
    <n v="0.46322618408858102"/>
    <n v="0"/>
    <n v="27"/>
    <n v="550.22"/>
    <n v="27676.35"/>
    <n v="12820.409999999998"/>
  </r>
  <r>
    <s v="ORD-2024-223618"/>
    <d v="2024-06-10T00:00:00"/>
    <x v="103"/>
    <s v="Q2-2024"/>
    <d v="2024-06-11T00:00:00"/>
    <d v="2024-06-11T00:00:00"/>
    <n v="1"/>
    <n v="1"/>
    <s v="Yes"/>
    <d v="2023-01-19T00:00:00"/>
    <x v="3"/>
    <x v="8"/>
    <s v="Birmingham"/>
    <s v="Europe - United Kingdom - Birmingham"/>
    <s v="Small Business"/>
    <x v="2"/>
    <x v="12"/>
    <x v="4"/>
    <x v="111"/>
    <n v="1187.1300000000001"/>
    <n v="1795.17"/>
    <n v="1795.17"/>
    <s v="High"/>
    <n v="1.2E-2"/>
    <n v="1.2E-2"/>
    <s v="No"/>
    <n v="17"/>
    <n v="30151.675319999998"/>
    <n v="20181.210000000003"/>
    <n v="9970.4653199999957"/>
    <n v="0.33067699271046663"/>
    <n v="1.2E-2"/>
    <n v="17"/>
    <n v="1187.1300000000001"/>
    <n v="30151.675319999998"/>
    <n v="9970.4653199999957"/>
  </r>
  <r>
    <s v="ORD-2024-919471"/>
    <d v="2024-06-29T00:00:00"/>
    <x v="104"/>
    <s v="Q2-2024"/>
    <d v="2024-07-26T00:00:00"/>
    <d v="2024-07-26T00:00:00"/>
    <n v="27"/>
    <n v="27"/>
    <s v="No"/>
    <d v="2023-01-07T00:00:00"/>
    <x v="0"/>
    <x v="11"/>
    <s v="Durban"/>
    <s v="Africa - South Africa - Durban"/>
    <s v="Enterprise"/>
    <x v="3"/>
    <x v="5"/>
    <x v="2"/>
    <x v="112"/>
    <n v="5.36"/>
    <n v="4.37"/>
    <n v="4.37"/>
    <s v="Low"/>
    <n v="0.11799999999999999"/>
    <n v="0.11799999999999999"/>
    <s v="No"/>
    <n v="9"/>
    <n v="34.689059999999998"/>
    <n v="48.24"/>
    <n v="-13.550940000000004"/>
    <n v="-0.39064016148030545"/>
    <n v="0.11799999999999999"/>
    <n v="9"/>
    <n v="5.36"/>
    <n v="34.689059999999998"/>
    <n v="-13.550940000000004"/>
  </r>
  <r>
    <s v="ORD-2025-649239"/>
    <d v="2025-01-17T00:00:00"/>
    <x v="105"/>
    <s v="Q1-2025"/>
    <d v="2025-01-24T00:00:00"/>
    <d v="2025-01-24T00:00:00"/>
    <n v="7"/>
    <n v="7"/>
    <s v="Yes"/>
    <d v="2023-01-13T00:00:00"/>
    <x v="2"/>
    <x v="10"/>
    <s v="Austin"/>
    <s v="Americas - USA - Austin"/>
    <s v="Enterprise"/>
    <x v="1"/>
    <x v="3"/>
    <x v="6"/>
    <x v="113"/>
    <n v="142.09"/>
    <n v="218.5"/>
    <n v="218.5"/>
    <s v="Low"/>
    <n v="0.11899999999999999"/>
    <n v="0.11899999999999999"/>
    <s v="No"/>
    <n v="11"/>
    <n v="2117.4834999999998"/>
    <n v="1562.99"/>
    <n v="554.49349999999981"/>
    <n v="0.26186437816398561"/>
    <n v="0.11899999999999999"/>
    <n v="11"/>
    <n v="142.09"/>
    <n v="2117.4834999999998"/>
    <n v="554.49349999999981"/>
  </r>
  <r>
    <s v="ORD-2023-975863"/>
    <d v="2023-11-20T00:00:00"/>
    <x v="106"/>
    <s v="Q4-2023"/>
    <d v="2023-12-05T00:00:00"/>
    <d v="2023-12-05T00:00:00"/>
    <n v="15"/>
    <n v="15"/>
    <s v="No"/>
    <d v="2023-03-03T00:00:00"/>
    <x v="1"/>
    <x v="2"/>
    <s v="Tokyo"/>
    <s v="Asia - Japan - Tokyo"/>
    <s v="Enterprise"/>
    <x v="0"/>
    <x v="4"/>
    <x v="2"/>
    <x v="114"/>
    <n v="354.24"/>
    <n v="249.87"/>
    <n v="249.87"/>
    <s v="Low"/>
    <n v="0"/>
    <n v="0"/>
    <s v="No"/>
    <n v="6"/>
    <n v="1499.22"/>
    <n v="2125.44"/>
    <n v="-626.22"/>
    <n v="-0.41769720254532355"/>
    <n v="0"/>
    <n v="6"/>
    <n v="354.24"/>
    <n v="1499.22"/>
    <n v="-626.22"/>
  </r>
  <r>
    <s v="ORD-2023-869884"/>
    <d v="2023-03-02T00:00:00"/>
    <x v="107"/>
    <s v="Q1-2023"/>
    <d v="2023-03-05T00:00:00"/>
    <d v="2023-03-05T00:00:00"/>
    <n v="3"/>
    <n v="3"/>
    <s v="Yes"/>
    <d v="2023-01-29T00:00:00"/>
    <x v="2"/>
    <x v="5"/>
    <s v="Brasília"/>
    <s v="Americas - Brazil - Brasília"/>
    <s v="Enterprise"/>
    <x v="4"/>
    <x v="3"/>
    <x v="5"/>
    <x v="115"/>
    <n v="1473.58"/>
    <n v="3436.52"/>
    <n v="3436.52"/>
    <s v="High"/>
    <n v="0.108"/>
    <n v="0.108"/>
    <s v="No"/>
    <n v="8"/>
    <n v="24523.006720000001"/>
    <n v="11788.64"/>
    <n v="12734.366720000002"/>
    <n v="0.51928243813652564"/>
    <n v="0.108"/>
    <n v="8"/>
    <n v="1473.58"/>
    <n v="24523.006720000001"/>
    <n v="12734.366720000002"/>
  </r>
  <r>
    <s v="ORD-2025-698069"/>
    <d v="2025-06-03T00:00:00"/>
    <x v="108"/>
    <s v="Q2-2025"/>
    <d v="2025-06-10T00:00:00"/>
    <d v="2025-06-10T00:00:00"/>
    <n v="7"/>
    <n v="7"/>
    <s v="Yes"/>
    <d v="2023-01-02T00:00:00"/>
    <x v="2"/>
    <x v="3"/>
    <s v="Toronto"/>
    <s v="Americas - Canada - Toronto"/>
    <s v="Consumer"/>
    <x v="3"/>
    <x v="7"/>
    <x v="1"/>
    <x v="116"/>
    <n v="75.180000000000007"/>
    <n v="53.45"/>
    <n v="53.45"/>
    <s v="Low"/>
    <n v="0.157"/>
    <n v="0.157"/>
    <s v="No"/>
    <n v="17"/>
    <n v="765.99195000000009"/>
    <n v="1278.0600000000002"/>
    <n v="-512.06805000000008"/>
    <n v="-0.66850317421743144"/>
    <n v="0.157"/>
    <n v="17"/>
    <n v="75.180000000000007"/>
    <n v="765.99195000000009"/>
    <n v="-512.06805000000008"/>
  </r>
  <r>
    <s v="ORD-2024-474999"/>
    <d v="2024-12-27T00:00:00"/>
    <x v="6"/>
    <s v="Q4-2024"/>
    <d v="2025-01-02T00:00:00"/>
    <d v="2025-01-02T00:00:00"/>
    <n v="6"/>
    <n v="6"/>
    <s v="Yes"/>
    <d v="2023-01-22T00:00:00"/>
    <x v="3"/>
    <x v="6"/>
    <s v="Frankfurt"/>
    <s v="Europe - Germany - Frankfurt"/>
    <s v="Education"/>
    <x v="4"/>
    <x v="9"/>
    <x v="4"/>
    <x v="117"/>
    <n v="1391.99"/>
    <n v="3469.7"/>
    <n v="3469.7"/>
    <s v="High"/>
    <n v="0.184"/>
    <n v="0.184"/>
    <s v="No"/>
    <n v="23"/>
    <n v="65119.329599999997"/>
    <n v="32015.77"/>
    <n v="33103.559599999993"/>
    <n v="0.50835227886006973"/>
    <n v="0.184"/>
    <n v="23"/>
    <n v="1391.99"/>
    <n v="65119.329599999997"/>
    <n v="33103.559599999993"/>
  </r>
  <r>
    <s v="ORD-2023-427304"/>
    <d v="2023-06-09T00:00:00"/>
    <x v="109"/>
    <s v="Q2-2023"/>
    <d v="2023-06-19T00:00:00"/>
    <d v="2023-06-19T00:00:00"/>
    <n v="10"/>
    <n v="10"/>
    <s v="No"/>
    <d v="2023-01-12T00:00:00"/>
    <x v="1"/>
    <x v="9"/>
    <s v="Beijing"/>
    <s v="Asia - China - Beijing"/>
    <s v="Enterprise"/>
    <x v="0"/>
    <x v="9"/>
    <x v="5"/>
    <x v="118"/>
    <n v="339.61"/>
    <n v="621.02"/>
    <n v="621.02"/>
    <s v="Low"/>
    <n v="7.0999999999999994E-2"/>
    <n v="7.0999999999999994E-2"/>
    <s v="No"/>
    <n v="10"/>
    <n v="5769.2758000000003"/>
    <n v="3396.1000000000004"/>
    <n v="2373.1758"/>
    <n v="0.41134726129750981"/>
    <n v="7.0999999999999994E-2"/>
    <n v="10"/>
    <n v="339.61"/>
    <n v="5769.2758000000003"/>
    <n v="2373.1758"/>
  </r>
  <r>
    <s v="ORD-2025-956101"/>
    <d v="2025-07-09T00:00:00"/>
    <x v="110"/>
    <s v="Q3-2025"/>
    <d v="2025-07-18T00:00:00"/>
    <d v="2025-07-18T00:00:00"/>
    <n v="9"/>
    <n v="9"/>
    <s v="No"/>
    <d v="2023-01-02T00:00:00"/>
    <x v="2"/>
    <x v="3"/>
    <s v="Vancouver"/>
    <s v="Americas - Canada - Vancouver"/>
    <s v="Education"/>
    <x v="3"/>
    <x v="2"/>
    <x v="4"/>
    <x v="119"/>
    <n v="57.96"/>
    <n v="88.51"/>
    <n v="88.51"/>
    <s v="Low"/>
    <n v="4.2999999999999997E-2"/>
    <n v="4.2999999999999997E-2"/>
    <s v="No"/>
    <n v="7"/>
    <n v="592.92849000000001"/>
    <n v="405.72"/>
    <n v="187.20848999999998"/>
    <n v="0.3157353595877978"/>
    <n v="4.2999999999999997E-2"/>
    <n v="7"/>
    <n v="57.96"/>
    <n v="592.92849000000001"/>
    <n v="187.20848999999998"/>
  </r>
  <r>
    <s v="ORD-2025-184082"/>
    <d v="2025-06-19T00:00:00"/>
    <x v="111"/>
    <s v="Q2-2025"/>
    <d v="2025-07-12T00:00:00"/>
    <d v="2025-07-12T00:00:00"/>
    <n v="23"/>
    <n v="23"/>
    <s v="No"/>
    <d v="2023-01-19T00:00:00"/>
    <x v="3"/>
    <x v="8"/>
    <s v="London"/>
    <s v="Europe - United Kingdom - London"/>
    <s v="Non-Profit"/>
    <x v="4"/>
    <x v="14"/>
    <x v="2"/>
    <x v="120"/>
    <n v="801.24"/>
    <n v="1959.09"/>
    <n v="1959.09"/>
    <s v="High"/>
    <n v="0.123"/>
    <n v="0.123"/>
    <s v="No"/>
    <n v="23"/>
    <n v="39516.804389999998"/>
    <n v="18428.52"/>
    <n v="21088.284389999997"/>
    <n v="0.53365358650651762"/>
    <n v="0.123"/>
    <n v="23"/>
    <n v="801.24"/>
    <n v="39516.804389999998"/>
    <n v="21088.284389999997"/>
  </r>
  <r>
    <s v="ORD-2023-576840"/>
    <d v="2023-11-19T00:00:00"/>
    <x v="112"/>
    <s v="Q4-2023"/>
    <d v="2023-12-13T00:00:00"/>
    <d v="2023-12-13T00:00:00"/>
    <n v="24"/>
    <n v="24"/>
    <s v="No"/>
    <d v="2023-01-10T00:00:00"/>
    <x v="3"/>
    <x v="7"/>
    <s v="Lyon"/>
    <s v="Europe - France - Lyon"/>
    <s v="Non-Profit"/>
    <x v="4"/>
    <x v="10"/>
    <x v="5"/>
    <x v="121"/>
    <n v="1297.42"/>
    <n v="2742.97"/>
    <n v="2742.97"/>
    <s v="High"/>
    <n v="6.9000000000000006E-2"/>
    <n v="6.9000000000000006E-2"/>
    <s v="No"/>
    <n v="9"/>
    <n v="22983.34563"/>
    <n v="11676.78"/>
    <n v="11306.565629999999"/>
    <n v="0.49194602961727291"/>
    <n v="6.9000000000000006E-2"/>
    <n v="9"/>
    <n v="1297.42"/>
    <n v="22983.34563"/>
    <n v="11306.565629999999"/>
  </r>
  <r>
    <s v="ORD-2023-178249"/>
    <d v="2023-12-29T00:00:00"/>
    <x v="113"/>
    <s v="Q4-2023"/>
    <d v="2024-01-20T00:00:00"/>
    <d v="2024-01-20T00:00:00"/>
    <n v="22"/>
    <n v="22"/>
    <s v="No"/>
    <d v="2023-01-20T00:00:00"/>
    <x v="0"/>
    <x v="0"/>
    <s v="Kisumu"/>
    <s v="Africa - Kenya - Kisumu"/>
    <s v="Corporate"/>
    <x v="4"/>
    <x v="4"/>
    <x v="3"/>
    <x v="122"/>
    <n v="1395.49"/>
    <n v="1679.42"/>
    <n v="1679.42"/>
    <s v="High"/>
    <n v="0.20300000000000001"/>
    <n v="0.20300000000000001"/>
    <s v="Yes"/>
    <n v="12"/>
    <n v="16061.972879999999"/>
    <n v="16745.88"/>
    <n v="-683.90712000000167"/>
    <n v="-4.2579272490964493E-2"/>
    <n v="0.20300000000000001"/>
    <n v="12"/>
    <n v="1395.49"/>
    <n v="16061.972879999999"/>
    <n v="-683.90712000000167"/>
  </r>
  <r>
    <s v="ORD-2024-588972"/>
    <d v="2024-11-02T00:00:00"/>
    <x v="61"/>
    <s v="Q4-2024"/>
    <d v="2024-11-29T00:00:00"/>
    <d v="2024-11-29T00:00:00"/>
    <n v="27"/>
    <n v="27"/>
    <s v="No"/>
    <d v="2023-01-29T00:00:00"/>
    <x v="2"/>
    <x v="5"/>
    <s v="Brasília"/>
    <s v="Americas - Brazil - Brasília"/>
    <s v="Small Business"/>
    <x v="4"/>
    <x v="2"/>
    <x v="2"/>
    <x v="123"/>
    <n v="1363.51"/>
    <n v="1433.9"/>
    <n v="1433.9"/>
    <s v="Medium"/>
    <n v="5.7000000000000002E-2"/>
    <n v="5.7000000000000002E-2"/>
    <s v="No"/>
    <n v="8"/>
    <n v="10817.3416"/>
    <n v="10908.08"/>
    <n v="-90.738400000000183"/>
    <n v="-8.3882346842037592E-3"/>
    <n v="5.7000000000000002E-2"/>
    <n v="8"/>
    <n v="1363.51"/>
    <n v="10817.3416"/>
    <n v="-90.738400000000183"/>
  </r>
  <r>
    <s v="ORD-2023-603238"/>
    <d v="2023-08-21T00:00:00"/>
    <x v="114"/>
    <s v="Q3-2023"/>
    <d v="2023-09-04T00:00:00"/>
    <d v="2023-09-04T00:00:00"/>
    <n v="14"/>
    <n v="14"/>
    <s v="No"/>
    <d v="2023-01-02T00:00:00"/>
    <x v="2"/>
    <x v="3"/>
    <s v="Montreal"/>
    <s v="Americas - Canada - Montreal"/>
    <s v="Education"/>
    <x v="3"/>
    <x v="9"/>
    <x v="0"/>
    <x v="124"/>
    <n v="178.19"/>
    <n v="284.43"/>
    <n v="284.43"/>
    <s v="Low"/>
    <n v="8.8999999999999996E-2"/>
    <n v="8.8999999999999996E-2"/>
    <s v="No"/>
    <n v="8"/>
    <n v="2072.9258400000003"/>
    <n v="1425.52"/>
    <n v="647.40584000000035"/>
    <n v="0.31231500302972742"/>
    <n v="8.8999999999999996E-2"/>
    <n v="8"/>
    <n v="178.19"/>
    <n v="2072.9258400000003"/>
    <n v="647.40584000000035"/>
  </r>
  <r>
    <s v="ORD-2023-883066"/>
    <d v="2023-08-12T00:00:00"/>
    <x v="115"/>
    <s v="Q3-2023"/>
    <d v="2023-09-06T00:00:00"/>
    <d v="2023-09-06T00:00:00"/>
    <n v="25"/>
    <n v="25"/>
    <s v="No"/>
    <d v="2023-01-12T00:00:00"/>
    <x v="1"/>
    <x v="9"/>
    <s v="Shanghai"/>
    <s v="Asia - China - Shanghai"/>
    <s v="Small Business"/>
    <x v="0"/>
    <x v="5"/>
    <x v="0"/>
    <x v="125"/>
    <n v="950.77"/>
    <n v="694.78"/>
    <n v="694.78"/>
    <s v="Low"/>
    <n v="8.4000000000000005E-2"/>
    <n v="8.4000000000000005E-2"/>
    <s v="No"/>
    <n v="14"/>
    <n v="8909.8587200000002"/>
    <n v="13310.779999999999"/>
    <n v="-4400.9212799999987"/>
    <n v="-0.49393839097821279"/>
    <n v="8.4000000000000005E-2"/>
    <n v="14"/>
    <n v="950.77"/>
    <n v="8909.8587200000002"/>
    <n v="-4400.9212799999987"/>
  </r>
  <r>
    <s v="ORD-2024-584090"/>
    <d v="2024-06-07T00:00:00"/>
    <x v="116"/>
    <s v="Q2-2024"/>
    <d v="2024-06-26T00:00:00"/>
    <d v="2024-06-26T00:00:00"/>
    <n v="19"/>
    <n v="19"/>
    <s v="No"/>
    <d v="2023-01-22T00:00:00"/>
    <x v="3"/>
    <x v="6"/>
    <s v="Berlin"/>
    <s v="Europe - Germany - Berlin"/>
    <s v="Non-Profit"/>
    <x v="2"/>
    <x v="12"/>
    <x v="0"/>
    <x v="126"/>
    <n v="1064.32"/>
    <n v="1848.39"/>
    <n v="1848.39"/>
    <s v="High"/>
    <n v="7.2999999999999995E-2"/>
    <n v="7.2999999999999995E-2"/>
    <s v="No"/>
    <n v="38"/>
    <n v="65111.38614000001"/>
    <n v="40444.159999999996"/>
    <n v="24667.226140000013"/>
    <n v="0.3788465827921631"/>
    <n v="7.2999999999999995E-2"/>
    <n v="38"/>
    <n v="1064.32"/>
    <n v="65111.38614000001"/>
    <n v="24667.226140000013"/>
  </r>
  <r>
    <s v="ORD-2025-537785"/>
    <d v="2025-08-05T00:00:00"/>
    <x v="117"/>
    <s v="Q3-2025"/>
    <d v="2025-08-14T00:00:00"/>
    <d v="2025-08-14T00:00:00"/>
    <n v="9"/>
    <n v="9"/>
    <s v="No"/>
    <d v="2023-01-19T00:00:00"/>
    <x v="3"/>
    <x v="8"/>
    <s v="London"/>
    <s v="Europe - United Kingdom - London"/>
    <s v="Non-Profit"/>
    <x v="4"/>
    <x v="6"/>
    <x v="0"/>
    <x v="127"/>
    <n v="41.76"/>
    <n v="45.19"/>
    <n v="45.19"/>
    <s v="Low"/>
    <n v="0.17899999999999999"/>
    <n v="0.17899999999999999"/>
    <s v="No"/>
    <n v="23"/>
    <n v="853.32276999999988"/>
    <n v="960.4799999999999"/>
    <n v="-107.15723000000003"/>
    <n v="-0.12557643340514638"/>
    <n v="0.17899999999999999"/>
    <n v="23"/>
    <n v="41.76"/>
    <n v="853.32276999999988"/>
    <n v="-107.15723000000003"/>
  </r>
  <r>
    <s v="ORD-2024-605518"/>
    <d v="2024-05-30T00:00:00"/>
    <x v="118"/>
    <s v="Q2-2024"/>
    <d v="2024-06-13T00:00:00"/>
    <d v="2024-06-13T00:00:00"/>
    <n v="14"/>
    <n v="14"/>
    <s v="No"/>
    <d v="2023-01-13T00:00:00"/>
    <x v="2"/>
    <x v="10"/>
    <s v="San Francisco"/>
    <s v="Americas - USA - San Francisco"/>
    <s v="Small Business"/>
    <x v="0"/>
    <x v="9"/>
    <x v="3"/>
    <x v="128"/>
    <n v="157.78"/>
    <n v="361.1"/>
    <n v="361.1"/>
    <s v="Low"/>
    <n v="0.187"/>
    <n v="0.187"/>
    <s v="No"/>
    <n v="9"/>
    <n v="2642.1686999999997"/>
    <n v="1420.02"/>
    <n v="1222.1486999999997"/>
    <n v="0.46255513510549112"/>
    <n v="0.187"/>
    <n v="9"/>
    <n v="157.78"/>
    <n v="2642.1686999999997"/>
    <n v="1222.1486999999997"/>
  </r>
  <r>
    <s v="ORD-2023-521818"/>
    <d v="2023-01-22T00:00:00"/>
    <x v="119"/>
    <s v="Q1-2023"/>
    <d v="2023-01-30T00:00:00"/>
    <d v="2023-01-30T00:00:00"/>
    <n v="8"/>
    <n v="8"/>
    <s v="No"/>
    <d v="2023-01-13T00:00:00"/>
    <x v="2"/>
    <x v="10"/>
    <s v="San Francisco"/>
    <s v="Americas - USA - San Francisco"/>
    <s v="Small Business"/>
    <x v="1"/>
    <x v="8"/>
    <x v="2"/>
    <x v="129"/>
    <n v="413.52"/>
    <n v="1004.34"/>
    <n v="1004.34"/>
    <s v="Medium"/>
    <n v="0.111"/>
    <n v="0.111"/>
    <s v="No"/>
    <n v="18"/>
    <n v="16071.44868"/>
    <n v="7443.36"/>
    <n v="8628.0886800000007"/>
    <n v="0.53685817948304593"/>
    <n v="0.111"/>
    <n v="18"/>
    <n v="413.52"/>
    <n v="16071.44868"/>
    <n v="8628.0886800000007"/>
  </r>
  <r>
    <s v="ORD-2025-650719"/>
    <d v="2025-02-12T00:00:00"/>
    <x v="120"/>
    <s v="Q1-2025"/>
    <d v="2025-02-28T00:00:00"/>
    <d v="2025-02-28T00:00:00"/>
    <n v="16"/>
    <n v="16"/>
    <s v="No"/>
    <d v="2023-01-29T00:00:00"/>
    <x v="2"/>
    <x v="5"/>
    <s v="São Paulo"/>
    <s v="Americas - Brazil - São Paulo"/>
    <s v="Non-Profit"/>
    <x v="4"/>
    <x v="5"/>
    <x v="5"/>
    <x v="130"/>
    <n v="414.95"/>
    <n v="1027.73"/>
    <n v="1027.73"/>
    <s v="Medium"/>
    <n v="6.3E-2"/>
    <n v="6.3E-2"/>
    <s v="No"/>
    <n v="8"/>
    <n v="7703.8640800000003"/>
    <n v="3319.6"/>
    <n v="4384.2640800000008"/>
    <n v="0.56909935513815568"/>
    <n v="6.3E-2"/>
    <n v="8"/>
    <n v="414.95"/>
    <n v="7703.8640800000003"/>
    <n v="4384.2640800000008"/>
  </r>
  <r>
    <s v="ORD-2025-501927"/>
    <d v="2025-03-03T00:00:00"/>
    <x v="121"/>
    <s v="Q1-2025"/>
    <d v="2025-03-24T00:00:00"/>
    <d v="2025-03-24T00:00:00"/>
    <n v="21"/>
    <n v="21"/>
    <s v="No"/>
    <d v="2023-01-15T00:00:00"/>
    <x v="0"/>
    <x v="1"/>
    <s v="Abuja"/>
    <s v="Africa - Nigeria - Abuja"/>
    <s v="Enterprise"/>
    <x v="4"/>
    <x v="10"/>
    <x v="6"/>
    <x v="131"/>
    <n v="555.95000000000005"/>
    <n v="468.09"/>
    <n v="468.09"/>
    <s v="Low"/>
    <n v="0.14199999999999999"/>
    <n v="0.14199999999999999"/>
    <s v="No"/>
    <n v="11"/>
    <n v="4417.8334199999999"/>
    <n v="6115.4500000000007"/>
    <n v="-1697.6165800000008"/>
    <n v="-0.38426450674095375"/>
    <n v="0.14199999999999999"/>
    <n v="11"/>
    <n v="555.95000000000005"/>
    <n v="4417.8334199999999"/>
    <n v="-1697.6165800000008"/>
  </r>
  <r>
    <s v="ORD-2023-430904"/>
    <d v="2023-01-27T00:00:00"/>
    <x v="122"/>
    <s v="Q1-2023"/>
    <d v="2023-01-31T00:00:00"/>
    <d v="2023-01-31T00:00:00"/>
    <n v="4"/>
    <n v="4"/>
    <s v="Yes"/>
    <d v="2023-01-19T00:00:00"/>
    <x v="3"/>
    <x v="8"/>
    <s v="Manchester"/>
    <s v="Europe - United Kingdom - Manchester"/>
    <s v="Enterprise"/>
    <x v="1"/>
    <x v="13"/>
    <x v="4"/>
    <x v="132"/>
    <n v="941.2"/>
    <n v="668.02"/>
    <n v="668.02"/>
    <s v="Low"/>
    <n v="0.22"/>
    <n v="0.22"/>
    <s v="Yes"/>
    <n v="16"/>
    <n v="8336.8896000000004"/>
    <n v="15059.2"/>
    <n v="-6722.3104000000003"/>
    <n v="-0.80633314371825193"/>
    <n v="0.22"/>
    <n v="16"/>
    <n v="941.2"/>
    <n v="8336.8896000000004"/>
    <n v="-6722.3104000000003"/>
  </r>
  <r>
    <s v="ORD-2025-354346"/>
    <d v="2025-01-09T00:00:00"/>
    <x v="123"/>
    <s v="Q1-2025"/>
    <d v="2025-01-15T00:00:00"/>
    <d v="2025-01-15T00:00:00"/>
    <n v="6"/>
    <n v="6"/>
    <s v="Yes"/>
    <d v="2023-01-12T00:00:00"/>
    <x v="1"/>
    <x v="9"/>
    <s v="Beijing"/>
    <s v="Asia - China - Beijing"/>
    <s v="Education"/>
    <x v="1"/>
    <x v="0"/>
    <x v="3"/>
    <x v="133"/>
    <n v="304.77999999999997"/>
    <n v="537.27"/>
    <n v="537.27"/>
    <s v="Low"/>
    <n v="0.187"/>
    <n v="0.187"/>
    <s v="No"/>
    <n v="8"/>
    <n v="3494.4040799999998"/>
    <n v="2438.2399999999998"/>
    <n v="1056.16408"/>
    <n v="0.3022444044307549"/>
    <n v="0.187"/>
    <n v="8"/>
    <n v="304.77999999999997"/>
    <n v="3494.4040799999998"/>
    <n v="1056.16408"/>
  </r>
  <r>
    <s v="ORD-2024-164288"/>
    <d v="2024-12-21T00:00:00"/>
    <x v="124"/>
    <s v="Q4-2024"/>
    <d v="2024-12-26T00:00:00"/>
    <d v="2024-12-26T00:00:00"/>
    <n v="5"/>
    <n v="5"/>
    <s v="Yes"/>
    <d v="2023-01-13T00:00:00"/>
    <x v="2"/>
    <x v="10"/>
    <s v="San Francisco"/>
    <s v="Americas - USA - San Francisco"/>
    <s v="Consumer"/>
    <x v="2"/>
    <x v="12"/>
    <x v="1"/>
    <x v="134"/>
    <n v="699.57"/>
    <n v="572.71"/>
    <n v="572.71"/>
    <s v="Low"/>
    <n v="0.192"/>
    <n v="0.192"/>
    <s v="No"/>
    <n v="26"/>
    <n v="12031.491680000001"/>
    <n v="18188.82"/>
    <n v="-6157.3283199999987"/>
    <n v="-0.51176765805651114"/>
    <n v="0.192"/>
    <n v="26"/>
    <n v="699.57"/>
    <n v="12031.491680000001"/>
    <n v="-6157.3283199999987"/>
  </r>
  <r>
    <s v="ORD-2023-867285"/>
    <d v="2023-04-12T00:00:00"/>
    <x v="125"/>
    <s v="Q2-2023"/>
    <d v="2023-04-17T00:00:00"/>
    <d v="2023-04-17T00:00:00"/>
    <n v="5"/>
    <n v="5"/>
    <s v="Yes"/>
    <d v="2023-01-10T00:00:00"/>
    <x v="3"/>
    <x v="7"/>
    <s v="Lyon"/>
    <s v="Europe - France - Lyon"/>
    <s v="Enterprise"/>
    <x v="4"/>
    <x v="6"/>
    <x v="5"/>
    <x v="135"/>
    <n v="1087.81"/>
    <n v="2323.87"/>
    <n v="2323.87"/>
    <s v="High"/>
    <n v="9.4E-2"/>
    <n v="9.4E-2"/>
    <s v="No"/>
    <n v="13"/>
    <n v="27370.540859999997"/>
    <n v="14141.529999999999"/>
    <n v="13229.010859999999"/>
    <n v="0.48333026839572651"/>
    <n v="9.4E-2"/>
    <n v="13"/>
    <n v="1087.81"/>
    <n v="27370.540859999997"/>
    <n v="13229.010859999999"/>
  </r>
  <r>
    <s v="ORD-2024-836421"/>
    <d v="2024-12-14T00:00:00"/>
    <x v="126"/>
    <s v="Q4-2024"/>
    <d v="2025-01-12T00:00:00"/>
    <d v="2025-01-12T00:00:00"/>
    <n v="29"/>
    <n v="29"/>
    <s v="No"/>
    <d v="2023-01-12T00:00:00"/>
    <x v="1"/>
    <x v="9"/>
    <s v="Shenzhen"/>
    <s v="Asia - China - Shenzhen"/>
    <s v="Education"/>
    <x v="1"/>
    <x v="1"/>
    <x v="0"/>
    <x v="136"/>
    <n v="1412.15"/>
    <n v="1631.04"/>
    <n v="1631.04"/>
    <s v="Medium"/>
    <n v="8.9999999999999993E-3"/>
    <n v="8.9999999999999993E-3"/>
    <s v="No"/>
    <n v="6"/>
    <n v="9698.1638399999993"/>
    <n v="8472.9000000000015"/>
    <n v="1225.2638399999978"/>
    <n v="0.12633977526203535"/>
    <n v="8.9999999999999993E-3"/>
    <n v="6"/>
    <n v="1412.15"/>
    <n v="9698.1638399999993"/>
    <n v="1225.2638399999978"/>
  </r>
  <r>
    <s v="ORD-2023-613287"/>
    <d v="2023-03-31T00:00:00"/>
    <x v="50"/>
    <s v="Q1-2023"/>
    <d v="2023-04-12T00:00:00"/>
    <d v="2023-04-12T00:00:00"/>
    <n v="12"/>
    <n v="12"/>
    <s v="No"/>
    <d v="2023-01-20T00:00:00"/>
    <x v="0"/>
    <x v="0"/>
    <s v="Mombasa"/>
    <s v="Africa - Kenya - Mombasa"/>
    <s v="Small Business"/>
    <x v="1"/>
    <x v="0"/>
    <x v="3"/>
    <x v="137"/>
    <n v="304.22000000000003"/>
    <n v="393.31"/>
    <n v="393.31"/>
    <s v="Low"/>
    <n v="0.26500000000000001"/>
    <n v="0.26500000000000001"/>
    <s v="Yes"/>
    <n v="15"/>
    <n v="4336.2427499999994"/>
    <n v="4563.3"/>
    <n v="-227.05725000000075"/>
    <n v="-5.2362670424759034E-2"/>
    <n v="0.25"/>
    <n v="15"/>
    <n v="304.22000000000003"/>
    <n v="4424.7374999999993"/>
    <n v="-138.56250000000091"/>
  </r>
  <r>
    <s v="ORD-2024-783321"/>
    <d v="2024-11-20T00:00:00"/>
    <x v="127"/>
    <s v="Q4-2024"/>
    <d v="2024-12-15T00:00:00"/>
    <d v="2024-12-15T00:00:00"/>
    <n v="25"/>
    <n v="25"/>
    <s v="No"/>
    <d v="2023-01-10T00:00:00"/>
    <x v="3"/>
    <x v="7"/>
    <s v="Paris"/>
    <s v="Europe - France - Paris"/>
    <s v="Corporate"/>
    <x v="1"/>
    <x v="3"/>
    <x v="1"/>
    <x v="138"/>
    <n v="1203.58"/>
    <n v="1856.16"/>
    <n v="1856.16"/>
    <s v="High"/>
    <n v="0.129"/>
    <n v="0.129"/>
    <s v="No"/>
    <n v="22"/>
    <n v="35567.737920000007"/>
    <n v="26478.76"/>
    <n v="9088.9779200000085"/>
    <n v="0.25553994860295032"/>
    <n v="0.129"/>
    <n v="22"/>
    <n v="1203.58"/>
    <n v="35567.737920000007"/>
    <n v="9088.9779200000085"/>
  </r>
  <r>
    <s v="ORD-2024-232632"/>
    <d v="2024-02-14T00:00:00"/>
    <x v="128"/>
    <s v="Q1-2024"/>
    <d v="2024-02-14T00:00:00"/>
    <d v="2024-02-14T00:00:00"/>
    <n v="0"/>
    <n v="0"/>
    <s v="Yes"/>
    <d v="2023-01-12T00:00:00"/>
    <x v="1"/>
    <x v="9"/>
    <s v="Beijing"/>
    <s v="Asia - China - Beijing"/>
    <s v="Corporate"/>
    <x v="3"/>
    <x v="4"/>
    <x v="6"/>
    <x v="139"/>
    <n v="65.930000000000007"/>
    <n v="84.9"/>
    <n v="84.9"/>
    <s v="Low"/>
    <n v="0.25900000000000001"/>
    <n v="0.25900000000000001"/>
    <s v="Yes"/>
    <n v="23"/>
    <n v="1446.9507000000001"/>
    <n v="1516.39"/>
    <n v="-69.439300000000003"/>
    <n v="-4.7990093926489688E-2"/>
    <n v="0.25"/>
    <n v="23"/>
    <n v="65.930000000000007"/>
    <n v="1464.5250000000001"/>
    <n v="-51.865000000000009"/>
  </r>
  <r>
    <s v="ORD-2023-906481"/>
    <d v="2023-05-02T00:00:00"/>
    <x v="129"/>
    <s v="Q2-2023"/>
    <d v="2023-05-18T00:00:00"/>
    <d v="2023-05-18T00:00:00"/>
    <n v="16"/>
    <n v="16"/>
    <s v="No"/>
    <d v="2023-01-29T00:00:00"/>
    <x v="1"/>
    <x v="4"/>
    <s v="Delhi"/>
    <s v="Asia - India - Delhi"/>
    <s v="Small Business"/>
    <x v="2"/>
    <x v="11"/>
    <x v="5"/>
    <x v="140"/>
    <n v="1463.92"/>
    <n v="2252.2399999999998"/>
    <n v="2252.2399999999998"/>
    <s v="High"/>
    <n v="0.11799999999999999"/>
    <n v="0.11799999999999999"/>
    <s v="No"/>
    <n v="44"/>
    <n v="87404.929919999995"/>
    <n v="64412.480000000003"/>
    <n v="22992.449919999992"/>
    <n v="0.26305667130040061"/>
    <n v="0.11799999999999999"/>
    <n v="44"/>
    <n v="1463.92"/>
    <n v="87404.929919999995"/>
    <n v="22992.449919999992"/>
  </r>
  <r>
    <s v="ORD-2024-902741"/>
    <d v="2024-12-23T00:00:00"/>
    <x v="130"/>
    <s v="Q4-2024"/>
    <d v="2025-01-11T00:00:00"/>
    <d v="2025-01-11T00:00:00"/>
    <n v="19"/>
    <n v="19"/>
    <s v="No"/>
    <d v="2023-01-22T00:00:00"/>
    <x v="3"/>
    <x v="6"/>
    <s v="Berlin"/>
    <s v="Europe - Germany - Berlin"/>
    <s v="Education"/>
    <x v="0"/>
    <x v="11"/>
    <x v="3"/>
    <x v="141"/>
    <n v="501.81"/>
    <n v="921.62"/>
    <n v="921.62"/>
    <s v="Medium"/>
    <n v="0.01"/>
    <n v="0.01"/>
    <s v="No"/>
    <n v="9"/>
    <n v="8211.6342000000004"/>
    <n v="4516.29"/>
    <n v="3695.3442000000005"/>
    <n v="0.45001325071202031"/>
    <n v="0.01"/>
    <n v="9"/>
    <n v="501.81"/>
    <n v="8211.6342000000004"/>
    <n v="3695.3442000000005"/>
  </r>
  <r>
    <s v="ORD-2023-912395"/>
    <d v="2023-07-26T00:00:00"/>
    <x v="131"/>
    <s v="Q3-2023"/>
    <d v="2023-08-25T00:00:00"/>
    <d v="2023-08-25T00:00:00"/>
    <n v="30"/>
    <n v="30"/>
    <s v="No"/>
    <d v="2023-01-13T00:00:00"/>
    <x v="2"/>
    <x v="10"/>
    <s v="New York"/>
    <s v="Americas - USA - New York"/>
    <s v="Consumer"/>
    <x v="0"/>
    <x v="12"/>
    <x v="6"/>
    <x v="142"/>
    <n v="1261.48"/>
    <n v="1643.18"/>
    <n v="1643.18"/>
    <s v="High"/>
    <n v="0.151"/>
    <n v="0.151"/>
    <s v="No"/>
    <n v="23"/>
    <n v="32086.37586"/>
    <n v="29014.04"/>
    <n v="3072.3358599999992"/>
    <n v="9.5752037357079045E-2"/>
    <n v="0.151"/>
    <n v="23"/>
    <n v="1261.48"/>
    <n v="32086.37586"/>
    <n v="3072.3358599999992"/>
  </r>
  <r>
    <s v="ORD-2024-389102"/>
    <d v="2024-06-15T00:00:00"/>
    <x v="132"/>
    <s v="Q2-2024"/>
    <d v="2024-07-06T00:00:00"/>
    <d v="2024-07-06T00:00:00"/>
    <n v="21"/>
    <n v="21"/>
    <s v="No"/>
    <d v="2023-01-02T00:00:00"/>
    <x v="2"/>
    <x v="3"/>
    <s v="Toronto"/>
    <s v="Americas - Canada - Toronto"/>
    <s v="Enterprise"/>
    <x v="3"/>
    <x v="4"/>
    <x v="1"/>
    <x v="143"/>
    <n v="817.23"/>
    <n v="1467.17"/>
    <n v="1467.17"/>
    <s v="Medium"/>
    <n v="0.245"/>
    <n v="0.245"/>
    <s v="Yes"/>
    <n v="9"/>
    <n v="9969.4201499999999"/>
    <n v="7355.07"/>
    <n v="2614.3501500000002"/>
    <n v="0.26223693160328893"/>
    <n v="0.245"/>
    <n v="9"/>
    <n v="817.23"/>
    <n v="9969.4201499999999"/>
    <n v="2614.3501500000002"/>
  </r>
  <r>
    <s v="ORD-2023-309373"/>
    <d v="2023-07-05T00:00:00"/>
    <x v="133"/>
    <s v="Q3-2023"/>
    <d v="2023-07-14T00:00:00"/>
    <d v="2023-07-14T00:00:00"/>
    <n v="9"/>
    <n v="9"/>
    <s v="No"/>
    <d v="2023-01-29T00:00:00"/>
    <x v="2"/>
    <x v="5"/>
    <s v="Brasília"/>
    <s v="Americas - Brazil - Brasília"/>
    <s v="Enterprise"/>
    <x v="4"/>
    <x v="5"/>
    <x v="2"/>
    <x v="144"/>
    <n v="578.85"/>
    <n v="998.76"/>
    <n v="998.76"/>
    <s v="Medium"/>
    <n v="8.2000000000000003E-2"/>
    <n v="8.2000000000000003E-2"/>
    <s v="No"/>
    <n v="28"/>
    <n v="25672.127039999999"/>
    <n v="16207.800000000001"/>
    <n v="9464.3270399999983"/>
    <n v="0.36866158480960831"/>
    <n v="8.2000000000000003E-2"/>
    <n v="28"/>
    <n v="578.85"/>
    <n v="25672.127039999999"/>
    <n v="9464.3270399999983"/>
  </r>
  <r>
    <s v="ORD-2023-825495"/>
    <d v="2023-11-30T00:00:00"/>
    <x v="134"/>
    <s v="Q4-2023"/>
    <d v="2023-11-29T00:00:00"/>
    <d v="2023-12-17T00:00:00"/>
    <n v="-1"/>
    <n v="17"/>
    <s v="No"/>
    <d v="2023-01-07T00:00:00"/>
    <x v="0"/>
    <x v="11"/>
    <s v="Durban"/>
    <s v="Africa - South Africa - Durban"/>
    <s v="Small Business"/>
    <x v="2"/>
    <x v="6"/>
    <x v="4"/>
    <x v="145"/>
    <n v="275.56"/>
    <n v="630.72"/>
    <n v="630.72"/>
    <s v="Low"/>
    <n v="0.107"/>
    <n v="0.107"/>
    <s v="No"/>
    <n v="23"/>
    <n v="12954.358080000002"/>
    <n v="6337.88"/>
    <n v="6616.4780800000017"/>
    <n v="0.5107530638831933"/>
    <n v="0.107"/>
    <n v="23"/>
    <n v="275.56"/>
    <n v="12954.358080000002"/>
    <n v="6616.4780800000017"/>
  </r>
  <r>
    <s v="ORD-2025-244832"/>
    <d v="2025-09-11T00:00:00"/>
    <x v="135"/>
    <s v="Q3-2025"/>
    <d v="2025-09-28T00:00:00"/>
    <d v="2025-09-28T00:00:00"/>
    <n v="17"/>
    <n v="17"/>
    <s v="No"/>
    <d v="2023-01-20T00:00:00"/>
    <x v="0"/>
    <x v="0"/>
    <s v="Nairobi"/>
    <s v="Africa - Kenya - Nairobi"/>
    <s v="Non-Profit"/>
    <x v="3"/>
    <x v="1"/>
    <x v="4"/>
    <x v="146"/>
    <n v="891.46"/>
    <n v="728.61"/>
    <n v="728.61"/>
    <s v="Low"/>
    <n v="0.185"/>
    <n v="0.185"/>
    <s v="No"/>
    <n v="6"/>
    <n v="3562.9028999999996"/>
    <n v="5348.76"/>
    <n v="-1785.8571000000006"/>
    <n v="-0.50123653383874167"/>
    <n v="0.185"/>
    <n v="6"/>
    <n v="891.46"/>
    <n v="3562.9028999999996"/>
    <n v="-1785.8571000000006"/>
  </r>
  <r>
    <s v="ORD-2024-211453"/>
    <d v="2024-04-04T00:00:00"/>
    <x v="136"/>
    <s v="Q2-2024"/>
    <d v="2024-04-24T00:00:00"/>
    <d v="2024-04-24T00:00:00"/>
    <n v="20"/>
    <n v="20"/>
    <s v="No"/>
    <d v="2023-01-22T00:00:00"/>
    <x v="3"/>
    <x v="6"/>
    <s v="Frankfurt"/>
    <s v="Europe - Germany - Frankfurt"/>
    <s v="Non-Profit"/>
    <x v="4"/>
    <x v="7"/>
    <x v="6"/>
    <x v="147"/>
    <n v="683.42"/>
    <n v="951.51"/>
    <n v="951.51"/>
    <s v="Medium"/>
    <n v="0"/>
    <n v="0"/>
    <s v="No"/>
    <n v="14"/>
    <n v="13321.14"/>
    <n v="9567.8799999999992"/>
    <n v="3753.26"/>
    <n v="0.28175216235247136"/>
    <n v="0"/>
    <n v="14"/>
    <n v="683.42"/>
    <n v="13321.14"/>
    <n v="3753.26"/>
  </r>
  <r>
    <s v="ORD-2023-192324"/>
    <d v="2023-09-14T00:00:00"/>
    <x v="137"/>
    <s v="Q3-2023"/>
    <d v="2023-09-16T00:00:00"/>
    <d v="2023-09-16T00:00:00"/>
    <n v="2"/>
    <n v="2"/>
    <s v="Yes"/>
    <d v="2023-01-10T00:00:00"/>
    <x v="3"/>
    <x v="7"/>
    <s v="Lyon"/>
    <s v="Europe - France - Lyon"/>
    <s v="Non-Profit"/>
    <x v="4"/>
    <x v="5"/>
    <x v="1"/>
    <x v="148"/>
    <n v="376.83"/>
    <n v="732.88"/>
    <n v="732.88"/>
    <s v="Low"/>
    <n v="0.188"/>
    <n v="0.188"/>
    <s v="No"/>
    <n v="25"/>
    <n v="14877.464000000002"/>
    <n v="9420.75"/>
    <n v="5456.7140000000018"/>
    <n v="0.36677716040852132"/>
    <n v="0.188"/>
    <n v="25"/>
    <n v="376.83"/>
    <n v="14877.464000000002"/>
    <n v="5456.7140000000018"/>
  </r>
  <r>
    <s v="ORD-2024-438404"/>
    <d v="2024-09-23T00:00:00"/>
    <x v="138"/>
    <s v="Q3-2024"/>
    <d v="2024-10-18T00:00:00"/>
    <d v="2024-10-18T00:00:00"/>
    <n v="25"/>
    <n v="25"/>
    <s v="No"/>
    <d v="2023-01-02T00:00:00"/>
    <x v="2"/>
    <x v="3"/>
    <s v="Vancouver"/>
    <s v="Americas - Canada - Vancouver"/>
    <s v="Small Business"/>
    <x v="1"/>
    <x v="13"/>
    <x v="3"/>
    <x v="149"/>
    <n v="1297"/>
    <n v="2411.52"/>
    <n v="2411.52"/>
    <s v="High"/>
    <n v="2.1000000000000001E-2"/>
    <n v="2.1000000000000001E-2"/>
    <s v="No"/>
    <n v="18"/>
    <n v="42495.805439999996"/>
    <n v="23346"/>
    <n v="19149.805439999996"/>
    <n v="0.45062813239385913"/>
    <n v="2.1000000000000001E-2"/>
    <n v="18"/>
    <n v="1297"/>
    <n v="42495.805439999996"/>
    <n v="19149.805439999996"/>
  </r>
  <r>
    <s v="ORD-2025-246470"/>
    <d v="2025-04-16T00:00:00"/>
    <x v="139"/>
    <s v="Q2-2025"/>
    <d v="2025-05-16T00:00:00"/>
    <d v="2025-05-16T00:00:00"/>
    <n v="30"/>
    <n v="30"/>
    <s v="No"/>
    <d v="2023-01-02T00:00:00"/>
    <x v="2"/>
    <x v="3"/>
    <s v="Montreal"/>
    <s v="Americas - Canada - Montreal"/>
    <s v="Enterprise"/>
    <x v="3"/>
    <x v="11"/>
    <x v="1"/>
    <x v="150"/>
    <n v="763.32"/>
    <n v="568.29"/>
    <n v="568.29"/>
    <s v="Low"/>
    <n v="0.13100000000000001"/>
    <n v="0.13100000000000001"/>
    <s v="No"/>
    <n v="16"/>
    <n v="7901.5041599999995"/>
    <n v="12213.12"/>
    <n v="-4311.6158400000013"/>
    <n v="-0.54567026134426555"/>
    <n v="0.13100000000000001"/>
    <n v="16"/>
    <n v="763.32"/>
    <n v="7901.5041599999995"/>
    <n v="-4311.6158400000013"/>
  </r>
  <r>
    <s v="ORD-2023-497686"/>
    <d v="2023-07-03T00:00:00"/>
    <x v="140"/>
    <s v="Q3-2023"/>
    <d v="2023-07-23T00:00:00"/>
    <d v="2023-07-23T00:00:00"/>
    <n v="20"/>
    <n v="20"/>
    <s v="No"/>
    <d v="2023-01-07T00:00:00"/>
    <x v="0"/>
    <x v="11"/>
    <s v="Johannesburg"/>
    <s v="Africa - South Africa - Johannesburg"/>
    <s v="Small Business"/>
    <x v="3"/>
    <x v="9"/>
    <x v="4"/>
    <x v="151"/>
    <n v="1001.96"/>
    <n v="1254.95"/>
    <n v="1254.95"/>
    <s v="Medium"/>
    <n v="4.4999999999999998E-2"/>
    <n v="4.4999999999999998E-2"/>
    <s v="No"/>
    <n v="18"/>
    <n v="21572.590500000002"/>
    <n v="18035.28"/>
    <n v="3537.3105000000032"/>
    <n v="0.16397244920585699"/>
    <n v="4.4999999999999998E-2"/>
    <n v="18"/>
    <n v="1001.96"/>
    <n v="21572.590500000002"/>
    <n v="3537.3105000000032"/>
  </r>
  <r>
    <s v="ORD-2023-596758"/>
    <d v="2023-12-07T00:00:00"/>
    <x v="141"/>
    <s v="Q4-2023"/>
    <d v="2023-12-05T00:00:00"/>
    <d v="2023-12-15T00:00:00"/>
    <n v="-2"/>
    <n v="8"/>
    <s v="No"/>
    <d v="2023-03-03T00:00:00"/>
    <x v="1"/>
    <x v="2"/>
    <s v="Tokyo"/>
    <s v="Asia - Japan - Tokyo"/>
    <s v="Non-Profit"/>
    <x v="2"/>
    <x v="10"/>
    <x v="1"/>
    <x v="152"/>
    <n v="1097.5899999999999"/>
    <n v="845.55"/>
    <n v="845.55"/>
    <s v="Medium"/>
    <n v="0.184"/>
    <n v="0.184"/>
    <s v="No"/>
    <n v="6"/>
    <n v="4139.8127999999997"/>
    <n v="6585.5399999999991"/>
    <n v="-2445.7271999999994"/>
    <n v="-0.59078207594314402"/>
    <n v="0.184"/>
    <n v="6"/>
    <n v="1097.5899999999999"/>
    <n v="4139.8127999999997"/>
    <n v="-2445.7271999999994"/>
  </r>
  <r>
    <s v="ORD-2024-201376"/>
    <d v="2024-02-18T00:00:00"/>
    <x v="142"/>
    <s v="Q1-2024"/>
    <d v="2024-03-04T00:00:00"/>
    <d v="2024-03-04T00:00:00"/>
    <n v="15"/>
    <n v="15"/>
    <s v="No"/>
    <d v="2023-01-20T00:00:00"/>
    <x v="0"/>
    <x v="0"/>
    <s v="Kisumu"/>
    <s v="Africa - Kenya - Kisumu"/>
    <s v="Education"/>
    <x v="4"/>
    <x v="11"/>
    <x v="1"/>
    <x v="153"/>
    <n v="928.68"/>
    <n v="2145.17"/>
    <n v="2145.17"/>
    <s v="High"/>
    <n v="0.13600000000000001"/>
    <n v="0.13600000000000001"/>
    <s v="No"/>
    <n v="16"/>
    <n v="29654.83008"/>
    <n v="14858.88"/>
    <n v="14795.950080000001"/>
    <n v="0.49893896003062177"/>
    <n v="0.13600000000000001"/>
    <n v="16"/>
    <n v="928.68"/>
    <n v="29654.83008"/>
    <n v="14795.950080000001"/>
  </r>
  <r>
    <s v="ORD-2023-842488"/>
    <d v="2023-10-31T00:00:00"/>
    <x v="143"/>
    <s v="Q4-2023"/>
    <d v="2023-11-02T00:00:00"/>
    <d v="2023-11-02T00:00:00"/>
    <n v="2"/>
    <n v="2"/>
    <s v="Yes"/>
    <d v="2023-01-20T00:00:00"/>
    <x v="0"/>
    <x v="0"/>
    <s v="Kisumu"/>
    <s v="Africa - Kenya - Kisumu"/>
    <s v="Education"/>
    <x v="0"/>
    <x v="7"/>
    <x v="6"/>
    <x v="154"/>
    <n v="867.89"/>
    <n v="1349.94"/>
    <n v="1349.94"/>
    <s v="Medium"/>
    <n v="0.184"/>
    <n v="0.184"/>
    <s v="No"/>
    <n v="10"/>
    <n v="11015.510400000003"/>
    <n v="8678.9"/>
    <n v="2336.6104000000032"/>
    <n v="0.21212003031652557"/>
    <n v="0.184"/>
    <n v="10"/>
    <n v="867.89"/>
    <n v="11015.510400000003"/>
    <n v="2336.6104000000032"/>
  </r>
  <r>
    <s v="ORD-2024-136321"/>
    <d v="2024-08-07T00:00:00"/>
    <x v="144"/>
    <s v="Q3-2024"/>
    <d v="2024-08-17T00:00:00"/>
    <d v="2024-08-17T00:00:00"/>
    <n v="10"/>
    <n v="10"/>
    <s v="No"/>
    <d v="2023-03-03T00:00:00"/>
    <x v="1"/>
    <x v="2"/>
    <s v="Osaka"/>
    <s v="Asia - Japan - Osaka"/>
    <s v="Consumer"/>
    <x v="1"/>
    <x v="11"/>
    <x v="2"/>
    <x v="155"/>
    <n v="436.58"/>
    <n v="527.48"/>
    <n v="527.48"/>
    <s v="Low"/>
    <n v="0.111"/>
    <n v="0.111"/>
    <s v="No"/>
    <n v="19"/>
    <n v="8909.6646800000017"/>
    <n v="8295.02"/>
    <n v="614.64468000000124"/>
    <n v="6.8986286473802644E-2"/>
    <n v="0.111"/>
    <n v="19"/>
    <n v="436.58"/>
    <n v="8909.6646800000017"/>
    <n v="614.64468000000124"/>
  </r>
  <r>
    <s v="ORD-2024-764468"/>
    <d v="2024-02-01T00:00:00"/>
    <x v="145"/>
    <s v="Q1-2024"/>
    <d v="2024-02-21T00:00:00"/>
    <d v="2024-02-21T00:00:00"/>
    <n v="20"/>
    <n v="20"/>
    <s v="No"/>
    <d v="2023-01-10T00:00:00"/>
    <x v="3"/>
    <x v="7"/>
    <s v="Paris"/>
    <s v="Europe - France - Paris"/>
    <s v="Small Business"/>
    <x v="2"/>
    <x v="8"/>
    <x v="2"/>
    <x v="156"/>
    <n v="656.2"/>
    <n v="1467.17"/>
    <n v="1467.17"/>
    <s v="Medium"/>
    <n v="1.7999999999999999E-2"/>
    <n v="1.7999999999999999E-2"/>
    <s v="No"/>
    <n v="5"/>
    <n v="7203.8047000000006"/>
    <n v="3281"/>
    <n v="3922.8047000000006"/>
    <n v="0.54454623124360946"/>
    <n v="1.7999999999999999E-2"/>
    <n v="5"/>
    <n v="656.2"/>
    <n v="7203.8047000000006"/>
    <n v="3922.8047000000006"/>
  </r>
  <r>
    <s v="ORD-2024-553449"/>
    <d v="2024-08-27T00:00:00"/>
    <x v="38"/>
    <s v="Q3-2024"/>
    <d v="2024-09-18T00:00:00"/>
    <d v="2024-09-18T00:00:00"/>
    <n v="22"/>
    <n v="22"/>
    <s v="No"/>
    <d v="2023-01-29T00:00:00"/>
    <x v="1"/>
    <x v="4"/>
    <s v="Delhi"/>
    <s v="Asia - India - Delhi"/>
    <s v="Consumer"/>
    <x v="4"/>
    <x v="5"/>
    <x v="0"/>
    <x v="157"/>
    <n v="896.75"/>
    <n v="1651.14"/>
    <n v="1651.14"/>
    <s v="High"/>
    <n v="2.5000000000000001E-2"/>
    <n v="2.5000000000000001E-2"/>
    <s v="No"/>
    <n v="15"/>
    <n v="24147.922500000001"/>
    <n v="13451.25"/>
    <n v="10696.672500000001"/>
    <n v="0.44296450346815552"/>
    <n v="2.5000000000000001E-2"/>
    <n v="15"/>
    <n v="896.75"/>
    <n v="24147.922500000001"/>
    <n v="10696.672500000001"/>
  </r>
  <r>
    <s v="ORD-2025-766923"/>
    <d v="2025-02-15T00:00:00"/>
    <x v="146"/>
    <s v="Q1-2025"/>
    <d v="2025-02-15T00:00:00"/>
    <d v="2025-02-15T00:00:00"/>
    <n v="0"/>
    <n v="0"/>
    <s v="Yes"/>
    <d v="2023-01-22T00:00:00"/>
    <x v="3"/>
    <x v="6"/>
    <s v="Frankfurt"/>
    <s v="Europe - Germany - Frankfurt"/>
    <s v="Small Business"/>
    <x v="2"/>
    <x v="4"/>
    <x v="6"/>
    <x v="158"/>
    <n v="815.83"/>
    <n v="1982.18"/>
    <n v="1982.18"/>
    <s v="High"/>
    <n v="0.127"/>
    <n v="0.127"/>
    <s v="No"/>
    <n v="6"/>
    <n v="10382.65884"/>
    <n v="4894.9800000000005"/>
    <n v="5487.6788399999996"/>
    <n v="0.52854272923408507"/>
    <n v="0.127"/>
    <n v="6"/>
    <n v="815.83"/>
    <n v="10382.65884"/>
    <n v="5487.6788399999996"/>
  </r>
  <r>
    <s v="ORD-2025-418232"/>
    <d v="2025-08-01T00:00:00"/>
    <x v="90"/>
    <s v="Q3-2025"/>
    <d v="2025-08-21T00:00:00"/>
    <d v="2025-08-21T00:00:00"/>
    <n v="20"/>
    <n v="20"/>
    <s v="No"/>
    <d v="2023-01-12T00:00:00"/>
    <x v="1"/>
    <x v="9"/>
    <s v="Shanghai"/>
    <s v="Asia - China - Shanghai"/>
    <s v="Corporate"/>
    <x v="4"/>
    <x v="2"/>
    <x v="3"/>
    <x v="159"/>
    <n v="1220.4100000000001"/>
    <n v="2552.2199999999998"/>
    <n v="2552.2199999999998"/>
    <s v="High"/>
    <n v="0.18099999999999999"/>
    <n v="0.18099999999999999"/>
    <s v="No"/>
    <n v="14"/>
    <n v="29263.754519999995"/>
    <n v="17085.740000000002"/>
    <n v="12178.014519999993"/>
    <n v="0.41614668793360271"/>
    <n v="0.18099999999999999"/>
    <n v="14"/>
    <n v="1220.4100000000001"/>
    <n v="29263.754519999995"/>
    <n v="12178.014519999993"/>
  </r>
  <r>
    <s v="ORD-2023-848013"/>
    <d v="2023-02-20T00:00:00"/>
    <x v="147"/>
    <s v="Q1-2023"/>
    <d v="2023-03-04T00:00:00"/>
    <d v="2023-03-04T00:00:00"/>
    <n v="12"/>
    <n v="12"/>
    <s v="No"/>
    <d v="2023-01-29T00:00:00"/>
    <x v="1"/>
    <x v="4"/>
    <s v="Delhi"/>
    <s v="Asia - India - Delhi"/>
    <s v="Consumer"/>
    <x v="3"/>
    <x v="12"/>
    <x v="5"/>
    <x v="160"/>
    <n v="299.75"/>
    <n v="523.01"/>
    <n v="523.01"/>
    <s v="Low"/>
    <n v="0.157"/>
    <n v="0.157"/>
    <s v="No"/>
    <n v="50"/>
    <n v="22044.871499999997"/>
    <n v="14987.5"/>
    <n v="7057.3714999999975"/>
    <n v="0.32013665854210122"/>
    <n v="0.157"/>
    <n v="50"/>
    <n v="299.75"/>
    <n v="22044.871499999997"/>
    <n v="7057.3714999999975"/>
  </r>
  <r>
    <s v="ORD-2024-357368"/>
    <d v="2024-10-30T00:00:00"/>
    <x v="148"/>
    <s v="Q4-2024"/>
    <d v="2024-11-24T00:00:00"/>
    <d v="2024-11-24T00:00:00"/>
    <n v="25"/>
    <n v="25"/>
    <s v="No"/>
    <d v="2023-01-12T00:00:00"/>
    <x v="1"/>
    <x v="9"/>
    <s v="Shenzhen"/>
    <s v="Asia - China - Shenzhen"/>
    <s v="Small Business"/>
    <x v="1"/>
    <x v="6"/>
    <x v="0"/>
    <x v="161"/>
    <n v="811.05"/>
    <n v="1217.71"/>
    <n v="1217.71"/>
    <s v="Medium"/>
    <n v="7.1999999999999995E-2"/>
    <n v="7.1999999999999995E-2"/>
    <s v="No"/>
    <n v="5"/>
    <n v="5650.1744000000008"/>
    <n v="4055.25"/>
    <n v="1594.9244000000008"/>
    <n v="0.28227879125288602"/>
    <n v="7.1999999999999995E-2"/>
    <n v="5"/>
    <n v="811.05"/>
    <n v="5650.1744000000008"/>
    <n v="1594.9244000000008"/>
  </r>
  <r>
    <s v="ORD-2024-219735"/>
    <d v="2024-04-03T00:00:00"/>
    <x v="149"/>
    <s v="Q2-2024"/>
    <d v="2024-04-07T00:00:00"/>
    <d v="2024-04-07T00:00:00"/>
    <n v="4"/>
    <n v="4"/>
    <s v="Yes"/>
    <d v="2023-01-29T00:00:00"/>
    <x v="2"/>
    <x v="5"/>
    <s v="Brasília"/>
    <s v="Americas - Brazil - Brasília"/>
    <s v="Non-Profit"/>
    <x v="4"/>
    <x v="13"/>
    <x v="3"/>
    <x v="162"/>
    <n v="1023.27"/>
    <n v="1343.64"/>
    <n v="1343.64"/>
    <s v="Medium"/>
    <n v="0.13300000000000001"/>
    <n v="0.13300000000000001"/>
    <s v="No"/>
    <n v="7"/>
    <n v="8154.5511600000009"/>
    <n v="7162.8899999999994"/>
    <n v="991.66116000000147"/>
    <n v="0.12160830688810116"/>
    <n v="0.13300000000000001"/>
    <n v="7"/>
    <n v="1023.27"/>
    <n v="8154.5511600000009"/>
    <n v="991.66116000000147"/>
  </r>
  <r>
    <s v="ORD-2023-240507"/>
    <d v="2023-03-25T00:00:00"/>
    <x v="150"/>
    <s v="Q1-2023"/>
    <d v="2023-03-26T00:00:00"/>
    <d v="2023-03-26T00:00:00"/>
    <n v="1"/>
    <n v="1"/>
    <s v="Yes"/>
    <d v="2023-03-03T00:00:00"/>
    <x v="1"/>
    <x v="2"/>
    <s v="Osaka"/>
    <s v="Asia - Japan - Osaka"/>
    <s v="Small Business"/>
    <x v="3"/>
    <x v="2"/>
    <x v="5"/>
    <x v="163"/>
    <n v="135.12"/>
    <n v="301.7"/>
    <n v="301.7"/>
    <s v="Low"/>
    <n v="0.14000000000000001"/>
    <n v="0.14000000000000001"/>
    <s v="No"/>
    <n v="47"/>
    <n v="12194.714"/>
    <n v="6350.64"/>
    <n v="5844.0739999999996"/>
    <n v="0.47923009920527859"/>
    <n v="0.14000000000000001"/>
    <n v="47"/>
    <n v="135.12"/>
    <n v="12194.714"/>
    <n v="5844.0739999999996"/>
  </r>
  <r>
    <s v="ORD-2024-134084"/>
    <d v="2024-06-04T00:00:00"/>
    <x v="151"/>
    <s v="Q2-2024"/>
    <d v="2024-06-16T00:00:00"/>
    <d v="2024-06-16T00:00:00"/>
    <n v="12"/>
    <n v="12"/>
    <s v="No"/>
    <d v="2023-01-12T00:00:00"/>
    <x v="1"/>
    <x v="9"/>
    <s v="Shanghai"/>
    <s v="Asia - China - Shanghai"/>
    <s v="Corporate"/>
    <x v="0"/>
    <x v="1"/>
    <x v="1"/>
    <x v="164"/>
    <n v="918.42"/>
    <n v="1511.71"/>
    <n v="1511.71"/>
    <s v="Medium"/>
    <n v="0.02"/>
    <n v="0.02"/>
    <s v="No"/>
    <n v="8"/>
    <n v="11851.806399999999"/>
    <n v="7347.36"/>
    <n v="4504.4463999999998"/>
    <n v="0.38006412254590999"/>
    <n v="0.02"/>
    <n v="8"/>
    <n v="918.42"/>
    <n v="11851.806399999999"/>
    <n v="4504.4463999999998"/>
  </r>
  <r>
    <s v="ORD-2023-884625"/>
    <d v="2023-02-19T00:00:00"/>
    <x v="152"/>
    <s v="Q1-2023"/>
    <d v="2023-03-12T00:00:00"/>
    <d v="2023-03-12T00:00:00"/>
    <n v="21"/>
    <n v="21"/>
    <s v="No"/>
    <d v="2023-01-22T00:00:00"/>
    <x v="3"/>
    <x v="6"/>
    <s v="Berlin"/>
    <s v="Europe - Germany - Berlin"/>
    <s v="Small Business"/>
    <x v="4"/>
    <x v="4"/>
    <x v="5"/>
    <x v="165"/>
    <n v="1234.81"/>
    <n v="2055.2399999999998"/>
    <n v="2055.2399999999998"/>
    <s v="High"/>
    <n v="5.2999999999999999E-2"/>
    <n v="5.2999999999999999E-2"/>
    <s v="No"/>
    <n v="44"/>
    <n v="85637.740319999997"/>
    <n v="54331.64"/>
    <n v="31306.100319999998"/>
    <n v="0.36556429680441616"/>
    <n v="5.2999999999999999E-2"/>
    <n v="44"/>
    <n v="1234.81"/>
    <n v="85637.740319999997"/>
    <n v="31306.100319999998"/>
  </r>
  <r>
    <s v="ORD-2023-157993"/>
    <d v="2023-04-18T00:00:00"/>
    <x v="153"/>
    <s v="Q2-2023"/>
    <d v="2023-05-18T00:00:00"/>
    <d v="2023-05-18T00:00:00"/>
    <n v="30"/>
    <n v="30"/>
    <s v="No"/>
    <d v="2023-01-12T00:00:00"/>
    <x v="1"/>
    <x v="9"/>
    <s v="Shenzhen"/>
    <s v="Asia - China - Shenzhen"/>
    <s v="Non-Profit"/>
    <x v="0"/>
    <x v="10"/>
    <x v="4"/>
    <x v="166"/>
    <n v="329.03"/>
    <n v="391.15"/>
    <n v="391.15"/>
    <s v="Low"/>
    <n v="0.19700000000000001"/>
    <n v="0.19700000000000001"/>
    <s v="No"/>
    <n v="46"/>
    <n v="14448.298699999998"/>
    <n v="15135.38"/>
    <n v="-687.08130000000165"/>
    <n v="-4.7554477815440081E-2"/>
    <n v="0.19700000000000001"/>
    <n v="46"/>
    <n v="329.03"/>
    <n v="14448.298699999998"/>
    <n v="-687.08130000000165"/>
  </r>
  <r>
    <s v="ORD-2024-329104"/>
    <d v="2024-05-23T00:00:00"/>
    <x v="154"/>
    <s v="Q2-2024"/>
    <d v="2024-06-14T00:00:00"/>
    <d v="2024-06-14T00:00:00"/>
    <n v="22"/>
    <n v="22"/>
    <s v="No"/>
    <d v="2023-01-10T00:00:00"/>
    <x v="3"/>
    <x v="7"/>
    <s v="Marseille"/>
    <s v="Europe - France - Marseille"/>
    <s v="Small Business"/>
    <x v="1"/>
    <x v="13"/>
    <x v="5"/>
    <x v="167"/>
    <n v="1481.74"/>
    <n v="1848.97"/>
    <n v="1848.97"/>
    <s v="High"/>
    <n v="0.254"/>
    <n v="0.254"/>
    <s v="Yes"/>
    <n v="9"/>
    <n v="12413.98458"/>
    <n v="13335.66"/>
    <n v="-921.67541999999958"/>
    <n v="-7.4244930309072407E-2"/>
    <n v="0.25"/>
    <n v="9"/>
    <n v="1481.74"/>
    <n v="12480.547500000001"/>
    <n v="-855.11249999999927"/>
  </r>
  <r>
    <s v="ORD-2023-304451"/>
    <d v="2023-10-07T00:00:00"/>
    <x v="155"/>
    <s v="Q4-2023"/>
    <d v="2023-10-23T00:00:00"/>
    <d v="2023-10-23T00:00:00"/>
    <n v="16"/>
    <n v="16"/>
    <s v="No"/>
    <d v="2023-01-29T00:00:00"/>
    <x v="1"/>
    <x v="4"/>
    <s v="Hyderabad"/>
    <s v="Asia - India - Hyderabad"/>
    <s v="Consumer"/>
    <x v="0"/>
    <x v="3"/>
    <x v="5"/>
    <x v="168"/>
    <n v="906.81"/>
    <n v="1395.56"/>
    <n v="1395.56"/>
    <s v="Medium"/>
    <n v="0.185"/>
    <n v="0.185"/>
    <s v="No"/>
    <n v="6"/>
    <n v="6824.2884000000004"/>
    <n v="5440.86"/>
    <n v="1383.4284000000007"/>
    <n v="0.20272126834498974"/>
    <n v="0.185"/>
    <n v="6"/>
    <n v="906.81"/>
    <n v="6824.2884000000004"/>
    <n v="1383.4284000000007"/>
  </r>
  <r>
    <s v="ORD-2024-942981"/>
    <d v="2024-10-09T00:00:00"/>
    <x v="156"/>
    <s v="Q4-2024"/>
    <d v="2024-11-08T00:00:00"/>
    <d v="2024-11-08T00:00:00"/>
    <n v="30"/>
    <n v="30"/>
    <s v="No"/>
    <d v="2023-01-19T00:00:00"/>
    <x v="3"/>
    <x v="8"/>
    <s v="Manchester"/>
    <s v="Europe - United Kingdom - Manchester"/>
    <s v="Small Business"/>
    <x v="3"/>
    <x v="1"/>
    <x v="0"/>
    <x v="169"/>
    <n v="343.85"/>
    <n v="538.04"/>
    <n v="538.04"/>
    <s v="Low"/>
    <n v="0.13900000000000001"/>
    <n v="0.13900000000000001"/>
    <s v="No"/>
    <n v="5"/>
    <n v="2316.2621999999997"/>
    <n v="1719.25"/>
    <n v="597.01219999999967"/>
    <n v="0.25774810813732563"/>
    <n v="0.13900000000000001"/>
    <n v="5"/>
    <n v="343.85"/>
    <n v="2316.2621999999997"/>
    <n v="597.01219999999967"/>
  </r>
  <r>
    <s v="ORD-2024-605629"/>
    <d v="2024-07-15T00:00:00"/>
    <x v="157"/>
    <s v="Q3-2024"/>
    <d v="2024-07-15T00:00:00"/>
    <d v="2024-07-15T00:00:00"/>
    <n v="0"/>
    <n v="0"/>
    <s v="Yes"/>
    <d v="2023-03-03T00:00:00"/>
    <x v="1"/>
    <x v="2"/>
    <s v="Tokyo"/>
    <s v="Asia - Japan - Tokyo"/>
    <s v="Small Business"/>
    <x v="2"/>
    <x v="3"/>
    <x v="6"/>
    <x v="170"/>
    <n v="801.77"/>
    <n v="1218.92"/>
    <n v="1218.92"/>
    <s v="Medium"/>
    <n v="0.254"/>
    <n v="0.254"/>
    <s v="Yes"/>
    <n v="16"/>
    <n v="14549.029120000001"/>
    <n v="12828.32"/>
    <n v="1720.7091200000013"/>
    <n v="0.11826968698788344"/>
    <n v="0.25"/>
    <n v="16"/>
    <n v="801.77"/>
    <n v="14627.04"/>
    <n v="1798.7200000000012"/>
  </r>
  <r>
    <s v="ORD-2023-450877"/>
    <d v="2023-09-21T00:00:00"/>
    <x v="158"/>
    <s v="Q3-2023"/>
    <d v="2023-10-10T00:00:00"/>
    <d v="2023-10-10T00:00:00"/>
    <n v="19"/>
    <n v="19"/>
    <s v="No"/>
    <d v="2023-03-03T00:00:00"/>
    <x v="1"/>
    <x v="2"/>
    <s v="Tokyo"/>
    <s v="Asia - Japan - Tokyo"/>
    <s v="Education"/>
    <x v="1"/>
    <x v="14"/>
    <x v="0"/>
    <x v="171"/>
    <n v="845.63"/>
    <n v="2062.12"/>
    <n v="2062.12"/>
    <s v="High"/>
    <n v="0.13400000000000001"/>
    <n v="0.13400000000000001"/>
    <s v="No"/>
    <n v="5"/>
    <n v="8928.9795999999988"/>
    <n v="4228.1499999999996"/>
    <n v="4700.8295999999991"/>
    <n v="0.52646884757133949"/>
    <n v="0.13400000000000001"/>
    <n v="5"/>
    <n v="845.63"/>
    <n v="8928.9795999999988"/>
    <n v="4700.8295999999991"/>
  </r>
  <r>
    <s v="ORD-2023-286994"/>
    <d v="2023-02-24T00:00:00"/>
    <x v="159"/>
    <s v="Q1-2023"/>
    <d v="2023-03-09T00:00:00"/>
    <d v="2023-03-09T00:00:00"/>
    <n v="13"/>
    <n v="13"/>
    <s v="No"/>
    <d v="2023-01-13T00:00:00"/>
    <x v="2"/>
    <x v="10"/>
    <s v="New York"/>
    <s v="Americas - USA - New York"/>
    <s v="Enterprise"/>
    <x v="1"/>
    <x v="12"/>
    <x v="0"/>
    <x v="172"/>
    <n v="6.85"/>
    <n v="10.18"/>
    <n v="10.18"/>
    <s v="Low"/>
    <n v="4.7E-2"/>
    <n v="4.7E-2"/>
    <s v="No"/>
    <n v="10"/>
    <n v="97.0154"/>
    <n v="68.5"/>
    <n v="28.5154"/>
    <n v="0.2939265312517394"/>
    <n v="4.7E-2"/>
    <n v="10"/>
    <n v="6.85"/>
    <n v="97.0154"/>
    <n v="28.5154"/>
  </r>
  <r>
    <s v="ORD-2025-700847"/>
    <d v="2025-05-21T00:00:00"/>
    <x v="9"/>
    <s v="Q2-2025"/>
    <d v="2025-05-19T00:00:00"/>
    <d v="2025-06-01T00:00:00"/>
    <n v="-2"/>
    <n v="11"/>
    <s v="No"/>
    <d v="2023-01-07T00:00:00"/>
    <x v="0"/>
    <x v="11"/>
    <s v="Johannesburg"/>
    <s v="Africa - South Africa - Johannesburg"/>
    <s v="Non-Profit"/>
    <x v="3"/>
    <x v="7"/>
    <x v="4"/>
    <x v="173"/>
    <n v="1263.8399999999999"/>
    <n v="2281.7199999999998"/>
    <n v="2281.7199999999998"/>
    <s v="High"/>
    <n v="7.8E-2"/>
    <n v="7.8E-2"/>
    <s v="No"/>
    <n v="15"/>
    <n v="31556.187599999997"/>
    <n v="18957.599999999999"/>
    <n v="12598.587599999999"/>
    <n v="0.39924301882398494"/>
    <n v="7.8E-2"/>
    <n v="15"/>
    <n v="1263.8399999999999"/>
    <n v="31556.187599999997"/>
    <n v="12598.587599999999"/>
  </r>
  <r>
    <s v="ORD-2024-970848"/>
    <d v="2024-05-23T00:00:00"/>
    <x v="154"/>
    <s v="Q2-2024"/>
    <d v="2024-06-03T00:00:00"/>
    <d v="2024-06-03T00:00:00"/>
    <n v="11"/>
    <n v="11"/>
    <s v="No"/>
    <d v="2023-01-07T00:00:00"/>
    <x v="0"/>
    <x v="11"/>
    <s v="Johannesburg"/>
    <s v="Africa - South Africa - Johannesburg"/>
    <s v="Small Business"/>
    <x v="3"/>
    <x v="9"/>
    <x v="1"/>
    <x v="174"/>
    <n v="180.89"/>
    <n v="249.57"/>
    <n v="249.57"/>
    <s v="Low"/>
    <n v="2.1999999999999999E-2"/>
    <n v="2.1999999999999999E-2"/>
    <s v="No"/>
    <n v="8"/>
    <n v="1952.6356799999999"/>
    <n v="1447.12"/>
    <n v="505.51567999999997"/>
    <n v="0.25888888806948362"/>
    <n v="2.1999999999999999E-2"/>
    <n v="8"/>
    <n v="180.89"/>
    <n v="1952.6356799999999"/>
    <n v="505.51567999999997"/>
  </r>
  <r>
    <s v="ORD-2025-845715"/>
    <d v="2025-04-14T00:00:00"/>
    <x v="160"/>
    <s v="Q2-2025"/>
    <d v="2025-05-04T00:00:00"/>
    <d v="2025-05-04T00:00:00"/>
    <n v="20"/>
    <n v="20"/>
    <s v="No"/>
    <d v="2023-01-19T00:00:00"/>
    <x v="3"/>
    <x v="8"/>
    <s v="Birmingham"/>
    <s v="Europe - United Kingdom - Birmingham"/>
    <s v="Enterprise"/>
    <x v="2"/>
    <x v="11"/>
    <x v="5"/>
    <x v="175"/>
    <n v="1413.87"/>
    <n v="3275"/>
    <n v="3275"/>
    <s v="High"/>
    <n v="0.255"/>
    <n v="0.255"/>
    <s v="Yes"/>
    <n v="38"/>
    <n v="92715.25"/>
    <n v="53727.06"/>
    <n v="38988.19"/>
    <n v="0.42051539525590453"/>
    <n v="0.25"/>
    <n v="38"/>
    <n v="1413.87"/>
    <n v="93337.5"/>
    <n v="39610.44"/>
  </r>
  <r>
    <s v="ORD-2023-664749"/>
    <d v="2023-08-27T00:00:00"/>
    <x v="161"/>
    <s v="Q3-2023"/>
    <d v="2023-09-11T00:00:00"/>
    <d v="2023-09-11T00:00:00"/>
    <n v="15"/>
    <n v="15"/>
    <s v="No"/>
    <d v="2023-01-19T00:00:00"/>
    <x v="3"/>
    <x v="8"/>
    <s v="London"/>
    <s v="Europe - United Kingdom - London"/>
    <s v="Consumer"/>
    <x v="2"/>
    <x v="13"/>
    <x v="1"/>
    <x v="176"/>
    <n v="943.79"/>
    <n v="1913.76"/>
    <n v="1913.76"/>
    <s v="High"/>
    <n v="9.0999999999999998E-2"/>
    <n v="9.0999999999999998E-2"/>
    <s v="No"/>
    <n v="9"/>
    <n v="15656.47056"/>
    <n v="8494.11"/>
    <n v="7162.3605599999992"/>
    <n v="0.45746967891338081"/>
    <n v="9.0999999999999998E-2"/>
    <n v="9"/>
    <n v="943.79"/>
    <n v="15656.47056"/>
    <n v="7162.3605599999992"/>
  </r>
  <r>
    <s v="ORD-2024-960952"/>
    <d v="2024-02-03T00:00:00"/>
    <x v="162"/>
    <s v="Q1-2024"/>
    <d v="2024-02-21T00:00:00"/>
    <d v="2024-02-21T00:00:00"/>
    <n v="18"/>
    <n v="18"/>
    <s v="No"/>
    <d v="2023-01-22T00:00:00"/>
    <x v="3"/>
    <x v="6"/>
    <s v="Frankfurt"/>
    <s v="Europe - Germany - Frankfurt"/>
    <s v="Corporate"/>
    <x v="0"/>
    <x v="10"/>
    <x v="0"/>
    <x v="177"/>
    <n v="39.229999999999997"/>
    <n v="30.09"/>
    <n v="30.09"/>
    <s v="Low"/>
    <n v="0.17699999999999999"/>
    <n v="0.17699999999999999"/>
    <s v="No"/>
    <n v="13"/>
    <n v="321.93290999999999"/>
    <n v="509.98999999999995"/>
    <n v="-188.05708999999996"/>
    <n v="-0.58414993981199359"/>
    <n v="0.17699999999999999"/>
    <n v="13"/>
    <n v="39.229999999999997"/>
    <n v="321.93290999999999"/>
    <n v="-188.05708999999996"/>
  </r>
  <r>
    <s v="ORD-2023-987700"/>
    <d v="2023-04-05T00:00:00"/>
    <x v="163"/>
    <s v="Q2-2023"/>
    <d v="2023-04-16T00:00:00"/>
    <d v="2023-04-16T00:00:00"/>
    <n v="11"/>
    <n v="11"/>
    <s v="No"/>
    <d v="2023-01-02T00:00:00"/>
    <x v="2"/>
    <x v="3"/>
    <s v="Vancouver"/>
    <s v="Americas - Canada - Vancouver"/>
    <s v="Non-Profit"/>
    <x v="1"/>
    <x v="7"/>
    <x v="5"/>
    <x v="178"/>
    <n v="213.1"/>
    <n v="501.31"/>
    <n v="501.31"/>
    <s v="Low"/>
    <n v="5.6000000000000001E-2"/>
    <n v="5.6000000000000001E-2"/>
    <s v="No"/>
    <n v="15"/>
    <n v="7098.5495999999994"/>
    <n v="3196.5"/>
    <n v="3902.0495999999994"/>
    <n v="0.54969674368409005"/>
    <n v="5.6000000000000001E-2"/>
    <n v="15"/>
    <n v="213.1"/>
    <n v="7098.5495999999994"/>
    <n v="3902.0495999999994"/>
  </r>
  <r>
    <s v="ORD-2025-652467"/>
    <d v="2025-08-21T00:00:00"/>
    <x v="164"/>
    <s v="Q3-2025"/>
    <d v="2025-09-12T00:00:00"/>
    <d v="2025-09-12T00:00:00"/>
    <n v="22"/>
    <n v="22"/>
    <s v="No"/>
    <d v="2023-01-12T00:00:00"/>
    <x v="1"/>
    <x v="9"/>
    <s v="Shenzhen"/>
    <s v="Asia - China - Shenzhen"/>
    <s v="Education"/>
    <x v="0"/>
    <x v="5"/>
    <x v="1"/>
    <x v="179"/>
    <n v="352.66"/>
    <n v="411.18"/>
    <n v="411.18"/>
    <s v="Low"/>
    <n v="0.17299999999999999"/>
    <n v="0.17299999999999999"/>
    <s v="No"/>
    <n v="13"/>
    <n v="4420.5961799999995"/>
    <n v="4584.58"/>
    <n v="-163.98382000000038"/>
    <n v="-3.7095408248758066E-2"/>
    <n v="0.17299999999999999"/>
    <n v="13"/>
    <n v="352.66"/>
    <n v="4420.5961799999995"/>
    <n v="-163.98382000000038"/>
  </r>
  <r>
    <s v="ORD-2025-667201"/>
    <d v="2025-09-15T00:00:00"/>
    <x v="165"/>
    <s v="Q3-2025"/>
    <d v="2025-09-18T00:00:00"/>
    <d v="2025-09-18T00:00:00"/>
    <n v="3"/>
    <n v="3"/>
    <s v="Yes"/>
    <d v="2023-01-29T00:00:00"/>
    <x v="2"/>
    <x v="5"/>
    <s v="Rio de Janeiro"/>
    <s v="Americas - Brazil - Rio de Janeiro"/>
    <s v="Non-Profit"/>
    <x v="4"/>
    <x v="4"/>
    <x v="6"/>
    <x v="180"/>
    <n v="5.5"/>
    <n v="5.92"/>
    <n v="5.92"/>
    <s v="Low"/>
    <n v="0.21199999999999999"/>
    <n v="0.21199999999999999"/>
    <s v="Yes"/>
    <n v="4"/>
    <n v="18.659839999999999"/>
    <n v="22"/>
    <n v="-3.3401600000000009"/>
    <n v="-0.17900260666758133"/>
    <n v="0.21199999999999999"/>
    <n v="4"/>
    <n v="5.5"/>
    <n v="18.659839999999999"/>
    <n v="-3.3401600000000009"/>
  </r>
  <r>
    <s v="ORD-2024-237478"/>
    <d v="2024-10-03T00:00:00"/>
    <x v="166"/>
    <s v="Q4-2024"/>
    <d v="2024-10-11T00:00:00"/>
    <d v="2024-10-11T00:00:00"/>
    <n v="8"/>
    <n v="8"/>
    <s v="No"/>
    <d v="2023-01-12T00:00:00"/>
    <x v="1"/>
    <x v="9"/>
    <s v="Beijing"/>
    <s v="Asia - China - Beijing"/>
    <s v="Enterprise"/>
    <x v="4"/>
    <x v="5"/>
    <x v="3"/>
    <x v="181"/>
    <n v="1132.6099999999999"/>
    <n v="2206.63"/>
    <n v="2206.63"/>
    <s v="High"/>
    <n v="6.3E-2"/>
    <n v="6.3E-2"/>
    <s v="No"/>
    <n v="20"/>
    <n v="41352.246200000009"/>
    <n v="22652.199999999997"/>
    <n v="18700.046200000012"/>
    <n v="0.45221355351671338"/>
    <n v="6.3E-2"/>
    <n v="20"/>
    <n v="1132.6099999999999"/>
    <n v="41352.246200000009"/>
    <n v="18700.046200000012"/>
  </r>
  <r>
    <s v="ORD-2025-898843"/>
    <d v="2025-02-02T00:00:00"/>
    <x v="167"/>
    <s v="Q1-2025"/>
    <d v="2025-03-04T00:00:00"/>
    <d v="2025-03-04T00:00:00"/>
    <n v="30"/>
    <n v="30"/>
    <s v="No"/>
    <d v="2023-03-03T00:00:00"/>
    <x v="1"/>
    <x v="2"/>
    <s v="Osaka"/>
    <s v="Asia - Japan - Osaka"/>
    <s v="Education"/>
    <x v="3"/>
    <x v="4"/>
    <x v="6"/>
    <x v="182"/>
    <n v="766.59"/>
    <n v="1912.8"/>
    <n v="1912.8"/>
    <s v="High"/>
    <n v="0.19600000000000001"/>
    <n v="0.19600000000000001"/>
    <s v="No"/>
    <n v="5"/>
    <n v="7689.4560000000001"/>
    <n v="3832.9500000000003"/>
    <n v="3856.5059999999999"/>
    <n v="0.50153170783472845"/>
    <n v="0.19600000000000001"/>
    <n v="5"/>
    <n v="766.59"/>
    <n v="7689.4560000000001"/>
    <n v="3856.5059999999999"/>
  </r>
  <r>
    <s v="ORD-2023-334213"/>
    <d v="2023-08-19T00:00:00"/>
    <x v="66"/>
    <s v="Q3-2023"/>
    <d v="2023-08-23T00:00:00"/>
    <d v="2023-08-23T00:00:00"/>
    <n v="4"/>
    <n v="4"/>
    <s v="Yes"/>
    <d v="2023-01-15T00:00:00"/>
    <x v="0"/>
    <x v="1"/>
    <s v="Abuja"/>
    <s v="Africa - Nigeria - Abuja"/>
    <s v="Small Business"/>
    <x v="1"/>
    <x v="1"/>
    <x v="5"/>
    <x v="183"/>
    <n v="790.63"/>
    <n v="1382.31"/>
    <n v="1382.31"/>
    <s v="Medium"/>
    <n v="0.10100000000000001"/>
    <n v="0.10100000000000001"/>
    <s v="No"/>
    <n v="7"/>
    <n v="8698.8768300000011"/>
    <n v="5534.41"/>
    <n v="3164.4668300000012"/>
    <n v="0.36377878338116448"/>
    <n v="0.10100000000000001"/>
    <n v="7"/>
    <n v="790.63"/>
    <n v="8698.8768300000011"/>
    <n v="3164.4668300000012"/>
  </r>
  <r>
    <s v="ORD-2024-640340"/>
    <d v="2024-10-22T00:00:00"/>
    <x v="168"/>
    <s v="Q4-2024"/>
    <d v="2024-10-29T00:00:00"/>
    <d v="2024-10-29T00:00:00"/>
    <n v="7"/>
    <n v="7"/>
    <s v="Yes"/>
    <d v="2023-01-15T00:00:00"/>
    <x v="0"/>
    <x v="1"/>
    <s v="Port Harcourt"/>
    <s v="Africa - Nigeria - Port Harcourt"/>
    <s v="Enterprise"/>
    <x v="3"/>
    <x v="12"/>
    <x v="5"/>
    <x v="184"/>
    <n v="1023.06"/>
    <n v="1355.61"/>
    <n v="1355.61"/>
    <s v="Medium"/>
    <n v="0.153"/>
    <n v="0.153"/>
    <s v="No"/>
    <n v="23"/>
    <n v="26408.63841"/>
    <n v="23530.379999999997"/>
    <n v="2878.2584100000022"/>
    <n v="0.10898927711888809"/>
    <n v="0.153"/>
    <n v="23"/>
    <n v="1023.06"/>
    <n v="26408.63841"/>
    <n v="2878.2584100000022"/>
  </r>
  <r>
    <s v="ORD-2023-399631"/>
    <d v="2023-06-22T00:00:00"/>
    <x v="169"/>
    <s v="Q2-2023"/>
    <d v="2023-07-21T00:00:00"/>
    <d v="2023-07-21T00:00:00"/>
    <n v="29"/>
    <n v="29"/>
    <s v="No"/>
    <d v="2023-01-10T00:00:00"/>
    <x v="3"/>
    <x v="7"/>
    <s v="Lyon"/>
    <s v="Europe - France - Lyon"/>
    <s v="Corporate"/>
    <x v="0"/>
    <x v="1"/>
    <x v="6"/>
    <x v="185"/>
    <n v="734.34"/>
    <n v="887.9"/>
    <n v="887.9"/>
    <s v="Medium"/>
    <n v="2.5000000000000001E-2"/>
    <n v="2.5000000000000001E-2"/>
    <s v="No"/>
    <n v="12"/>
    <n v="10388.429999999998"/>
    <n v="8812.08"/>
    <n v="1576.3499999999985"/>
    <n v="0.15174092716608753"/>
    <n v="2.5000000000000001E-2"/>
    <n v="12"/>
    <n v="734.34"/>
    <n v="10388.429999999998"/>
    <n v="1576.3499999999985"/>
  </r>
  <r>
    <s v="ORD-2025-542939"/>
    <d v="2025-01-13T00:00:00"/>
    <x v="170"/>
    <s v="Q1-2025"/>
    <d v="2025-02-08T00:00:00"/>
    <d v="2025-02-08T00:00:00"/>
    <n v="26"/>
    <n v="26"/>
    <s v="No"/>
    <d v="2023-01-10T00:00:00"/>
    <x v="3"/>
    <x v="7"/>
    <s v="Paris"/>
    <s v="Europe - France - Paris"/>
    <s v="Non-Profit"/>
    <x v="4"/>
    <x v="6"/>
    <x v="5"/>
    <x v="186"/>
    <n v="594.74"/>
    <n v="1020.69"/>
    <n v="1020.69"/>
    <s v="Medium"/>
    <n v="0.21099999999999999"/>
    <n v="0.21099999999999999"/>
    <s v="Yes"/>
    <n v="6"/>
    <n v="4831.9464600000001"/>
    <n v="3568.44"/>
    <n v="1263.5064600000001"/>
    <n v="0.26149016146176424"/>
    <n v="0.21099999999999999"/>
    <n v="6"/>
    <n v="594.74"/>
    <n v="4831.9464600000001"/>
    <n v="1263.5064600000001"/>
  </r>
  <r>
    <s v="ORD-2023-521818"/>
    <d v="2023-01-29T00:00:00"/>
    <x v="171"/>
    <s v="Q1-2023"/>
    <d v="2023-02-28T00:00:00"/>
    <d v="2023-02-28T00:00:00"/>
    <n v="30"/>
    <n v="30"/>
    <s v="No"/>
    <d v="2023-01-29T00:00:00"/>
    <x v="1"/>
    <x v="4"/>
    <s v="Bengaluru"/>
    <s v="Asia - India - Bengaluru"/>
    <s v="Non-Profit"/>
    <x v="0"/>
    <x v="5"/>
    <x v="6"/>
    <x v="187"/>
    <n v="1262.0999999999999"/>
    <n v="1395.53"/>
    <n v="1395.53"/>
    <s v="Medium"/>
    <n v="0.23300000000000001"/>
    <n v="0.23300000000000001"/>
    <s v="Yes"/>
    <n v="25"/>
    <n v="26759.28775"/>
    <n v="31552.499999999996"/>
    <n v="-4793.2122499999969"/>
    <n v="-0.17912331205452198"/>
    <n v="0.23300000000000001"/>
    <n v="25"/>
    <n v="1262.0999999999999"/>
    <n v="26759.28775"/>
    <n v="-4793.2122499999969"/>
  </r>
  <r>
    <s v="ORD-2023-825836"/>
    <d v="2023-07-19T00:00:00"/>
    <x v="172"/>
    <s v="Q3-2023"/>
    <d v="2023-07-31T00:00:00"/>
    <d v="2023-07-31T00:00:00"/>
    <n v="12"/>
    <n v="12"/>
    <s v="No"/>
    <d v="2023-01-29T00:00:00"/>
    <x v="2"/>
    <x v="5"/>
    <s v="Rio de Janeiro"/>
    <s v="Americas - Brazil - Rio de Janeiro"/>
    <s v="Corporate"/>
    <x v="0"/>
    <x v="0"/>
    <x v="5"/>
    <x v="188"/>
    <n v="1334.64"/>
    <n v="2273.42"/>
    <n v="2273.42"/>
    <s v="High"/>
    <n v="0.11799999999999999"/>
    <n v="0.11799999999999999"/>
    <s v="No"/>
    <n v="14"/>
    <n v="28072.190160000002"/>
    <n v="18684.960000000003"/>
    <n v="9387.2301599999992"/>
    <n v="0.33439607335575267"/>
    <n v="0.11799999999999999"/>
    <n v="14"/>
    <n v="1334.64"/>
    <n v="28072.190160000002"/>
    <n v="9387.2301599999992"/>
  </r>
  <r>
    <s v="ORD-2024-503082"/>
    <d v="2024-05-19T00:00:00"/>
    <x v="173"/>
    <s v="Q2-2024"/>
    <d v="2024-06-08T00:00:00"/>
    <d v="2024-06-08T00:00:00"/>
    <n v="20"/>
    <n v="20"/>
    <s v="No"/>
    <d v="2023-01-29T00:00:00"/>
    <x v="2"/>
    <x v="5"/>
    <s v="Brasília"/>
    <s v="Americas - Brazil - Brasília"/>
    <s v="Small Business"/>
    <x v="0"/>
    <x v="6"/>
    <x v="5"/>
    <x v="189"/>
    <n v="1075.9000000000001"/>
    <n v="1242.1500000000001"/>
    <n v="1242.1500000000001"/>
    <s v="Medium"/>
    <n v="1.2E-2"/>
    <n v="1.2E-2"/>
    <s v="No"/>
    <n v="7"/>
    <n v="8590.7094000000016"/>
    <n v="7531.3000000000011"/>
    <n v="1059.4094000000005"/>
    <n v="0.12332036280961853"/>
    <n v="1.2E-2"/>
    <n v="7"/>
    <n v="1075.9000000000001"/>
    <n v="8590.7094000000016"/>
    <n v="1059.4094000000005"/>
  </r>
  <r>
    <s v="ORD-2024-760799"/>
    <d v="2024-02-03T00:00:00"/>
    <x v="162"/>
    <s v="Q1-2024"/>
    <d v="2024-02-19T00:00:00"/>
    <d v="2024-02-19T00:00:00"/>
    <n v="16"/>
    <n v="16"/>
    <s v="No"/>
    <d v="2023-01-12T00:00:00"/>
    <x v="1"/>
    <x v="9"/>
    <s v="Shenzhen"/>
    <s v="Asia - China - Shenzhen"/>
    <s v="Small Business"/>
    <x v="1"/>
    <x v="10"/>
    <x v="4"/>
    <x v="190"/>
    <n v="993.75"/>
    <n v="1310.29"/>
    <n v="1310.29"/>
    <s v="Medium"/>
    <n v="0.215"/>
    <n v="0.215"/>
    <s v="Yes"/>
    <n v="19"/>
    <n v="19542.975350000001"/>
    <n v="18881.25"/>
    <n v="661.72535000000062"/>
    <n v="3.3860010471742245E-2"/>
    <n v="0.215"/>
    <n v="19"/>
    <n v="993.75"/>
    <n v="19542.975350000001"/>
    <n v="661.72535000000062"/>
  </r>
  <r>
    <s v="ORD-2023-197661"/>
    <d v="2023-08-08T00:00:00"/>
    <x v="174"/>
    <s v="Q3-2023"/>
    <d v="2023-08-22T00:00:00"/>
    <d v="2023-08-22T00:00:00"/>
    <n v="14"/>
    <n v="14"/>
    <s v="No"/>
    <d v="2023-01-19T00:00:00"/>
    <x v="3"/>
    <x v="8"/>
    <s v="Birmingham"/>
    <s v="Europe - United Kingdom - Birmingham"/>
    <s v="Non-Profit"/>
    <x v="4"/>
    <x v="13"/>
    <x v="5"/>
    <x v="191"/>
    <n v="446.69"/>
    <n v="967.25"/>
    <n v="967.25"/>
    <s v="Medium"/>
    <n v="9.4E-2"/>
    <n v="9.4E-2"/>
    <s v="No"/>
    <n v="10"/>
    <n v="8763.2849999999999"/>
    <n v="4466.8999999999996"/>
    <n v="4296.3850000000002"/>
    <n v="0.49027105702941309"/>
    <n v="9.4E-2"/>
    <n v="10"/>
    <n v="446.69"/>
    <n v="8763.2849999999999"/>
    <n v="4296.3850000000002"/>
  </r>
  <r>
    <s v="ORD-2024-212990"/>
    <d v="2024-08-12T00:00:00"/>
    <x v="175"/>
    <s v="Q3-2024"/>
    <d v="2024-09-03T00:00:00"/>
    <d v="2024-09-03T00:00:00"/>
    <n v="22"/>
    <n v="22"/>
    <s v="No"/>
    <d v="2023-01-13T00:00:00"/>
    <x v="2"/>
    <x v="10"/>
    <s v="Austin"/>
    <s v="Americas - USA - Austin"/>
    <s v="Consumer"/>
    <x v="3"/>
    <x v="2"/>
    <x v="4"/>
    <x v="192"/>
    <n v="797.8"/>
    <n v="886.22"/>
    <n v="886.22"/>
    <s v="Medium"/>
    <n v="0.23599999999999999"/>
    <n v="0.23599999999999999"/>
    <s v="Yes"/>
    <n v="36"/>
    <n v="24374.594880000001"/>
    <n v="28720.799999999999"/>
    <n v="-4346.2051199999987"/>
    <n v="-0.17830881462428633"/>
    <n v="0.23599999999999999"/>
    <n v="36"/>
    <n v="797.8"/>
    <n v="24374.594880000001"/>
    <n v="-4346.2051199999987"/>
  </r>
  <r>
    <s v="ORD-2023-925146"/>
    <d v="2023-10-15T00:00:00"/>
    <x v="176"/>
    <s v="Q4-2023"/>
    <d v="2023-11-13T00:00:00"/>
    <d v="2023-11-13T00:00:00"/>
    <n v="29"/>
    <n v="29"/>
    <s v="No"/>
    <d v="2023-01-12T00:00:00"/>
    <x v="1"/>
    <x v="9"/>
    <s v="Shenzhen"/>
    <s v="Asia - China - Shenzhen"/>
    <s v="Non-Profit"/>
    <x v="3"/>
    <x v="1"/>
    <x v="1"/>
    <x v="193"/>
    <n v="986.44"/>
    <n v="790.61"/>
    <n v="790.61"/>
    <s v="Low"/>
    <n v="7.1999999999999995E-2"/>
    <n v="7.1999999999999995E-2"/>
    <s v="No"/>
    <n v="6"/>
    <n v="4402.1164799999997"/>
    <n v="5918.64"/>
    <n v="-1516.5235200000006"/>
    <n v="-0.34449872621271499"/>
    <n v="7.1999999999999995E-2"/>
    <n v="6"/>
    <n v="986.44"/>
    <n v="4402.1164799999997"/>
    <n v="-1516.5235200000006"/>
  </r>
  <r>
    <s v="ORD-2023-177794"/>
    <d v="2023-05-04T00:00:00"/>
    <x v="177"/>
    <s v="Q2-2023"/>
    <d v="2023-05-26T00:00:00"/>
    <d v="2023-05-26T00:00:00"/>
    <n v="22"/>
    <n v="22"/>
    <s v="No"/>
    <d v="2023-01-13T00:00:00"/>
    <x v="2"/>
    <x v="10"/>
    <s v="San Francisco"/>
    <s v="Americas - USA - San Francisco"/>
    <s v="Enterprise"/>
    <x v="1"/>
    <x v="1"/>
    <x v="2"/>
    <x v="194"/>
    <n v="249.71"/>
    <n v="361.33"/>
    <n v="361.33"/>
    <s v="Low"/>
    <n v="9.4E-2"/>
    <n v="9.4E-2"/>
    <s v="No"/>
    <n v="12"/>
    <n v="3928.3797600000003"/>
    <n v="2996.52"/>
    <n v="931.85976000000028"/>
    <n v="0.23721223937881206"/>
    <n v="9.4E-2"/>
    <n v="12"/>
    <n v="249.71"/>
    <n v="3928.3797600000003"/>
    <n v="931.85976000000028"/>
  </r>
  <r>
    <s v="ORD-2024-444710"/>
    <d v="2024-09-22T00:00:00"/>
    <x v="178"/>
    <s v="Q3-2024"/>
    <d v="2024-10-01T00:00:00"/>
    <d v="2024-10-01T00:00:00"/>
    <n v="9"/>
    <n v="9"/>
    <s v="No"/>
    <d v="2023-01-29T00:00:00"/>
    <x v="2"/>
    <x v="5"/>
    <s v="São Paulo"/>
    <s v="Americas - Brazil - São Paulo"/>
    <s v="Non-Profit"/>
    <x v="1"/>
    <x v="11"/>
    <x v="5"/>
    <x v="195"/>
    <n v="1378.8"/>
    <n v="1952.04"/>
    <n v="1952.04"/>
    <s v="High"/>
    <n v="0.159"/>
    <n v="0.159"/>
    <s v="No"/>
    <n v="19"/>
    <n v="31191.64716"/>
    <n v="26197.200000000001"/>
    <n v="4994.4471599999997"/>
    <n v="0.16012130216723058"/>
    <n v="0.159"/>
    <n v="19"/>
    <n v="1378.8"/>
    <n v="31191.64716"/>
    <n v="4994.4471599999997"/>
  </r>
  <r>
    <s v="ORD-2024-668926"/>
    <d v="2024-10-23T00:00:00"/>
    <x v="1"/>
    <s v="Q4-2024"/>
    <d v="2024-11-14T00:00:00"/>
    <d v="2024-11-14T00:00:00"/>
    <n v="22"/>
    <n v="22"/>
    <s v="No"/>
    <d v="2023-03-03T00:00:00"/>
    <x v="1"/>
    <x v="2"/>
    <s v="Osaka"/>
    <s v="Asia - Japan - Osaka"/>
    <s v="Non-Profit"/>
    <x v="4"/>
    <x v="5"/>
    <x v="3"/>
    <x v="196"/>
    <n v="1406.4"/>
    <n v="1564.76"/>
    <n v="1564.76"/>
    <s v="Medium"/>
    <n v="0.185"/>
    <n v="0.185"/>
    <s v="No"/>
    <n v="17"/>
    <n v="21679.749799999998"/>
    <n v="23908.800000000003"/>
    <n v="-2229.0502000000051"/>
    <n v="-0.10281715520536151"/>
    <n v="0.185"/>
    <n v="17"/>
    <n v="1406.4"/>
    <n v="21679.749799999998"/>
    <n v="-2229.0502000000051"/>
  </r>
  <r>
    <s v="ORD-2024-968374"/>
    <d v="2024-02-11T00:00:00"/>
    <x v="179"/>
    <s v="Q1-2024"/>
    <d v="2024-03-03T00:00:00"/>
    <d v="2024-03-03T00:00:00"/>
    <n v="21"/>
    <n v="21"/>
    <s v="No"/>
    <d v="2023-01-20T00:00:00"/>
    <x v="0"/>
    <x v="0"/>
    <s v="Kisumu"/>
    <s v="Africa - Kenya - Kisumu"/>
    <s v="Enterprise"/>
    <x v="1"/>
    <x v="5"/>
    <x v="3"/>
    <x v="197"/>
    <n v="516.86"/>
    <n v="852.54"/>
    <n v="852.54"/>
    <s v="Medium"/>
    <n v="5.0999999999999997E-2"/>
    <n v="5.0999999999999997E-2"/>
    <s v="No"/>
    <n v="14"/>
    <n v="11326.846439999999"/>
    <n v="7236.04"/>
    <n v="4090.8064399999994"/>
    <n v="0.36116022775355994"/>
    <n v="5.0999999999999997E-2"/>
    <n v="14"/>
    <n v="516.86"/>
    <n v="11326.846439999999"/>
    <n v="4090.8064399999994"/>
  </r>
  <r>
    <s v="ORD-2023-575584"/>
    <d v="2023-01-30T00:00:00"/>
    <x v="180"/>
    <s v="Q1-2023"/>
    <d v="2023-02-21T00:00:00"/>
    <d v="2023-02-21T00:00:00"/>
    <n v="22"/>
    <n v="22"/>
    <s v="No"/>
    <d v="2023-01-22T00:00:00"/>
    <x v="3"/>
    <x v="6"/>
    <s v="Munich"/>
    <s v="Europe - Germany - Munich"/>
    <s v="Small Business"/>
    <x v="2"/>
    <x v="3"/>
    <x v="2"/>
    <x v="198"/>
    <n v="1142.8800000000001"/>
    <n v="1465.29"/>
    <n v="1465.29"/>
    <s v="Medium"/>
    <n v="0.186"/>
    <n v="0.186"/>
    <s v="No"/>
    <n v="7"/>
    <n v="8349.2224200000001"/>
    <n v="8000.1600000000008"/>
    <n v="349.06241999999929"/>
    <n v="4.1807775915017401E-2"/>
    <n v="0.186"/>
    <n v="7"/>
    <n v="1142.8800000000001"/>
    <n v="8349.2224200000001"/>
    <n v="349.06241999999929"/>
  </r>
  <r>
    <s v="ORD-2023-701153"/>
    <d v="2023-04-14T00:00:00"/>
    <x v="27"/>
    <s v="Q2-2023"/>
    <d v="2023-05-13T00:00:00"/>
    <d v="2023-05-13T00:00:00"/>
    <n v="29"/>
    <n v="29"/>
    <s v="No"/>
    <d v="2023-01-22T00:00:00"/>
    <x v="3"/>
    <x v="6"/>
    <s v="Frankfurt"/>
    <s v="Europe - Germany - Frankfurt"/>
    <s v="Consumer"/>
    <x v="4"/>
    <x v="1"/>
    <x v="1"/>
    <x v="199"/>
    <n v="1320.33"/>
    <n v="2645.23"/>
    <n v="2645.23"/>
    <s v="High"/>
    <n v="0.155"/>
    <n v="0.155"/>
    <s v="No"/>
    <n v="25"/>
    <n v="55880.483749999999"/>
    <n v="33008.25"/>
    <n v="22872.233749999999"/>
    <n v="0.40930629470436536"/>
    <n v="0.155"/>
    <n v="25"/>
    <n v="1320.33"/>
    <n v="55880.483749999999"/>
    <n v="22872.233749999999"/>
  </r>
  <r>
    <s v="ORD-2023-382017"/>
    <d v="2023-01-13T00:00:00"/>
    <x v="181"/>
    <s v="Q1-2023"/>
    <d v="2023-01-19T00:00:00"/>
    <d v="2023-01-19T00:00:00"/>
    <n v="6"/>
    <n v="6"/>
    <s v="Yes"/>
    <d v="2023-01-13T00:00:00"/>
    <x v="2"/>
    <x v="10"/>
    <s v="Chicago"/>
    <s v="Americas - USA - Chicago"/>
    <s v="Corporate"/>
    <x v="4"/>
    <x v="10"/>
    <x v="3"/>
    <x v="200"/>
    <n v="833.57"/>
    <n v="881.57"/>
    <n v="881.57"/>
    <s v="Medium"/>
    <n v="5.7000000000000002E-2"/>
    <n v="5.7000000000000002E-2"/>
    <s v="No"/>
    <n v="18"/>
    <n v="14963.769179999999"/>
    <n v="15004.26"/>
    <n v="-40.490820000000895"/>
    <n v="-2.7059238560107821E-3"/>
    <n v="5.7000000000000002E-2"/>
    <n v="18"/>
    <n v="833.57"/>
    <n v="14963.769179999999"/>
    <n v="-40.490820000000895"/>
  </r>
  <r>
    <s v="ORD-2024-999607"/>
    <d v="2024-01-12T00:00:00"/>
    <x v="182"/>
    <s v="Q1-2024"/>
    <d v="2024-01-29T00:00:00"/>
    <d v="2024-01-29T00:00:00"/>
    <n v="17"/>
    <n v="17"/>
    <s v="No"/>
    <d v="2023-01-13T00:00:00"/>
    <x v="2"/>
    <x v="10"/>
    <s v="Chicago"/>
    <s v="Americas - USA - Chicago"/>
    <s v="Education"/>
    <x v="3"/>
    <x v="8"/>
    <x v="1"/>
    <x v="201"/>
    <n v="493.76"/>
    <n v="625.04"/>
    <n v="625.04"/>
    <s v="Low"/>
    <n v="0.25800000000000001"/>
    <n v="0.25800000000000001"/>
    <s v="Yes"/>
    <n v="10"/>
    <n v="4637.7968000000001"/>
    <n v="4937.6000000000004"/>
    <n v="-299.80320000000029"/>
    <n v="-6.464345311549663E-2"/>
    <n v="0.25"/>
    <n v="10"/>
    <n v="493.76"/>
    <n v="4687.7999999999993"/>
    <n v="-249.80000000000109"/>
  </r>
  <r>
    <s v="ORD-2023-133848"/>
    <d v="2023-08-15T00:00:00"/>
    <x v="183"/>
    <s v="Q3-2023"/>
    <d v="2023-09-07T00:00:00"/>
    <d v="2023-09-07T00:00:00"/>
    <n v="23"/>
    <n v="23"/>
    <s v="No"/>
    <d v="2023-01-13T00:00:00"/>
    <x v="2"/>
    <x v="10"/>
    <s v="New York"/>
    <s v="Americas - USA - New York"/>
    <s v="Enterprise"/>
    <x v="1"/>
    <x v="11"/>
    <x v="3"/>
    <x v="202"/>
    <n v="590.33000000000004"/>
    <n v="973.04"/>
    <n v="973.04"/>
    <s v="Medium"/>
    <n v="0"/>
    <n v="0"/>
    <s v="No"/>
    <n v="26"/>
    <n v="25299.040000000001"/>
    <n v="15348.580000000002"/>
    <n v="9950.4599999999991"/>
    <n v="0.39331373838691108"/>
    <n v="0"/>
    <n v="26"/>
    <n v="590.33000000000004"/>
    <n v="25299.040000000001"/>
    <n v="9950.4599999999991"/>
  </r>
  <r>
    <s v="ORD-2023-586275"/>
    <d v="2023-01-20T00:00:00"/>
    <x v="184"/>
    <s v="Q1-2023"/>
    <d v="2023-02-03T00:00:00"/>
    <d v="2023-02-03T00:00:00"/>
    <n v="14"/>
    <n v="14"/>
    <s v="No"/>
    <d v="2023-01-20T00:00:00"/>
    <x v="0"/>
    <x v="0"/>
    <s v="Kisumu"/>
    <s v="Africa - Kenya - Kisumu"/>
    <s v="Corporate"/>
    <x v="0"/>
    <x v="12"/>
    <x v="2"/>
    <x v="203"/>
    <n v="884.36"/>
    <n v="1545.34"/>
    <n v="1545.34"/>
    <s v="Medium"/>
    <n v="0.24299999999999999"/>
    <n v="0.24299999999999999"/>
    <s v="Yes"/>
    <n v="41"/>
    <n v="47962.717579999997"/>
    <n v="36258.76"/>
    <n v="11703.957579999995"/>
    <n v="0.24402198562827965"/>
    <n v="0.24299999999999999"/>
    <n v="41"/>
    <n v="884.36"/>
    <n v="47962.717579999997"/>
    <n v="11703.957579999995"/>
  </r>
  <r>
    <s v="ORD-2025-964661"/>
    <d v="2025-02-04T00:00:00"/>
    <x v="185"/>
    <s v="Q1-2025"/>
    <d v="2025-02-25T00:00:00"/>
    <d v="2025-02-25T00:00:00"/>
    <n v="21"/>
    <n v="21"/>
    <s v="No"/>
    <d v="2023-01-19T00:00:00"/>
    <x v="3"/>
    <x v="8"/>
    <s v="Birmingham"/>
    <s v="Europe - United Kingdom - Birmingham"/>
    <s v="Corporate"/>
    <x v="2"/>
    <x v="14"/>
    <x v="5"/>
    <x v="204"/>
    <n v="1016.32"/>
    <n v="2253.42"/>
    <n v="2253.42"/>
    <s v="High"/>
    <n v="5.5E-2"/>
    <n v="5.5E-2"/>
    <s v="No"/>
    <n v="12"/>
    <n v="25553.782800000001"/>
    <n v="12195.84"/>
    <n v="13357.942800000001"/>
    <n v="0.52273837124419797"/>
    <n v="5.5E-2"/>
    <n v="12"/>
    <n v="1016.32"/>
    <n v="25553.782800000001"/>
    <n v="13357.942800000001"/>
  </r>
  <r>
    <s v="ORD-2023-390998"/>
    <d v="2023-04-19T00:00:00"/>
    <x v="43"/>
    <s v="Q2-2023"/>
    <d v="2023-04-28T00:00:00"/>
    <d v="2023-04-28T00:00:00"/>
    <n v="9"/>
    <n v="9"/>
    <s v="No"/>
    <d v="2023-01-22T00:00:00"/>
    <x v="3"/>
    <x v="6"/>
    <s v="Berlin"/>
    <s v="Europe - Germany - Berlin"/>
    <s v="Education"/>
    <x v="1"/>
    <x v="6"/>
    <x v="5"/>
    <x v="205"/>
    <n v="1178.42"/>
    <n v="2446.56"/>
    <n v="2446.56"/>
    <s v="High"/>
    <n v="2.9000000000000001E-2"/>
    <n v="2.9000000000000001E-2"/>
    <s v="No"/>
    <n v="11"/>
    <n v="26131.70736"/>
    <n v="12962.62"/>
    <n v="13169.08736"/>
    <n v="0.5039505141618883"/>
    <n v="2.9000000000000001E-2"/>
    <n v="11"/>
    <n v="1178.42"/>
    <n v="26131.70736"/>
    <n v="13169.08736"/>
  </r>
  <r>
    <s v="ORD-2023-920483"/>
    <d v="2023-07-02T00:00:00"/>
    <x v="186"/>
    <s v="Q3-2023"/>
    <d v="2023-08-01T00:00:00"/>
    <d v="2023-08-01T00:00:00"/>
    <n v="30"/>
    <n v="30"/>
    <s v="No"/>
    <d v="2023-01-19T00:00:00"/>
    <x v="3"/>
    <x v="8"/>
    <s v="Birmingham"/>
    <s v="Europe - United Kingdom - Birmingham"/>
    <s v="Small Business"/>
    <x v="0"/>
    <x v="5"/>
    <x v="0"/>
    <x v="206"/>
    <n v="137.46"/>
    <n v="188.3"/>
    <n v="188.3"/>
    <s v="Low"/>
    <n v="3.7999999999999999E-2"/>
    <n v="3.7999999999999999E-2"/>
    <s v="No"/>
    <n v="37"/>
    <n v="6702.3501999999999"/>
    <n v="5086.0200000000004"/>
    <n v="1616.3301999999994"/>
    <n v="0.24115872071262398"/>
    <n v="3.7999999999999999E-2"/>
    <n v="37"/>
    <n v="137.46"/>
    <n v="6702.3501999999999"/>
    <n v="1616.3301999999994"/>
  </r>
  <r>
    <s v="ORD-2025-146850"/>
    <d v="2025-01-21T00:00:00"/>
    <x v="51"/>
    <s v="Q1-2025"/>
    <d v="2025-02-14T00:00:00"/>
    <d v="2025-02-14T00:00:00"/>
    <n v="24"/>
    <n v="24"/>
    <s v="No"/>
    <d v="2023-01-20T00:00:00"/>
    <x v="0"/>
    <x v="0"/>
    <s v="Nairobi"/>
    <s v="Africa - Kenya - Nairobi"/>
    <s v="Small Business"/>
    <x v="0"/>
    <x v="1"/>
    <x v="6"/>
    <x v="207"/>
    <n v="1030.44"/>
    <n v="2562.84"/>
    <n v="2562.84"/>
    <s v="High"/>
    <n v="0.14799999999999999"/>
    <n v="0.14799999999999999"/>
    <s v="No"/>
    <n v="13"/>
    <n v="28386.015839999996"/>
    <n v="13395.720000000001"/>
    <n v="14990.295839999995"/>
    <n v="0.52808734852027039"/>
    <n v="0.14799999999999999"/>
    <n v="13"/>
    <n v="1030.44"/>
    <n v="28386.015839999996"/>
    <n v="14990.295839999995"/>
  </r>
  <r>
    <s v="ORD-2024-687100"/>
    <d v="2024-09-10T00:00:00"/>
    <x v="187"/>
    <s v="Q3-2024"/>
    <d v="2024-10-07T00:00:00"/>
    <d v="2024-10-07T00:00:00"/>
    <n v="27"/>
    <n v="27"/>
    <s v="No"/>
    <d v="2023-01-20T00:00:00"/>
    <x v="0"/>
    <x v="0"/>
    <s v="Kisumu"/>
    <s v="Africa - Kenya - Kisumu"/>
    <s v="Consumer"/>
    <x v="0"/>
    <x v="4"/>
    <x v="1"/>
    <x v="208"/>
    <n v="1248.3900000000001"/>
    <n v="1805.11"/>
    <n v="1805.11"/>
    <s v="High"/>
    <n v="0.20300000000000001"/>
    <n v="0.20300000000000001"/>
    <s v="Yes"/>
    <n v="11"/>
    <n v="15825.399369999997"/>
    <n v="13732.29"/>
    <n v="2093.1093699999965"/>
    <n v="0.13226265707820786"/>
    <n v="0.20300000000000001"/>
    <n v="11"/>
    <n v="1248.3900000000001"/>
    <n v="15825.399369999997"/>
    <n v="2093.1093699999965"/>
  </r>
  <r>
    <s v="ORD-2025-629393"/>
    <d v="2025-07-21T00:00:00"/>
    <x v="188"/>
    <s v="Q3-2025"/>
    <d v="2025-08-07T00:00:00"/>
    <d v="2025-08-07T00:00:00"/>
    <n v="17"/>
    <n v="17"/>
    <s v="No"/>
    <d v="2023-01-15T00:00:00"/>
    <x v="0"/>
    <x v="1"/>
    <s v="Lagos"/>
    <s v="Africa - Nigeria - Lagos"/>
    <s v="Enterprise"/>
    <x v="4"/>
    <x v="12"/>
    <x v="6"/>
    <x v="209"/>
    <n v="1204.95"/>
    <n v="2065.73"/>
    <n v="2065.73"/>
    <s v="High"/>
    <n v="0.13600000000000001"/>
    <n v="0.13600000000000001"/>
    <s v="No"/>
    <n v="10"/>
    <n v="17847.907199999998"/>
    <n v="12049.5"/>
    <n v="5798.4071999999978"/>
    <n v="0.32487882949100039"/>
    <n v="0.13600000000000001"/>
    <n v="10"/>
    <n v="1204.95"/>
    <n v="17847.907199999998"/>
    <n v="5798.4071999999978"/>
  </r>
  <r>
    <s v="ORD-2024-686712"/>
    <d v="2024-10-02T00:00:00"/>
    <x v="189"/>
    <s v="Q4-2024"/>
    <d v="2024-10-23T00:00:00"/>
    <d v="2024-10-23T00:00:00"/>
    <n v="21"/>
    <n v="21"/>
    <s v="No"/>
    <d v="2023-01-07T00:00:00"/>
    <x v="0"/>
    <x v="11"/>
    <s v="Durban"/>
    <s v="Africa - South Africa - Durban"/>
    <s v="Corporate"/>
    <x v="2"/>
    <x v="8"/>
    <x v="0"/>
    <x v="210"/>
    <n v="1095.6099999999999"/>
    <n v="2366.5100000000002"/>
    <n v="2366.5100000000002"/>
    <s v="High"/>
    <n v="0.152"/>
    <n v="0.152"/>
    <s v="No"/>
    <n v="9"/>
    <n v="18061.204320000004"/>
    <n v="9860.49"/>
    <n v="8200.7143200000046"/>
    <n v="0.4540513564158607"/>
    <n v="0.152"/>
    <n v="9"/>
    <n v="1095.6099999999999"/>
    <n v="18061.204320000004"/>
    <n v="8200.7143200000046"/>
  </r>
  <r>
    <s v="ORD-2025-586799"/>
    <d v="2025-07-14T00:00:00"/>
    <x v="190"/>
    <s v="Q3-2025"/>
    <d v="2025-08-04T00:00:00"/>
    <d v="2025-08-04T00:00:00"/>
    <n v="21"/>
    <n v="21"/>
    <s v="No"/>
    <d v="2023-01-02T00:00:00"/>
    <x v="2"/>
    <x v="3"/>
    <s v="Montreal"/>
    <s v="Americas - Canada - Montreal"/>
    <s v="Consumer"/>
    <x v="1"/>
    <x v="10"/>
    <x v="5"/>
    <x v="211"/>
    <n v="90.3"/>
    <n v="131.76"/>
    <n v="131.76"/>
    <s v="Low"/>
    <n v="0.10199999999999999"/>
    <n v="0.10199999999999999"/>
    <s v="No"/>
    <n v="15"/>
    <n v="1774.8072"/>
    <n v="1354.5"/>
    <n v="420.30719999999997"/>
    <n v="0.23681851189244668"/>
    <n v="0.10199999999999999"/>
    <n v="15"/>
    <n v="90.3"/>
    <n v="1774.8072"/>
    <n v="420.30719999999997"/>
  </r>
  <r>
    <s v="ORD-2024-988736"/>
    <d v="2024-09-09T00:00:00"/>
    <x v="191"/>
    <s v="Q3-2024"/>
    <d v="2024-10-01T00:00:00"/>
    <d v="2024-10-01T00:00:00"/>
    <n v="22"/>
    <n v="22"/>
    <s v="No"/>
    <d v="2023-01-12T00:00:00"/>
    <x v="1"/>
    <x v="9"/>
    <s v="Shenzhen"/>
    <s v="Asia - China - Shenzhen"/>
    <s v="Consumer"/>
    <x v="4"/>
    <x v="4"/>
    <x v="1"/>
    <x v="212"/>
    <n v="1166.18"/>
    <n v="1335.02"/>
    <n v="1335.02"/>
    <s v="Medium"/>
    <n v="0.128"/>
    <n v="0.128"/>
    <s v="No"/>
    <n v="6"/>
    <n v="6984.8246399999998"/>
    <n v="6997.08"/>
    <n v="-12.25536000000011"/>
    <n v="-1.7545694604582242E-3"/>
    <n v="0.128"/>
    <n v="6"/>
    <n v="1166.18"/>
    <n v="6984.8246399999998"/>
    <n v="-12.25536000000011"/>
  </r>
  <r>
    <s v="ORD-2025-564184"/>
    <d v="2025-01-29T00:00:00"/>
    <x v="192"/>
    <s v="Q1-2025"/>
    <d v="2025-02-06T00:00:00"/>
    <d v="2025-02-06T00:00:00"/>
    <n v="8"/>
    <n v="8"/>
    <s v="No"/>
    <d v="2023-01-20T00:00:00"/>
    <x v="0"/>
    <x v="0"/>
    <s v="Kisumu"/>
    <s v="Africa - Kenya - Kisumu"/>
    <s v="Education"/>
    <x v="0"/>
    <x v="5"/>
    <x v="3"/>
    <x v="213"/>
    <n v="1445.27"/>
    <n v="2691.45"/>
    <n v="2691.45"/>
    <s v="High"/>
    <n v="0"/>
    <n v="0"/>
    <s v="No"/>
    <n v="9"/>
    <n v="24223.05"/>
    <n v="13007.43"/>
    <n v="11215.619999999999"/>
    <n v="0.46301436028906351"/>
    <n v="0"/>
    <n v="9"/>
    <n v="1445.27"/>
    <n v="24223.05"/>
    <n v="11215.619999999999"/>
  </r>
  <r>
    <s v="ORD-2023-653343"/>
    <d v="2023-11-10T00:00:00"/>
    <x v="193"/>
    <s v="Q4-2023"/>
    <d v="2023-11-28T00:00:00"/>
    <d v="2023-11-28T00:00:00"/>
    <n v="18"/>
    <n v="18"/>
    <s v="No"/>
    <d v="2023-01-29T00:00:00"/>
    <x v="2"/>
    <x v="5"/>
    <s v="Brasília"/>
    <s v="Americas - Brazil - Brasília"/>
    <s v="Education"/>
    <x v="2"/>
    <x v="4"/>
    <x v="6"/>
    <x v="214"/>
    <n v="388.51"/>
    <n v="776.46"/>
    <n v="776.46"/>
    <s v="Low"/>
    <n v="0.157"/>
    <n v="0.157"/>
    <s v="No"/>
    <n v="12"/>
    <n v="7854.6693599999999"/>
    <n v="4662.12"/>
    <n v="3192.54936"/>
    <n v="0.40645241876864946"/>
    <n v="0.157"/>
    <n v="12"/>
    <n v="388.51"/>
    <n v="7854.6693599999999"/>
    <n v="3192.54936"/>
  </r>
  <r>
    <s v="ORD-2024-197852"/>
    <d v="2024-02-29T00:00:00"/>
    <x v="194"/>
    <s v="Q1-2024"/>
    <d v="2024-03-30T00:00:00"/>
    <d v="2024-03-30T00:00:00"/>
    <n v="30"/>
    <n v="30"/>
    <s v="No"/>
    <d v="2023-03-03T00:00:00"/>
    <x v="1"/>
    <x v="2"/>
    <s v="Nagoya"/>
    <s v="Asia - Japan - Nagoya"/>
    <s v="Small Business"/>
    <x v="4"/>
    <x v="2"/>
    <x v="2"/>
    <x v="215"/>
    <n v="231.11"/>
    <n v="318.17"/>
    <n v="318.17"/>
    <s v="Low"/>
    <n v="0.20100000000000001"/>
    <n v="0.20100000000000001"/>
    <s v="Yes"/>
    <n v="60"/>
    <n v="15253.069799999999"/>
    <n v="13866.6"/>
    <n v="1386.4697999999989"/>
    <n v="9.0897754889969692E-2"/>
    <n v="0.20100000000000001"/>
    <n v="60"/>
    <n v="231.11"/>
    <n v="15253.069799999999"/>
    <n v="1386.4697999999989"/>
  </r>
  <r>
    <s v="ORD-2023-431328"/>
    <d v="2023-12-20T00:00:00"/>
    <x v="195"/>
    <s v="Q4-2023"/>
    <d v="2024-01-14T00:00:00"/>
    <d v="2024-01-14T00:00:00"/>
    <n v="25"/>
    <n v="25"/>
    <s v="No"/>
    <d v="2023-01-29T00:00:00"/>
    <x v="1"/>
    <x v="4"/>
    <s v="Mumbai"/>
    <s v="Asia - India - Mumbai"/>
    <s v="Non-Profit"/>
    <x v="2"/>
    <x v="4"/>
    <x v="5"/>
    <x v="216"/>
    <n v="1085.6099999999999"/>
    <n v="1246.4100000000001"/>
    <n v="1246.4100000000001"/>
    <s v="Medium"/>
    <n v="0.113"/>
    <n v="0.113"/>
    <s v="No"/>
    <n v="7"/>
    <n v="7738.9596900000006"/>
    <n v="7599.2699999999995"/>
    <n v="139.68969000000106"/>
    <n v="1.8050189637310417E-2"/>
    <n v="0.113"/>
    <n v="7"/>
    <n v="1085.6099999999999"/>
    <n v="7738.9596900000006"/>
    <n v="139.68969000000106"/>
  </r>
  <r>
    <s v="ORD-2023-613317"/>
    <d v="2023-01-22T00:00:00"/>
    <x v="119"/>
    <s v="Q1-2023"/>
    <d v="2023-01-21T00:00:00"/>
    <d v="2023-01-25T00:00:00"/>
    <n v="-1"/>
    <n v="3"/>
    <s v="Yes"/>
    <d v="2023-01-22T00:00:00"/>
    <x v="3"/>
    <x v="6"/>
    <s v="Munich"/>
    <s v="Europe - Germany - Munich"/>
    <s v="Corporate"/>
    <x v="4"/>
    <x v="9"/>
    <x v="5"/>
    <x v="217"/>
    <n v="150.86000000000001"/>
    <n v="346.96"/>
    <n v="346.96"/>
    <s v="Low"/>
    <n v="0.19600000000000001"/>
    <n v="0.19600000000000001"/>
    <s v="No"/>
    <n v="8"/>
    <n v="2231.6467200000002"/>
    <n v="1206.8800000000001"/>
    <n v="1024.7667200000001"/>
    <n v="0.45919755614365343"/>
    <n v="0.19600000000000001"/>
    <n v="8"/>
    <n v="150.86000000000001"/>
    <n v="2231.6467200000002"/>
    <n v="1024.7667200000001"/>
  </r>
  <r>
    <s v="ORD-2024-720756"/>
    <d v="2024-10-11T00:00:00"/>
    <x v="196"/>
    <s v="Q4-2024"/>
    <d v="2024-11-09T00:00:00"/>
    <d v="2024-11-09T00:00:00"/>
    <n v="29"/>
    <n v="29"/>
    <s v="No"/>
    <d v="2023-01-12T00:00:00"/>
    <x v="1"/>
    <x v="9"/>
    <s v="Shanghai"/>
    <s v="Asia - China - Shanghai"/>
    <s v="Non-Profit"/>
    <x v="1"/>
    <x v="9"/>
    <x v="1"/>
    <x v="218"/>
    <n v="391.64"/>
    <n v="504.76"/>
    <n v="504.76"/>
    <s v="Low"/>
    <n v="4.0000000000000001E-3"/>
    <n v="4.0000000000000001E-3"/>
    <s v="No"/>
    <n v="13"/>
    <n v="6535.6324800000002"/>
    <n v="5091.32"/>
    <n v="1444.3124800000005"/>
    <n v="0.22099046793402319"/>
    <n v="4.0000000000000001E-3"/>
    <n v="13"/>
    <n v="391.64"/>
    <n v="6535.6324800000002"/>
    <n v="1444.3124800000005"/>
  </r>
  <r>
    <s v="ORD-2024-777623"/>
    <d v="2024-09-19T00:00:00"/>
    <x v="197"/>
    <s v="Q3-2024"/>
    <d v="2024-10-14T00:00:00"/>
    <d v="2024-10-14T00:00:00"/>
    <n v="25"/>
    <n v="25"/>
    <s v="No"/>
    <d v="2023-01-29T00:00:00"/>
    <x v="2"/>
    <x v="5"/>
    <s v="Rio de Janeiro"/>
    <s v="Americas - Brazil - Rio de Janeiro"/>
    <s v="Small Business"/>
    <x v="0"/>
    <x v="11"/>
    <x v="1"/>
    <x v="219"/>
    <n v="386.96"/>
    <n v="937.46"/>
    <n v="937.46"/>
    <s v="Medium"/>
    <n v="0.26600000000000001"/>
    <n v="0.26600000000000001"/>
    <s v="Yes"/>
    <n v="41"/>
    <n v="28211.92124"/>
    <n v="15865.359999999999"/>
    <n v="12346.561240000001"/>
    <n v="0.43763631462626335"/>
    <n v="0.25"/>
    <n v="41"/>
    <n v="386.96"/>
    <n v="28826.895"/>
    <n v="12961.535000000002"/>
  </r>
  <r>
    <s v="ORD-2025-762212"/>
    <d v="2025-08-25T00:00:00"/>
    <x v="198"/>
    <s v="Q3-2025"/>
    <d v="2025-09-24T00:00:00"/>
    <d v="2025-09-24T00:00:00"/>
    <n v="30"/>
    <n v="30"/>
    <s v="No"/>
    <d v="2023-01-20T00:00:00"/>
    <x v="0"/>
    <x v="0"/>
    <s v="Nairobi"/>
    <s v="Africa - Kenya - Nairobi"/>
    <s v="Consumer"/>
    <x v="4"/>
    <x v="5"/>
    <x v="0"/>
    <x v="220"/>
    <n v="589.14"/>
    <n v="1300.58"/>
    <n v="1300.58"/>
    <s v="Medium"/>
    <n v="5.5E-2"/>
    <n v="5.5E-2"/>
    <s v="No"/>
    <n v="11"/>
    <n v="13519.529099999998"/>
    <n v="6480.54"/>
    <n v="7038.989099999998"/>
    <n v="0.52065342275863724"/>
    <n v="5.5E-2"/>
    <n v="11"/>
    <n v="589.14"/>
    <n v="13519.529099999998"/>
    <n v="7038.989099999998"/>
  </r>
  <r>
    <s v="ORD-2023-271918"/>
    <d v="2023-09-25T00:00:00"/>
    <x v="199"/>
    <s v="Q3-2023"/>
    <d v="2023-10-02T00:00:00"/>
    <d v="2023-10-02T00:00:00"/>
    <n v="7"/>
    <n v="7"/>
    <s v="Yes"/>
    <d v="2023-01-13T00:00:00"/>
    <x v="2"/>
    <x v="10"/>
    <s v="New York"/>
    <s v="Americas - USA - New York"/>
    <s v="Education"/>
    <x v="2"/>
    <x v="2"/>
    <x v="6"/>
    <x v="221"/>
    <n v="145.58000000000001"/>
    <n v="228.15"/>
    <n v="228.15"/>
    <s v="Low"/>
    <n v="0.20399999999999999"/>
    <n v="0.20399999999999999"/>
    <s v="Yes"/>
    <n v="5"/>
    <n v="908.03700000000003"/>
    <n v="727.90000000000009"/>
    <n v="180.13699999999994"/>
    <n v="0.19838068272548359"/>
    <n v="0.20399999999999999"/>
    <n v="5"/>
    <n v="145.58000000000001"/>
    <n v="908.03700000000003"/>
    <n v="180.13699999999994"/>
  </r>
  <r>
    <s v="ORD-2023-713375"/>
    <d v="2023-08-26T00:00:00"/>
    <x v="200"/>
    <s v="Q3-2023"/>
    <d v="2023-09-10T00:00:00"/>
    <d v="2023-09-10T00:00:00"/>
    <n v="15"/>
    <n v="15"/>
    <s v="No"/>
    <d v="2023-01-07T00:00:00"/>
    <x v="0"/>
    <x v="11"/>
    <s v="Cape Town"/>
    <s v="Africa - South Africa - Cape Town"/>
    <s v="Non-Profit"/>
    <x v="4"/>
    <x v="13"/>
    <x v="0"/>
    <x v="222"/>
    <n v="241.14"/>
    <n v="496.52"/>
    <n v="496.52"/>
    <s v="Low"/>
    <n v="9.2999999999999999E-2"/>
    <n v="9.2999999999999999E-2"/>
    <s v="No"/>
    <n v="10"/>
    <n v="4503.4363999999996"/>
    <n v="2411.3999999999996"/>
    <n v="2092.0364"/>
    <n v="0.46454223268257994"/>
    <n v="9.2999999999999999E-2"/>
    <n v="10"/>
    <n v="241.14"/>
    <n v="4503.4363999999996"/>
    <n v="2092.0364"/>
  </r>
  <r>
    <s v="ORD-2025-678688"/>
    <d v="2025-07-16T00:00:00"/>
    <x v="201"/>
    <s v="Q3-2025"/>
    <d v="2025-07-17T00:00:00"/>
    <d v="2025-07-17T00:00:00"/>
    <n v="1"/>
    <n v="1"/>
    <s v="Yes"/>
    <d v="2023-01-07T00:00:00"/>
    <x v="0"/>
    <x v="11"/>
    <s v="Durban"/>
    <s v="Africa - South Africa - Durban"/>
    <s v="Small Business"/>
    <x v="3"/>
    <x v="5"/>
    <x v="2"/>
    <x v="223"/>
    <n v="1198.9000000000001"/>
    <n v="2941.2"/>
    <n v="2941.2"/>
    <s v="High"/>
    <n v="5.0999999999999997E-2"/>
    <n v="5.0999999999999997E-2"/>
    <s v="No"/>
    <n v="24"/>
    <n v="66988.771199999988"/>
    <n v="28773.600000000002"/>
    <n v="38215.171199999982"/>
    <n v="0.57047129713583977"/>
    <n v="5.0999999999999997E-2"/>
    <n v="24"/>
    <n v="1198.9000000000001"/>
    <n v="66988.771199999988"/>
    <n v="38215.171199999982"/>
  </r>
  <r>
    <s v="ORD-2023-501220"/>
    <d v="2023-04-19T00:00:00"/>
    <x v="43"/>
    <s v="Q2-2023"/>
    <d v="2023-05-07T00:00:00"/>
    <d v="2023-05-07T00:00:00"/>
    <n v="18"/>
    <n v="18"/>
    <s v="No"/>
    <d v="2023-01-19T00:00:00"/>
    <x v="3"/>
    <x v="8"/>
    <s v="Birmingham"/>
    <s v="Europe - United Kingdom - Birmingham"/>
    <s v="Enterprise"/>
    <x v="0"/>
    <x v="13"/>
    <x v="4"/>
    <x v="224"/>
    <n v="1089.1500000000001"/>
    <n v="1088.2"/>
    <n v="1088.2"/>
    <s v="Medium"/>
    <n v="5.0999999999999997E-2"/>
    <n v="5.0999999999999997E-2"/>
    <s v="No"/>
    <n v="15"/>
    <n v="15490.527"/>
    <n v="16337.250000000002"/>
    <n v="-846.72300000000178"/>
    <n v="-5.4660696824582002E-2"/>
    <n v="5.0999999999999997E-2"/>
    <n v="15"/>
    <n v="1089.1500000000001"/>
    <n v="15490.527"/>
    <n v="-846.72300000000178"/>
  </r>
  <r>
    <s v="ORD-2023-195665"/>
    <d v="2023-12-19T00:00:00"/>
    <x v="202"/>
    <s v="Q4-2023"/>
    <d v="2023-12-20T00:00:00"/>
    <d v="2023-12-20T00:00:00"/>
    <n v="1"/>
    <n v="1"/>
    <s v="Yes"/>
    <d v="2023-01-29T00:00:00"/>
    <x v="2"/>
    <x v="5"/>
    <s v="Rio de Janeiro"/>
    <s v="Americas - Brazil - Rio de Janeiro"/>
    <s v="Consumer"/>
    <x v="3"/>
    <x v="1"/>
    <x v="3"/>
    <x v="225"/>
    <n v="1080.43"/>
    <n v="2529.15"/>
    <n v="2529.15"/>
    <s v="High"/>
    <n v="0.14699999999999999"/>
    <n v="0.14699999999999999"/>
    <s v="No"/>
    <n v="10"/>
    <n v="21573.6495"/>
    <n v="10804.300000000001"/>
    <n v="10769.349499999998"/>
    <n v="0.49918997247081437"/>
    <n v="0.14699999999999999"/>
    <n v="10"/>
    <n v="1080.43"/>
    <n v="21573.6495"/>
    <n v="10769.349499999998"/>
  </r>
  <r>
    <s v="ORD-2023-290237"/>
    <d v="2023-07-30T00:00:00"/>
    <x v="203"/>
    <s v="Q3-2023"/>
    <d v="2023-08-07T00:00:00"/>
    <d v="2023-08-07T00:00:00"/>
    <n v="8"/>
    <n v="8"/>
    <s v="No"/>
    <d v="2023-03-03T00:00:00"/>
    <x v="1"/>
    <x v="2"/>
    <s v="Nagoya"/>
    <s v="Asia - Japan - Nagoya"/>
    <s v="Education"/>
    <x v="2"/>
    <x v="8"/>
    <x v="2"/>
    <x v="226"/>
    <n v="1352.44"/>
    <n v="2698.01"/>
    <n v="2698.01"/>
    <s v="High"/>
    <n v="0.13100000000000001"/>
    <n v="0.13100000000000001"/>
    <s v="No"/>
    <n v="13"/>
    <n v="30479.418970000002"/>
    <n v="17581.72"/>
    <n v="12897.698970000001"/>
    <n v="0.42316091992090887"/>
    <n v="0.13100000000000001"/>
    <n v="13"/>
    <n v="1352.44"/>
    <n v="30479.418970000002"/>
    <n v="12897.698970000001"/>
  </r>
  <r>
    <s v="ORD-2023-302041"/>
    <d v="2023-10-04T00:00:00"/>
    <x v="204"/>
    <s v="Q4-2023"/>
    <d v="2023-10-29T00:00:00"/>
    <d v="2023-10-29T00:00:00"/>
    <n v="25"/>
    <n v="25"/>
    <s v="No"/>
    <d v="2023-01-13T00:00:00"/>
    <x v="2"/>
    <x v="10"/>
    <s v="San Francisco"/>
    <s v="Americas - USA - San Francisco"/>
    <s v="Small Business"/>
    <x v="3"/>
    <x v="7"/>
    <x v="6"/>
    <x v="227"/>
    <n v="1239.8399999999999"/>
    <n v="1482.75"/>
    <n v="1482.75"/>
    <s v="Medium"/>
    <n v="6.7000000000000004E-2"/>
    <n v="6.7000000000000004E-2"/>
    <s v="No"/>
    <n v="4"/>
    <n v="5533.6230000000005"/>
    <n v="4959.3599999999997"/>
    <n v="574.26300000000083"/>
    <n v="0.10377703721413634"/>
    <n v="6.7000000000000004E-2"/>
    <n v="4"/>
    <n v="1239.8399999999999"/>
    <n v="5533.6230000000005"/>
    <n v="574.26300000000083"/>
  </r>
  <r>
    <s v="ORD-2025-289139"/>
    <d v="2025-08-10T00:00:00"/>
    <x v="205"/>
    <s v="Q3-2025"/>
    <d v="2025-08-30T00:00:00"/>
    <d v="2025-08-30T00:00:00"/>
    <n v="20"/>
    <n v="20"/>
    <s v="No"/>
    <d v="2023-01-13T00:00:00"/>
    <x v="2"/>
    <x v="10"/>
    <s v="San Francisco"/>
    <s v="Americas - USA - San Francisco"/>
    <s v="Corporate"/>
    <x v="2"/>
    <x v="11"/>
    <x v="1"/>
    <x v="228"/>
    <n v="933.29"/>
    <n v="1456.81"/>
    <n v="1456.81"/>
    <s v="Medium"/>
    <n v="0.123"/>
    <n v="0.123"/>
    <s v="No"/>
    <n v="13"/>
    <n v="16609.090809999998"/>
    <n v="12132.77"/>
    <n v="4476.3208099999974"/>
    <n v="0.26951028573489977"/>
    <n v="0.123"/>
    <n v="13"/>
    <n v="933.29"/>
    <n v="16609.090809999998"/>
    <n v="4476.3208099999974"/>
  </r>
  <r>
    <s v="ORD-2023-949710"/>
    <d v="2023-03-07T00:00:00"/>
    <x v="206"/>
    <s v="Q1-2023"/>
    <d v="2023-04-01T00:00:00"/>
    <d v="2023-04-01T00:00:00"/>
    <n v="25"/>
    <n v="25"/>
    <s v="No"/>
    <d v="2023-01-20T00:00:00"/>
    <x v="0"/>
    <x v="0"/>
    <s v="Nairobi"/>
    <s v="Africa - Kenya - Nairobi"/>
    <s v="Consumer"/>
    <x v="2"/>
    <x v="14"/>
    <x v="1"/>
    <x v="229"/>
    <n v="1024.0999999999999"/>
    <n v="918.19"/>
    <n v="918.19"/>
    <s v="Medium"/>
    <n v="0.189"/>
    <n v="0.189"/>
    <s v="No"/>
    <n v="10"/>
    <n v="7446.5209000000004"/>
    <n v="10241"/>
    <n v="-2794.4790999999996"/>
    <n v="-0.37527311579827827"/>
    <n v="0.189"/>
    <n v="10"/>
    <n v="1024.0999999999999"/>
    <n v="7446.5209000000004"/>
    <n v="-2794.4790999999996"/>
  </r>
  <r>
    <s v="ORD-2023-603650"/>
    <d v="2023-05-23T00:00:00"/>
    <x v="207"/>
    <s v="Q2-2023"/>
    <d v="2023-06-10T00:00:00"/>
    <d v="2023-06-10T00:00:00"/>
    <n v="18"/>
    <n v="18"/>
    <s v="No"/>
    <d v="2023-01-12T00:00:00"/>
    <x v="1"/>
    <x v="9"/>
    <s v="Shanghai"/>
    <s v="Asia - China - Shanghai"/>
    <s v="Corporate"/>
    <x v="3"/>
    <x v="6"/>
    <x v="0"/>
    <x v="230"/>
    <n v="54.62"/>
    <n v="48.94"/>
    <n v="48.94"/>
    <s v="Low"/>
    <n v="0.14799999999999999"/>
    <n v="0.14799999999999999"/>
    <s v="No"/>
    <n v="16"/>
    <n v="667.15008"/>
    <n v="873.92"/>
    <n v="-206.76991999999996"/>
    <n v="-0.3099301434543783"/>
    <n v="0.14799999999999999"/>
    <n v="16"/>
    <n v="54.62"/>
    <n v="667.15008"/>
    <n v="-206.76991999999996"/>
  </r>
  <r>
    <s v="ORD-2025-757957"/>
    <d v="2025-04-24T00:00:00"/>
    <x v="208"/>
    <s v="Q2-2025"/>
    <d v="2025-05-06T00:00:00"/>
    <d v="2025-05-06T00:00:00"/>
    <n v="12"/>
    <n v="12"/>
    <s v="No"/>
    <d v="2023-01-29T00:00:00"/>
    <x v="2"/>
    <x v="5"/>
    <s v="Brasília"/>
    <s v="Americas - Brazil - Brasília"/>
    <s v="Consumer"/>
    <x v="1"/>
    <x v="0"/>
    <x v="3"/>
    <x v="231"/>
    <n v="394.13"/>
    <n v="932.29"/>
    <n v="932.29"/>
    <s v="Medium"/>
    <n v="0.109"/>
    <n v="0.109"/>
    <s v="No"/>
    <n v="7"/>
    <n v="5814.6927299999998"/>
    <n v="2758.91"/>
    <n v="3055.7827299999999"/>
    <n v="0.5255278089303268"/>
    <n v="0.109"/>
    <n v="7"/>
    <n v="394.13"/>
    <n v="5814.6927299999998"/>
    <n v="3055.7827299999999"/>
  </r>
  <r>
    <s v="ORD-2024-423853"/>
    <d v="2024-09-03T00:00:00"/>
    <x v="209"/>
    <s v="Q3-2024"/>
    <d v="2024-09-08T00:00:00"/>
    <d v="2024-09-08T00:00:00"/>
    <n v="5"/>
    <n v="5"/>
    <s v="Yes"/>
    <d v="2023-01-15T00:00:00"/>
    <x v="0"/>
    <x v="1"/>
    <s v="Lagos"/>
    <s v="Africa - Nigeria - Lagos"/>
    <s v="Small Business"/>
    <x v="4"/>
    <x v="11"/>
    <x v="1"/>
    <x v="232"/>
    <n v="197.63"/>
    <n v="325.79000000000002"/>
    <n v="325.79000000000002"/>
    <s v="Low"/>
    <n v="0.11600000000000001"/>
    <n v="0.11600000000000001"/>
    <s v="No"/>
    <n v="10"/>
    <n v="2879.9836"/>
    <n v="1976.3"/>
    <n v="903.68360000000007"/>
    <n v="0.31378081458519419"/>
    <n v="0.11600000000000001"/>
    <n v="10"/>
    <n v="197.63"/>
    <n v="2879.9836"/>
    <n v="903.68360000000007"/>
  </r>
  <r>
    <s v="ORD-2024-569164"/>
    <d v="2024-09-05T00:00:00"/>
    <x v="210"/>
    <s v="Q3-2024"/>
    <d v="2024-09-25T00:00:00"/>
    <d v="2024-09-25T00:00:00"/>
    <n v="20"/>
    <n v="20"/>
    <s v="No"/>
    <d v="2023-03-03T00:00:00"/>
    <x v="1"/>
    <x v="2"/>
    <s v="Osaka"/>
    <s v="Asia - Japan - Osaka"/>
    <s v="Enterprise"/>
    <x v="3"/>
    <x v="14"/>
    <x v="5"/>
    <x v="233"/>
    <n v="195.54"/>
    <n v="405.97"/>
    <n v="405.97"/>
    <s v="Low"/>
    <n v="0.187"/>
    <n v="0.187"/>
    <s v="No"/>
    <n v="16"/>
    <n v="5280.8577599999999"/>
    <n v="3128.64"/>
    <n v="2152.21776"/>
    <n v="0.40755079152141377"/>
    <n v="0.187"/>
    <n v="16"/>
    <n v="195.54"/>
    <n v="5280.8577599999999"/>
    <n v="2152.21776"/>
  </r>
  <r>
    <s v="ORD-2023-946143"/>
    <d v="2023-03-14T00:00:00"/>
    <x v="211"/>
    <s v="Q1-2023"/>
    <d v="2023-03-30T00:00:00"/>
    <d v="2023-03-30T00:00:00"/>
    <n v="16"/>
    <n v="16"/>
    <s v="No"/>
    <d v="2023-01-07T00:00:00"/>
    <x v="0"/>
    <x v="11"/>
    <s v="Cape Town"/>
    <s v="Africa - South Africa - Cape Town"/>
    <s v="Consumer"/>
    <x v="3"/>
    <x v="11"/>
    <x v="0"/>
    <x v="234"/>
    <n v="1309.77"/>
    <n v="1589.07"/>
    <n v="1589.07"/>
    <s v="Medium"/>
    <n v="0.10199999999999999"/>
    <n v="0.10199999999999999"/>
    <s v="No"/>
    <n v="10"/>
    <n v="14269.848599999999"/>
    <n v="13097.7"/>
    <n v="1172.1485999999986"/>
    <n v="8.2141628328137886E-2"/>
    <n v="0.10199999999999999"/>
    <n v="10"/>
    <n v="1309.77"/>
    <n v="14269.848599999999"/>
    <n v="1172.1485999999986"/>
  </r>
  <r>
    <s v="ORD-2024-281211"/>
    <d v="2024-01-11T00:00:00"/>
    <x v="39"/>
    <s v="Q1-2024"/>
    <d v="2024-02-02T00:00:00"/>
    <d v="2024-02-02T00:00:00"/>
    <n v="22"/>
    <n v="22"/>
    <s v="No"/>
    <d v="2023-03-03T00:00:00"/>
    <x v="1"/>
    <x v="2"/>
    <s v="Nagoya"/>
    <s v="Asia - Japan - Nagoya"/>
    <s v="Small Business"/>
    <x v="1"/>
    <x v="5"/>
    <x v="1"/>
    <x v="235"/>
    <n v="1237.68"/>
    <n v="1432.8"/>
    <n v="1432.8"/>
    <s v="Medium"/>
    <n v="6.8000000000000005E-2"/>
    <n v="6.8000000000000005E-2"/>
    <s v="No"/>
    <n v="13"/>
    <n v="17359.804799999998"/>
    <n v="16089.84"/>
    <n v="1269.9647999999979"/>
    <n v="7.315547695559331E-2"/>
    <n v="6.8000000000000005E-2"/>
    <n v="13"/>
    <n v="1237.68"/>
    <n v="17359.804799999998"/>
    <n v="1269.9647999999979"/>
  </r>
  <r>
    <s v="ORD-2024-805860"/>
    <d v="2024-09-13T00:00:00"/>
    <x v="212"/>
    <s v="Q3-2024"/>
    <d v="2024-10-02T00:00:00"/>
    <d v="2024-10-02T00:00:00"/>
    <n v="19"/>
    <n v="19"/>
    <s v="No"/>
    <d v="2023-01-20T00:00:00"/>
    <x v="0"/>
    <x v="0"/>
    <s v="Mombasa"/>
    <s v="Africa - Kenya - Mombasa"/>
    <s v="Small Business"/>
    <x v="0"/>
    <x v="12"/>
    <x v="3"/>
    <x v="236"/>
    <n v="1338.99"/>
    <n v="1765.76"/>
    <n v="1765.76"/>
    <s v="High"/>
    <n v="0.126"/>
    <n v="0.126"/>
    <s v="No"/>
    <n v="24"/>
    <n v="37038.581760000001"/>
    <n v="32135.760000000002"/>
    <n v="4902.8217599999989"/>
    <n v="0.1323706666677725"/>
    <n v="0.126"/>
    <n v="24"/>
    <n v="1338.99"/>
    <n v="37038.581760000001"/>
    <n v="4902.8217599999989"/>
  </r>
  <r>
    <s v="ORD-2025-132174"/>
    <d v="2025-07-17T00:00:00"/>
    <x v="213"/>
    <s v="Q3-2025"/>
    <d v="2025-07-23T00:00:00"/>
    <d v="2025-07-23T00:00:00"/>
    <n v="6"/>
    <n v="6"/>
    <s v="Yes"/>
    <d v="2023-01-02T00:00:00"/>
    <x v="2"/>
    <x v="3"/>
    <s v="Vancouver"/>
    <s v="Americas - Canada - Vancouver"/>
    <s v="Consumer"/>
    <x v="1"/>
    <x v="10"/>
    <x v="0"/>
    <x v="237"/>
    <n v="1364.89"/>
    <n v="2757.54"/>
    <n v="2757.54"/>
    <s v="High"/>
    <n v="0.17199999999999999"/>
    <n v="0.17199999999999999"/>
    <s v="No"/>
    <n v="61"/>
    <n v="139277.83032000001"/>
    <n v="83258.290000000008"/>
    <n v="56019.54032"/>
    <n v="0.4022143379983118"/>
    <n v="0.17199999999999999"/>
    <n v="61"/>
    <n v="1364.89"/>
    <n v="139277.83032000001"/>
    <n v="56019.54032"/>
  </r>
  <r>
    <s v="ORD-2023-964434"/>
    <d v="2023-11-28T00:00:00"/>
    <x v="214"/>
    <s v="Q4-2023"/>
    <d v="2023-12-07T00:00:00"/>
    <d v="2023-12-07T00:00:00"/>
    <n v="9"/>
    <n v="9"/>
    <s v="No"/>
    <d v="2023-01-29T00:00:00"/>
    <x v="1"/>
    <x v="4"/>
    <s v="Delhi"/>
    <s v="Asia - India - Delhi"/>
    <s v="Enterprise"/>
    <x v="2"/>
    <x v="4"/>
    <x v="3"/>
    <x v="238"/>
    <n v="699.33"/>
    <n v="873.75"/>
    <n v="873.75"/>
    <s v="Medium"/>
    <n v="0.23499999999999999"/>
    <n v="0.23499999999999999"/>
    <s v="Yes"/>
    <n v="10"/>
    <n v="6684.1875"/>
    <n v="6993.3"/>
    <n v="-309.11250000000018"/>
    <n v="-4.6245336475076469E-2"/>
    <n v="0.23499999999999999"/>
    <n v="10"/>
    <n v="699.33"/>
    <n v="6684.1875"/>
    <n v="-309.11250000000018"/>
  </r>
  <r>
    <s v="ORD-2024-897622"/>
    <d v="2024-03-30T00:00:00"/>
    <x v="215"/>
    <s v="Q1-2024"/>
    <d v="2024-04-24T00:00:00"/>
    <d v="2024-04-24T00:00:00"/>
    <n v="25"/>
    <n v="25"/>
    <s v="No"/>
    <d v="2023-01-13T00:00:00"/>
    <x v="2"/>
    <x v="10"/>
    <s v="Austin"/>
    <s v="Americas - USA - Austin"/>
    <s v="Non-Profit"/>
    <x v="1"/>
    <x v="3"/>
    <x v="4"/>
    <x v="239"/>
    <n v="160.82"/>
    <n v="258.52"/>
    <n v="258.52"/>
    <s v="Low"/>
    <n v="0.13"/>
    <n v="0.13"/>
    <s v="No"/>
    <n v="17"/>
    <n v="3823.5108"/>
    <n v="2733.94"/>
    <n v="1089.5708"/>
    <n v="0.28496605789631874"/>
    <n v="0.13"/>
    <n v="17"/>
    <n v="160.82"/>
    <n v="3823.5108"/>
    <n v="1089.5708"/>
  </r>
  <r>
    <s v="ORD-2023-517216"/>
    <d v="2023-09-19T00:00:00"/>
    <x v="216"/>
    <s v="Q3-2023"/>
    <d v="2023-10-08T00:00:00"/>
    <d v="2023-10-08T00:00:00"/>
    <n v="19"/>
    <n v="19"/>
    <s v="No"/>
    <d v="2023-01-29T00:00:00"/>
    <x v="1"/>
    <x v="4"/>
    <s v="Bengaluru"/>
    <s v="Asia - India - Bengaluru"/>
    <s v="Education"/>
    <x v="4"/>
    <x v="1"/>
    <x v="1"/>
    <x v="240"/>
    <n v="385.32"/>
    <n v="606.76"/>
    <n v="606.76"/>
    <s v="Low"/>
    <n v="8.5999999999999993E-2"/>
    <n v="8.5999999999999993E-2"/>
    <s v="No"/>
    <n v="8"/>
    <n v="4436.6291200000005"/>
    <n v="3082.56"/>
    <n v="1354.0691200000006"/>
    <n v="0.30520223425842735"/>
    <n v="8.5999999999999993E-2"/>
    <n v="8"/>
    <n v="385.32"/>
    <n v="4436.6291200000005"/>
    <n v="1354.0691200000006"/>
  </r>
  <r>
    <s v="ORD-2025-509940"/>
    <d v="2025-05-16T00:00:00"/>
    <x v="217"/>
    <s v="Q2-2025"/>
    <d v="2025-05-27T00:00:00"/>
    <d v="2025-05-27T00:00:00"/>
    <n v="11"/>
    <n v="11"/>
    <s v="No"/>
    <d v="2023-01-12T00:00:00"/>
    <x v="1"/>
    <x v="9"/>
    <s v="Beijing"/>
    <s v="Asia - China - Beijing"/>
    <s v="Enterprise"/>
    <x v="1"/>
    <x v="9"/>
    <x v="3"/>
    <x v="241"/>
    <n v="918.12"/>
    <n v="1337.69"/>
    <n v="1337.69"/>
    <s v="Medium"/>
    <n v="9.5000000000000001E-2"/>
    <n v="9.5000000000000001E-2"/>
    <s v="No"/>
    <n v="8"/>
    <n v="9684.8756000000012"/>
    <n v="7344.96"/>
    <n v="2339.9156000000012"/>
    <n v="0.24160512707050164"/>
    <n v="9.5000000000000001E-2"/>
    <n v="8"/>
    <n v="918.12"/>
    <n v="9684.8756000000012"/>
    <n v="2339.9156000000012"/>
  </r>
  <r>
    <s v="ORD-2025-646342"/>
    <d v="2025-08-02T00:00:00"/>
    <x v="218"/>
    <s v="Q3-2025"/>
    <d v="2025-08-08T00:00:00"/>
    <d v="2025-08-08T00:00:00"/>
    <n v="6"/>
    <n v="6"/>
    <s v="Yes"/>
    <d v="2023-03-03T00:00:00"/>
    <x v="1"/>
    <x v="2"/>
    <s v="Osaka"/>
    <s v="Asia - Japan - Osaka"/>
    <s v="Consumer"/>
    <x v="4"/>
    <x v="13"/>
    <x v="4"/>
    <x v="242"/>
    <n v="1225.94"/>
    <n v="1793.08"/>
    <n v="1793.08"/>
    <s v="High"/>
    <n v="0.13600000000000001"/>
    <n v="0.13600000000000001"/>
    <s v="No"/>
    <n v="22"/>
    <n v="34082.864639999993"/>
    <n v="26970.68"/>
    <n v="7112.1846399999922"/>
    <n v="0.20867332353434462"/>
    <n v="0.13600000000000001"/>
    <n v="22"/>
    <n v="1225.94"/>
    <n v="34082.864639999993"/>
    <n v="7112.1846399999922"/>
  </r>
  <r>
    <s v="ORD-2024-866535"/>
    <d v="2024-12-04T00:00:00"/>
    <x v="219"/>
    <s v="Q4-2024"/>
    <d v="2024-12-12T00:00:00"/>
    <d v="2024-12-12T00:00:00"/>
    <n v="8"/>
    <n v="8"/>
    <s v="No"/>
    <d v="2023-01-22T00:00:00"/>
    <x v="3"/>
    <x v="6"/>
    <s v="Frankfurt"/>
    <s v="Europe - Germany - Frankfurt"/>
    <s v="Enterprise"/>
    <x v="2"/>
    <x v="5"/>
    <x v="1"/>
    <x v="243"/>
    <n v="72.06"/>
    <n v="122.74"/>
    <n v="122.74"/>
    <s v="Low"/>
    <n v="0.23799999999999999"/>
    <n v="0.23799999999999999"/>
    <s v="Yes"/>
    <n v="8"/>
    <n v="748.22303999999997"/>
    <n v="576.48"/>
    <n v="171.74303999999995"/>
    <n v="0.22953455162246802"/>
    <n v="0.23799999999999999"/>
    <n v="8"/>
    <n v="72.06"/>
    <n v="748.22303999999997"/>
    <n v="171.74303999999995"/>
  </r>
  <r>
    <s v="ORD-2023-747341"/>
    <d v="2023-04-19T00:00:00"/>
    <x v="43"/>
    <s v="Q2-2023"/>
    <d v="2023-04-28T00:00:00"/>
    <d v="2023-04-28T00:00:00"/>
    <n v="9"/>
    <n v="9"/>
    <s v="No"/>
    <d v="2023-01-29T00:00:00"/>
    <x v="2"/>
    <x v="5"/>
    <s v="Rio de Janeiro"/>
    <s v="Americas - Brazil - Rio de Janeiro"/>
    <s v="Corporate"/>
    <x v="3"/>
    <x v="12"/>
    <x v="3"/>
    <x v="244"/>
    <n v="1013.54"/>
    <n v="927.93"/>
    <n v="927.93"/>
    <s v="Medium"/>
    <n v="0.17499999999999999"/>
    <n v="0.17499999999999999"/>
    <s v="No"/>
    <n v="16"/>
    <n v="12248.675999999999"/>
    <n v="16216.64"/>
    <n v="-3967.9639999999999"/>
    <n v="-0.32395044166406234"/>
    <n v="0.17499999999999999"/>
    <n v="16"/>
    <n v="1013.54"/>
    <n v="12248.675999999999"/>
    <n v="-3967.9639999999999"/>
  </r>
  <r>
    <s v="ORD-2024-853298"/>
    <d v="2024-03-06T00:00:00"/>
    <x v="220"/>
    <s v="Q1-2024"/>
    <d v="2024-03-26T00:00:00"/>
    <d v="2024-03-26T00:00:00"/>
    <n v="20"/>
    <n v="20"/>
    <s v="No"/>
    <d v="2023-01-15T00:00:00"/>
    <x v="0"/>
    <x v="1"/>
    <s v="Port Harcourt"/>
    <s v="Africa - Nigeria - Port Harcourt"/>
    <s v="Consumer"/>
    <x v="2"/>
    <x v="2"/>
    <x v="3"/>
    <x v="245"/>
    <n v="65.64"/>
    <n v="151.88"/>
    <n v="151.88"/>
    <s v="Low"/>
    <n v="0.16700000000000001"/>
    <n v="0.16700000000000001"/>
    <s v="No"/>
    <n v="23"/>
    <n v="2909.8689199999999"/>
    <n v="1509.72"/>
    <n v="1400.1489199999999"/>
    <n v="0.48117250587356353"/>
    <n v="0.16700000000000001"/>
    <n v="23"/>
    <n v="65.64"/>
    <n v="2909.8689199999999"/>
    <n v="1400.1489199999999"/>
  </r>
  <r>
    <s v="ORD-2024-544865"/>
    <d v="2024-02-16T00:00:00"/>
    <x v="221"/>
    <s v="Q1-2024"/>
    <d v="2024-03-04T00:00:00"/>
    <d v="2024-03-04T00:00:00"/>
    <n v="17"/>
    <n v="17"/>
    <s v="No"/>
    <d v="2023-01-02T00:00:00"/>
    <x v="2"/>
    <x v="3"/>
    <s v="Montreal"/>
    <s v="Americas - Canada - Montreal"/>
    <s v="Non-Profit"/>
    <x v="0"/>
    <x v="14"/>
    <x v="4"/>
    <x v="246"/>
    <n v="1350.98"/>
    <n v="2210.4"/>
    <n v="2210.4"/>
    <s v="High"/>
    <n v="0.26300000000000001"/>
    <n v="0.26300000000000001"/>
    <s v="Yes"/>
    <n v="6"/>
    <n v="9774.3888000000006"/>
    <n v="8105.88"/>
    <n v="1668.5088000000005"/>
    <n v="0.17070211080615091"/>
    <n v="0.25"/>
    <n v="6"/>
    <n v="1350.98"/>
    <n v="9946.8000000000011"/>
    <n v="1840.920000000001"/>
  </r>
  <r>
    <s v="ORD-2025-946490"/>
    <d v="2025-04-22T00:00:00"/>
    <x v="222"/>
    <s v="Q2-2025"/>
    <d v="2025-05-02T00:00:00"/>
    <d v="2025-05-02T00:00:00"/>
    <n v="10"/>
    <n v="10"/>
    <s v="No"/>
    <d v="2023-01-22T00:00:00"/>
    <x v="3"/>
    <x v="6"/>
    <s v="Berlin"/>
    <s v="Europe - Germany - Berlin"/>
    <s v="Corporate"/>
    <x v="2"/>
    <x v="0"/>
    <x v="5"/>
    <x v="247"/>
    <n v="20.149999999999999"/>
    <n v="39.74"/>
    <n v="39.74"/>
    <s v="Low"/>
    <n v="0.151"/>
    <n v="0.151"/>
    <s v="No"/>
    <n v="18"/>
    <n v="607.30668000000003"/>
    <n v="362.7"/>
    <n v="244.60668000000004"/>
    <n v="0.4027729120318585"/>
    <n v="0.151"/>
    <n v="18"/>
    <n v="20.149999999999999"/>
    <n v="607.30668000000003"/>
    <n v="244.60668000000004"/>
  </r>
  <r>
    <s v="ORD-2024-320972"/>
    <d v="2024-11-08T00:00:00"/>
    <x v="223"/>
    <s v="Q4-2024"/>
    <d v="2024-11-08T00:00:00"/>
    <d v="2024-11-08T00:00:00"/>
    <n v="0"/>
    <n v="0"/>
    <s v="Yes"/>
    <d v="2023-01-20T00:00:00"/>
    <x v="0"/>
    <x v="0"/>
    <s v="Nakuru"/>
    <s v="Africa - Kenya - Nakuru"/>
    <s v="Enterprise"/>
    <x v="2"/>
    <x v="12"/>
    <x v="2"/>
    <x v="248"/>
    <n v="803.28"/>
    <n v="1009"/>
    <n v="1009"/>
    <s v="Medium"/>
    <n v="0.11"/>
    <n v="0.11"/>
    <s v="No"/>
    <n v="4"/>
    <n v="3592.04"/>
    <n v="3213.12"/>
    <n v="378.92000000000007"/>
    <n v="0.10548880302001093"/>
    <n v="0.11"/>
    <n v="4"/>
    <n v="803.28"/>
    <n v="3592.04"/>
    <n v="378.92000000000007"/>
  </r>
  <r>
    <s v="ORD-2025-248586"/>
    <d v="2025-09-12T00:00:00"/>
    <x v="224"/>
    <s v="Q3-2025"/>
    <d v="2025-09-30T00:00:00"/>
    <d v="2025-09-30T00:00:00"/>
    <n v="18"/>
    <n v="18"/>
    <s v="No"/>
    <d v="2023-03-03T00:00:00"/>
    <x v="1"/>
    <x v="2"/>
    <s v="Nagoya"/>
    <s v="Asia - Japan - Nagoya"/>
    <s v="Non-Profit"/>
    <x v="2"/>
    <x v="9"/>
    <x v="5"/>
    <x v="249"/>
    <n v="1212.99"/>
    <n v="1653.64"/>
    <n v="1653.64"/>
    <s v="High"/>
    <n v="0.107"/>
    <n v="0.107"/>
    <s v="No"/>
    <n v="8"/>
    <n v="11813.604160000001"/>
    <n v="9703.92"/>
    <n v="2109.6841600000007"/>
    <n v="0.17858090819931455"/>
    <n v="0.107"/>
    <n v="8"/>
    <n v="1212.99"/>
    <n v="11813.604160000001"/>
    <n v="2109.6841600000007"/>
  </r>
  <r>
    <s v="ORD-2024-664046"/>
    <d v="2024-09-02T00:00:00"/>
    <x v="225"/>
    <s v="Q3-2024"/>
    <d v="2024-09-08T00:00:00"/>
    <d v="2024-09-08T00:00:00"/>
    <n v="6"/>
    <n v="6"/>
    <s v="Yes"/>
    <d v="2023-01-13T00:00:00"/>
    <x v="2"/>
    <x v="10"/>
    <s v="Austin"/>
    <s v="Americas - USA - Austin"/>
    <s v="Consumer"/>
    <x v="4"/>
    <x v="10"/>
    <x v="0"/>
    <x v="250"/>
    <n v="462.94"/>
    <n v="1015.7"/>
    <n v="1015.7"/>
    <s v="Medium"/>
    <n v="0.14299999999999999"/>
    <n v="0.14299999999999999"/>
    <s v="No"/>
    <n v="14"/>
    <n v="12186.368600000002"/>
    <n v="6481.16"/>
    <n v="5705.2086000000018"/>
    <n v="0.46816314090483041"/>
    <n v="0.14299999999999999"/>
    <n v="14"/>
    <n v="462.94"/>
    <n v="12186.368600000002"/>
    <n v="5705.2086000000018"/>
  </r>
  <r>
    <s v="ORD-2023-276806"/>
    <d v="2023-03-04T00:00:00"/>
    <x v="226"/>
    <s v="Q1-2023"/>
    <d v="2023-03-24T00:00:00"/>
    <d v="2023-03-24T00:00:00"/>
    <n v="20"/>
    <n v="20"/>
    <s v="No"/>
    <d v="2023-01-02T00:00:00"/>
    <x v="2"/>
    <x v="3"/>
    <s v="Montreal"/>
    <s v="Americas - Canada - Montreal"/>
    <s v="Consumer"/>
    <x v="3"/>
    <x v="2"/>
    <x v="4"/>
    <x v="251"/>
    <n v="481.71"/>
    <n v="912.45"/>
    <n v="912.45"/>
    <s v="Medium"/>
    <n v="0.20300000000000001"/>
    <n v="0.20300000000000001"/>
    <s v="Yes"/>
    <n v="24"/>
    <n v="17453.3436"/>
    <n v="11561.039999999999"/>
    <n v="5892.3036000000011"/>
    <n v="0.33760313983619739"/>
    <n v="0.20300000000000001"/>
    <n v="24"/>
    <n v="481.71"/>
    <n v="17453.3436"/>
    <n v="5892.3036000000011"/>
  </r>
  <r>
    <s v="ORD-2024-220234"/>
    <d v="2024-03-15T00:00:00"/>
    <x v="227"/>
    <s v="Q1-2024"/>
    <d v="2024-04-09T00:00:00"/>
    <d v="2024-04-09T00:00:00"/>
    <n v="25"/>
    <n v="25"/>
    <s v="No"/>
    <d v="2023-01-02T00:00:00"/>
    <x v="2"/>
    <x v="3"/>
    <s v="Vancouver"/>
    <s v="Americas - Canada - Vancouver"/>
    <s v="Consumer"/>
    <x v="1"/>
    <x v="9"/>
    <x v="5"/>
    <x v="252"/>
    <n v="648.64"/>
    <n v="815.19"/>
    <n v="815.19"/>
    <s v="Low"/>
    <n v="0.22500000000000001"/>
    <n v="0.22500000000000001"/>
    <s v="Yes"/>
    <n v="28"/>
    <n v="17689.623"/>
    <n v="18161.919999999998"/>
    <n v="-472.29699999999866"/>
    <n v="-2.6699099240272032E-2"/>
    <n v="0.22500000000000001"/>
    <n v="28"/>
    <n v="648.64"/>
    <n v="17689.623"/>
    <n v="-472.29699999999866"/>
  </r>
  <r>
    <s v="ORD-2024-301260"/>
    <d v="2024-07-29T00:00:00"/>
    <x v="228"/>
    <s v="Q3-2024"/>
    <d v="2024-07-31T00:00:00"/>
    <d v="2024-07-31T00:00:00"/>
    <n v="2"/>
    <n v="2"/>
    <s v="Yes"/>
    <d v="2023-01-13T00:00:00"/>
    <x v="2"/>
    <x v="10"/>
    <s v="New York"/>
    <s v="Americas - USA - New York"/>
    <s v="Education"/>
    <x v="2"/>
    <x v="2"/>
    <x v="1"/>
    <x v="253"/>
    <n v="798.97"/>
    <n v="1814.06"/>
    <n v="1814.06"/>
    <s v="High"/>
    <n v="0.122"/>
    <n v="0.122"/>
    <s v="No"/>
    <n v="16"/>
    <n v="25483.91488"/>
    <n v="12783.52"/>
    <n v="12700.39488"/>
    <n v="0.49836906691159061"/>
    <n v="0.122"/>
    <n v="16"/>
    <n v="798.97"/>
    <n v="25483.91488"/>
    <n v="12700.39488"/>
  </r>
  <r>
    <s v="ORD-2024-350100"/>
    <d v="2024-10-27T00:00:00"/>
    <x v="229"/>
    <s v="Q4-2024"/>
    <d v="2024-11-20T00:00:00"/>
    <d v="2024-11-20T00:00:00"/>
    <n v="24"/>
    <n v="24"/>
    <s v="No"/>
    <d v="2023-03-03T00:00:00"/>
    <x v="1"/>
    <x v="2"/>
    <s v="Nagoya"/>
    <s v="Asia - Japan - Nagoya"/>
    <s v="Non-Profit"/>
    <x v="1"/>
    <x v="10"/>
    <x v="5"/>
    <x v="254"/>
    <n v="317.25"/>
    <n v="758.92"/>
    <n v="758.92"/>
    <s v="Low"/>
    <n v="5.2999999999999999E-2"/>
    <n v="5.2999999999999999E-2"/>
    <s v="No"/>
    <n v="9"/>
    <n v="6468.2751599999992"/>
    <n v="2855.25"/>
    <n v="3613.0251599999992"/>
    <n v="0.5585762928489888"/>
    <n v="5.2999999999999999E-2"/>
    <n v="9"/>
    <n v="317.25"/>
    <n v="6468.2751599999992"/>
    <n v="3613.0251599999992"/>
  </r>
  <r>
    <s v="ORD-2024-855600"/>
    <d v="2024-04-29T00:00:00"/>
    <x v="230"/>
    <s v="Q2-2024"/>
    <d v="2024-05-19T00:00:00"/>
    <d v="2024-05-19T00:00:00"/>
    <n v="20"/>
    <n v="20"/>
    <s v="No"/>
    <d v="2023-01-22T00:00:00"/>
    <x v="3"/>
    <x v="6"/>
    <s v="Frankfurt"/>
    <s v="Europe - Germany - Frankfurt"/>
    <s v="Enterprise"/>
    <x v="2"/>
    <x v="0"/>
    <x v="4"/>
    <x v="255"/>
    <n v="668.97"/>
    <n v="1667.44"/>
    <n v="1667.44"/>
    <s v="High"/>
    <n v="3.4000000000000002E-2"/>
    <n v="3.4000000000000002E-2"/>
    <s v="No"/>
    <n v="15"/>
    <n v="24161.205600000001"/>
    <n v="10034.550000000001"/>
    <n v="14126.6556"/>
    <n v="0.58468339013679016"/>
    <n v="3.4000000000000002E-2"/>
    <n v="15"/>
    <n v="668.97"/>
    <n v="24161.205600000001"/>
    <n v="14126.6556"/>
  </r>
  <r>
    <s v="ORD-2023-474313"/>
    <d v="2023-10-05T00:00:00"/>
    <x v="231"/>
    <s v="Q4-2023"/>
    <d v="2023-10-06T00:00:00"/>
    <d v="2023-10-06T00:00:00"/>
    <n v="1"/>
    <n v="1"/>
    <s v="Yes"/>
    <d v="2023-01-29T00:00:00"/>
    <x v="1"/>
    <x v="4"/>
    <s v="Bengaluru"/>
    <s v="Asia - India - Bengaluru"/>
    <s v="Non-Profit"/>
    <x v="1"/>
    <x v="2"/>
    <x v="0"/>
    <x v="256"/>
    <n v="1470.26"/>
    <n v="2562.5500000000002"/>
    <n v="2562.5500000000002"/>
    <s v="High"/>
    <n v="0.17299999999999999"/>
    <n v="0.17299999999999999"/>
    <s v="No"/>
    <n v="9"/>
    <n v="19073.059649999999"/>
    <n v="13232.34"/>
    <n v="5840.7196499999991"/>
    <n v="0.30622877279157462"/>
    <n v="0.17299999999999999"/>
    <n v="9"/>
    <n v="1470.26"/>
    <n v="19073.059649999999"/>
    <n v="5840.7196499999991"/>
  </r>
  <r>
    <s v="ORD-2023-256951"/>
    <d v="2023-04-19T00:00:00"/>
    <x v="43"/>
    <s v="Q2-2023"/>
    <d v="2023-05-07T00:00:00"/>
    <d v="2023-05-07T00:00:00"/>
    <n v="18"/>
    <n v="18"/>
    <s v="No"/>
    <d v="2023-01-19T00:00:00"/>
    <x v="3"/>
    <x v="8"/>
    <s v="London"/>
    <s v="Europe - United Kingdom - London"/>
    <s v="Non-Profit"/>
    <x v="4"/>
    <x v="10"/>
    <x v="2"/>
    <x v="257"/>
    <n v="516.96"/>
    <n v="745.38"/>
    <n v="745.38"/>
    <s v="Low"/>
    <n v="0.19700000000000001"/>
    <n v="0.19700000000000001"/>
    <s v="No"/>
    <n v="4"/>
    <n v="2394.1605599999998"/>
    <n v="2067.84"/>
    <n v="326.32055999999966"/>
    <n v="0.13629852794835101"/>
    <n v="0.19700000000000001"/>
    <n v="4"/>
    <n v="516.96"/>
    <n v="2394.1605599999998"/>
    <n v="326.32055999999966"/>
  </r>
  <r>
    <s v="ORD-2025-184754"/>
    <d v="2025-06-27T00:00:00"/>
    <x v="232"/>
    <s v="Q2-2025"/>
    <d v="2025-07-05T00:00:00"/>
    <d v="2025-07-05T00:00:00"/>
    <n v="8"/>
    <n v="8"/>
    <s v="No"/>
    <d v="2023-01-22T00:00:00"/>
    <x v="3"/>
    <x v="6"/>
    <s v="Munich"/>
    <s v="Europe - Germany - Munich"/>
    <s v="Small Business"/>
    <x v="4"/>
    <x v="3"/>
    <x v="5"/>
    <x v="258"/>
    <n v="314.93"/>
    <n v="687.95"/>
    <n v="687.95"/>
    <s v="Low"/>
    <n v="0.20499999999999999"/>
    <n v="0.20499999999999999"/>
    <s v="Yes"/>
    <n v="8"/>
    <n v="4375.3620000000001"/>
    <n v="2519.44"/>
    <n v="1855.922"/>
    <n v="0.424175645352316"/>
    <n v="0.20499999999999999"/>
    <n v="8"/>
    <n v="314.93"/>
    <n v="4375.3620000000001"/>
    <n v="1855.922"/>
  </r>
  <r>
    <s v="ORD-2023-888140"/>
    <d v="2023-10-11T00:00:00"/>
    <x v="233"/>
    <s v="Q4-2023"/>
    <d v="2023-10-13T00:00:00"/>
    <d v="2023-10-13T00:00:00"/>
    <n v="2"/>
    <n v="2"/>
    <s v="Yes"/>
    <d v="2023-01-29T00:00:00"/>
    <x v="2"/>
    <x v="5"/>
    <s v="Brasília"/>
    <s v="Americas - Brazil - Brasília"/>
    <s v="Consumer"/>
    <x v="3"/>
    <x v="9"/>
    <x v="6"/>
    <x v="259"/>
    <n v="715.94"/>
    <n v="550.07000000000005"/>
    <n v="550.07000000000005"/>
    <s v="Low"/>
    <n v="0.14000000000000001"/>
    <n v="0.14000000000000001"/>
    <s v="No"/>
    <n v="16"/>
    <n v="7568.9632000000001"/>
    <n v="11455.04"/>
    <n v="-3886.0768000000007"/>
    <n v="-0.51342260456491595"/>
    <n v="0.14000000000000001"/>
    <n v="16"/>
    <n v="715.94"/>
    <n v="7568.9632000000001"/>
    <n v="-3886.0768000000007"/>
  </r>
  <r>
    <s v="ORD-2023-638181"/>
    <d v="2023-05-20T00:00:00"/>
    <x v="72"/>
    <s v="Q2-2023"/>
    <d v="2023-06-07T00:00:00"/>
    <d v="2023-06-07T00:00:00"/>
    <n v="18"/>
    <n v="18"/>
    <s v="No"/>
    <d v="2023-01-15T00:00:00"/>
    <x v="0"/>
    <x v="1"/>
    <s v="Port Harcourt"/>
    <s v="Africa - Nigeria - Port Harcourt"/>
    <s v="Enterprise"/>
    <x v="3"/>
    <x v="6"/>
    <x v="0"/>
    <x v="260"/>
    <n v="1120.06"/>
    <n v="2068.21"/>
    <n v="2068.21"/>
    <s v="High"/>
    <n v="7.8E-2"/>
    <n v="7.8E-2"/>
    <s v="No"/>
    <n v="12"/>
    <n v="22882.675440000003"/>
    <n v="13440.72"/>
    <n v="9441.9554400000034"/>
    <n v="0.41262462795303284"/>
    <n v="7.8E-2"/>
    <n v="12"/>
    <n v="1120.06"/>
    <n v="22882.675440000003"/>
    <n v="9441.9554400000034"/>
  </r>
  <r>
    <s v="ORD-2023-521280"/>
    <d v="2023-05-27T00:00:00"/>
    <x v="234"/>
    <s v="Q2-2023"/>
    <d v="2023-06-19T00:00:00"/>
    <d v="2023-06-19T00:00:00"/>
    <n v="23"/>
    <n v="23"/>
    <s v="No"/>
    <d v="2023-01-22T00:00:00"/>
    <x v="3"/>
    <x v="6"/>
    <s v="Berlin"/>
    <s v="Europe - Germany - Berlin"/>
    <s v="Education"/>
    <x v="0"/>
    <x v="7"/>
    <x v="6"/>
    <x v="261"/>
    <n v="1471.58"/>
    <n v="2576.65"/>
    <n v="2576.65"/>
    <s v="High"/>
    <n v="4.0000000000000001E-3"/>
    <n v="4.0000000000000001E-3"/>
    <s v="No"/>
    <n v="7"/>
    <n v="17964.4038"/>
    <n v="10301.06"/>
    <n v="7663.3438000000006"/>
    <n v="0.4265849223451546"/>
    <n v="4.0000000000000001E-3"/>
    <n v="7"/>
    <n v="1471.58"/>
    <n v="17964.4038"/>
    <n v="7663.3438000000006"/>
  </r>
  <r>
    <s v="ORD-2023-630430"/>
    <d v="2023-08-04T00:00:00"/>
    <x v="235"/>
    <s v="Q3-2023"/>
    <d v="2023-08-24T00:00:00"/>
    <d v="2023-08-24T00:00:00"/>
    <n v="20"/>
    <n v="20"/>
    <s v="No"/>
    <d v="2023-01-29T00:00:00"/>
    <x v="2"/>
    <x v="5"/>
    <s v="Brasília"/>
    <s v="Americas - Brazil - Brasília"/>
    <s v="Non-Profit"/>
    <x v="4"/>
    <x v="9"/>
    <x v="2"/>
    <x v="262"/>
    <n v="582.88"/>
    <n v="1044.1400000000001"/>
    <n v="1044.1400000000001"/>
    <s v="Medium"/>
    <n v="0.216"/>
    <n v="0.216"/>
    <s v="Yes"/>
    <n v="10"/>
    <n v="8186.057600000001"/>
    <n v="5828.8"/>
    <n v="2357.2576000000008"/>
    <n v="0.28796005539956138"/>
    <n v="0.216"/>
    <n v="10"/>
    <n v="582.88"/>
    <n v="8186.057600000001"/>
    <n v="2357.2576000000008"/>
  </r>
  <r>
    <s v="ORD-2025-908258"/>
    <d v="2025-06-21T00:00:00"/>
    <x v="236"/>
    <s v="Q2-2025"/>
    <d v="2025-06-27T00:00:00"/>
    <d v="2025-06-27T00:00:00"/>
    <n v="6"/>
    <n v="6"/>
    <s v="Yes"/>
    <d v="2023-01-07T00:00:00"/>
    <x v="0"/>
    <x v="11"/>
    <s v="Durban"/>
    <s v="Africa - South Africa - Durban"/>
    <s v="Enterprise"/>
    <x v="3"/>
    <x v="13"/>
    <x v="3"/>
    <x v="263"/>
    <n v="93.91"/>
    <n v="99.04"/>
    <n v="99.04"/>
    <s v="Low"/>
    <n v="5.7000000000000002E-2"/>
    <n v="5.7000000000000002E-2"/>
    <s v="No"/>
    <n v="6"/>
    <n v="560.36831999999993"/>
    <n v="563.46"/>
    <n v="-3.0916800000001103"/>
    <n v="-5.5172283829323376E-3"/>
    <n v="5.7000000000000002E-2"/>
    <n v="6"/>
    <n v="93.91"/>
    <n v="560.36831999999993"/>
    <n v="-3.0916800000001103"/>
  </r>
  <r>
    <s v="ORD-2025-440093"/>
    <d v="2025-04-16T00:00:00"/>
    <x v="139"/>
    <s v="Q2-2025"/>
    <d v="2025-04-26T00:00:00"/>
    <d v="2025-04-26T00:00:00"/>
    <n v="10"/>
    <n v="10"/>
    <s v="No"/>
    <d v="2023-01-15T00:00:00"/>
    <x v="0"/>
    <x v="1"/>
    <s v="Port Harcourt"/>
    <s v="Africa - Nigeria - Port Harcourt"/>
    <s v="Enterprise"/>
    <x v="2"/>
    <x v="9"/>
    <x v="4"/>
    <x v="264"/>
    <n v="1457.44"/>
    <n v="1996.81"/>
    <n v="1996.81"/>
    <s v="High"/>
    <n v="0.126"/>
    <n v="0.126"/>
    <s v="No"/>
    <n v="23"/>
    <n v="40139.874619999995"/>
    <n v="33521.120000000003"/>
    <n v="6618.7546199999924"/>
    <n v="0.16489225944672353"/>
    <n v="0.126"/>
    <n v="23"/>
    <n v="1457.44"/>
    <n v="40139.874619999995"/>
    <n v="6618.7546199999924"/>
  </r>
  <r>
    <s v="ORD-2025-898022"/>
    <d v="2025-09-02T00:00:00"/>
    <x v="237"/>
    <s v="Q3-2025"/>
    <d v="2025-09-11T00:00:00"/>
    <d v="2025-09-11T00:00:00"/>
    <n v="9"/>
    <n v="9"/>
    <s v="No"/>
    <d v="2023-01-02T00:00:00"/>
    <x v="2"/>
    <x v="3"/>
    <s v="Toronto"/>
    <s v="Americas - Canada - Toronto"/>
    <s v="Corporate"/>
    <x v="3"/>
    <x v="12"/>
    <x v="1"/>
    <x v="265"/>
    <n v="1207.6300000000001"/>
    <n v="921.68"/>
    <n v="921.68"/>
    <s v="Medium"/>
    <n v="0.19600000000000001"/>
    <n v="0.19600000000000001"/>
    <s v="No"/>
    <n v="17"/>
    <n v="12597.52224"/>
    <n v="20529.710000000003"/>
    <n v="-7932.1877600000025"/>
    <n v="-0.62966253274897988"/>
    <n v="0.19600000000000001"/>
    <n v="17"/>
    <n v="1207.6300000000001"/>
    <n v="12597.52224"/>
    <n v="-7932.1877600000025"/>
  </r>
  <r>
    <s v="ORD-2024-500511"/>
    <d v="2024-10-08T00:00:00"/>
    <x v="238"/>
    <s v="Q4-2024"/>
    <d v="2024-10-08T00:00:00"/>
    <d v="2024-10-08T00:00:00"/>
    <n v="0"/>
    <n v="0"/>
    <s v="Yes"/>
    <d v="2023-01-19T00:00:00"/>
    <x v="3"/>
    <x v="8"/>
    <s v="London"/>
    <s v="Europe - United Kingdom - London"/>
    <s v="Corporate"/>
    <x v="1"/>
    <x v="6"/>
    <x v="5"/>
    <x v="266"/>
    <n v="1108.1099999999999"/>
    <n v="2503.79"/>
    <n v="2503.79"/>
    <s v="High"/>
    <n v="0.184"/>
    <n v="0.184"/>
    <s v="No"/>
    <n v="19"/>
    <n v="38818.760160000005"/>
    <n v="21054.089999999997"/>
    <n v="17764.670160000009"/>
    <n v="0.45763105485025896"/>
    <n v="0.184"/>
    <n v="19"/>
    <n v="1108.1099999999999"/>
    <n v="38818.760160000005"/>
    <n v="17764.670160000009"/>
  </r>
  <r>
    <s v="ORD-2023-632893"/>
    <d v="2023-05-07T00:00:00"/>
    <x v="239"/>
    <s v="Q2-2023"/>
    <d v="2023-05-05T00:00:00"/>
    <d v="2023-05-19T00:00:00"/>
    <n v="-2"/>
    <n v="12"/>
    <s v="No"/>
    <d v="2023-01-15T00:00:00"/>
    <x v="0"/>
    <x v="1"/>
    <s v="Port Harcourt"/>
    <s v="Africa - Nigeria - Port Harcourt"/>
    <s v="Non-Profit"/>
    <x v="2"/>
    <x v="8"/>
    <x v="0"/>
    <x v="267"/>
    <n v="1269.6500000000001"/>
    <n v="2462.77"/>
    <n v="2462.77"/>
    <s v="High"/>
    <n v="0.107"/>
    <n v="0.107"/>
    <s v="No"/>
    <n v="8"/>
    <n v="17594.028880000002"/>
    <n v="10157.200000000001"/>
    <n v="7436.8288800000009"/>
    <n v="0.42269050089225502"/>
    <n v="0.107"/>
    <n v="8"/>
    <n v="1269.6500000000001"/>
    <n v="17594.028880000002"/>
    <n v="7436.8288800000009"/>
  </r>
  <r>
    <s v="ORD-2023-967239"/>
    <d v="2023-12-24T00:00:00"/>
    <x v="240"/>
    <s v="Q4-2023"/>
    <d v="2024-01-01T00:00:00"/>
    <d v="2024-01-01T00:00:00"/>
    <n v="8"/>
    <n v="8"/>
    <s v="No"/>
    <d v="2023-01-29T00:00:00"/>
    <x v="2"/>
    <x v="5"/>
    <s v="São Paulo"/>
    <s v="Americas - Brazil - São Paulo"/>
    <s v="Education"/>
    <x v="4"/>
    <x v="0"/>
    <x v="3"/>
    <x v="268"/>
    <n v="526.49"/>
    <n v="496.2"/>
    <n v="496.2"/>
    <s v="Low"/>
    <n v="0"/>
    <n v="0"/>
    <s v="No"/>
    <n v="14"/>
    <n v="6946.8"/>
    <n v="7370.8600000000006"/>
    <n v="-424.0600000000004"/>
    <n v="-6.1043933897621985E-2"/>
    <n v="0"/>
    <n v="14"/>
    <n v="526.49"/>
    <n v="6946.8"/>
    <n v="-424.0600000000004"/>
  </r>
  <r>
    <s v="ORD-2024-885858"/>
    <d v="2024-01-10T00:00:00"/>
    <x v="241"/>
    <s v="Q1-2024"/>
    <d v="2024-01-23T00:00:00"/>
    <d v="2024-01-23T00:00:00"/>
    <n v="13"/>
    <n v="13"/>
    <s v="No"/>
    <d v="2023-01-10T00:00:00"/>
    <x v="3"/>
    <x v="7"/>
    <s v="Marseille"/>
    <s v="Europe - France - Marseille"/>
    <s v="Corporate"/>
    <x v="4"/>
    <x v="8"/>
    <x v="1"/>
    <x v="269"/>
    <n v="720"/>
    <n v="907.59"/>
    <n v="907.59"/>
    <s v="Medium"/>
    <n v="0.154"/>
    <n v="0.154"/>
    <s v="No"/>
    <n v="10"/>
    <n v="7678.2113999999992"/>
    <n v="7200"/>
    <n v="478.21139999999923"/>
    <n v="6.2281614179052078E-2"/>
    <n v="0.154"/>
    <n v="10"/>
    <n v="720"/>
    <n v="7678.2113999999992"/>
    <n v="478.21139999999923"/>
  </r>
  <r>
    <s v="ORD-2023-253245"/>
    <d v="2023-08-03T00:00:00"/>
    <x v="242"/>
    <s v="Q3-2023"/>
    <d v="2023-08-14T00:00:00"/>
    <d v="2023-08-14T00:00:00"/>
    <n v="11"/>
    <n v="11"/>
    <s v="No"/>
    <d v="2023-01-29T00:00:00"/>
    <x v="2"/>
    <x v="5"/>
    <s v="Brasília"/>
    <s v="Americas - Brazil - Brasília"/>
    <s v="Corporate"/>
    <x v="4"/>
    <x v="1"/>
    <x v="6"/>
    <x v="270"/>
    <n v="232.73"/>
    <n v="334.19"/>
    <n v="334.19"/>
    <s v="Low"/>
    <n v="0.13400000000000001"/>
    <n v="0.13400000000000001"/>
    <s v="No"/>
    <n v="25"/>
    <n v="7235.2134999999998"/>
    <n v="5818.25"/>
    <n v="1416.9634999999998"/>
    <n v="0.1958426658729559"/>
    <n v="0.13400000000000001"/>
    <n v="25"/>
    <n v="232.73"/>
    <n v="7235.2134999999998"/>
    <n v="1416.9634999999998"/>
  </r>
  <r>
    <s v="ORD-2025-484073"/>
    <d v="2025-02-19T00:00:00"/>
    <x v="243"/>
    <s v="Q1-2025"/>
    <d v="2025-03-09T00:00:00"/>
    <d v="2025-03-09T00:00:00"/>
    <n v="18"/>
    <n v="18"/>
    <s v="No"/>
    <d v="2023-01-29T00:00:00"/>
    <x v="1"/>
    <x v="4"/>
    <s v="Delhi"/>
    <s v="Asia - India - Delhi"/>
    <s v="Small Business"/>
    <x v="4"/>
    <x v="7"/>
    <x v="5"/>
    <x v="271"/>
    <n v="325.87"/>
    <n v="538.79"/>
    <n v="538.79"/>
    <s v="Low"/>
    <n v="0.17399999999999999"/>
    <n v="0.17399999999999999"/>
    <s v="No"/>
    <n v="16"/>
    <n v="7120.6486400000003"/>
    <n v="5213.92"/>
    <n v="1906.7286400000003"/>
    <n v="0.26777457172778013"/>
    <n v="0.17399999999999999"/>
    <n v="16"/>
    <n v="325.87"/>
    <n v="7120.6486400000003"/>
    <n v="1906.7286400000003"/>
  </r>
  <r>
    <s v="ORD-2024-745822"/>
    <d v="2024-03-31T00:00:00"/>
    <x v="244"/>
    <s v="Q1-2024"/>
    <d v="2024-04-17T00:00:00"/>
    <d v="2024-04-17T00:00:00"/>
    <n v="17"/>
    <n v="17"/>
    <s v="No"/>
    <d v="2023-01-22T00:00:00"/>
    <x v="3"/>
    <x v="6"/>
    <s v="Frankfurt"/>
    <s v="Europe - Germany - Frankfurt"/>
    <s v="Education"/>
    <x v="4"/>
    <x v="10"/>
    <x v="5"/>
    <x v="272"/>
    <n v="1025.51"/>
    <n v="1436.54"/>
    <n v="1436.54"/>
    <s v="Medium"/>
    <n v="0.13900000000000001"/>
    <n v="0.13900000000000001"/>
    <s v="No"/>
    <n v="28"/>
    <n v="34632.106319999999"/>
    <n v="28714.28"/>
    <n v="5917.8263200000001"/>
    <n v="0.17087688127656453"/>
    <n v="0.13900000000000001"/>
    <n v="28"/>
    <n v="1025.51"/>
    <n v="34632.106319999999"/>
    <n v="5917.8263200000001"/>
  </r>
  <r>
    <s v="ORD-2023-369160"/>
    <d v="2023-07-24T00:00:00"/>
    <x v="245"/>
    <s v="Q3-2023"/>
    <d v="2023-08-13T00:00:00"/>
    <d v="2023-08-13T00:00:00"/>
    <n v="20"/>
    <n v="20"/>
    <s v="No"/>
    <d v="2023-01-02T00:00:00"/>
    <x v="2"/>
    <x v="3"/>
    <s v="Montreal"/>
    <s v="Americas - Canada - Montreal"/>
    <s v="Education"/>
    <x v="4"/>
    <x v="0"/>
    <x v="5"/>
    <x v="273"/>
    <n v="1082.3800000000001"/>
    <n v="1766.55"/>
    <n v="1766.55"/>
    <s v="High"/>
    <n v="0.16400000000000001"/>
    <n v="0.16400000000000001"/>
    <s v="No"/>
    <n v="20"/>
    <n v="29536.716"/>
    <n v="21647.600000000002"/>
    <n v="7889.1159999999982"/>
    <n v="0.26709523157550752"/>
    <n v="0.16400000000000001"/>
    <n v="20"/>
    <n v="1082.3800000000001"/>
    <n v="29536.716"/>
    <n v="7889.1159999999982"/>
  </r>
  <r>
    <s v="ORD-2024-834983"/>
    <d v="2024-03-16T00:00:00"/>
    <x v="246"/>
    <s v="Q1-2024"/>
    <d v="2024-04-13T00:00:00"/>
    <d v="2024-04-13T00:00:00"/>
    <n v="28"/>
    <n v="28"/>
    <s v="No"/>
    <d v="2023-01-10T00:00:00"/>
    <x v="3"/>
    <x v="7"/>
    <s v="Paris"/>
    <s v="Europe - France - Paris"/>
    <s v="Small Business"/>
    <x v="1"/>
    <x v="11"/>
    <x v="1"/>
    <x v="274"/>
    <n v="287.61"/>
    <n v="628.54"/>
    <n v="628.54"/>
    <s v="Low"/>
    <n v="0.13500000000000001"/>
    <n v="0.13500000000000001"/>
    <s v="No"/>
    <n v="21"/>
    <n v="11417.429099999999"/>
    <n v="6039.81"/>
    <n v="5377.619099999999"/>
    <n v="0.47100087531964613"/>
    <n v="0.13500000000000001"/>
    <n v="21"/>
    <n v="287.61"/>
    <n v="11417.429099999999"/>
    <n v="5377.619099999999"/>
  </r>
  <r>
    <s v="ORD-2024-499009"/>
    <d v="2024-01-25T00:00:00"/>
    <x v="247"/>
    <s v="Q1-2024"/>
    <d v="2024-01-27T00:00:00"/>
    <d v="2024-01-27T00:00:00"/>
    <n v="2"/>
    <n v="2"/>
    <s v="Yes"/>
    <d v="2023-01-29T00:00:00"/>
    <x v="2"/>
    <x v="5"/>
    <s v="São Paulo"/>
    <s v="Americas - Brazil - São Paulo"/>
    <s v="Non-Profit"/>
    <x v="2"/>
    <x v="13"/>
    <x v="4"/>
    <x v="275"/>
    <n v="1410.97"/>
    <n v="1650.75"/>
    <n v="1650.75"/>
    <s v="High"/>
    <n v="0.13500000000000001"/>
    <n v="0.13500000000000001"/>
    <s v="No"/>
    <n v="6"/>
    <n v="8567.3924999999999"/>
    <n v="8465.82"/>
    <n v="101.57250000000022"/>
    <n v="1.1855707556295596E-2"/>
    <n v="0.13500000000000001"/>
    <n v="6"/>
    <n v="1410.97"/>
    <n v="8567.3924999999999"/>
    <n v="101.57250000000022"/>
  </r>
  <r>
    <s v="ORD-2024-948800"/>
    <d v="2024-03-27T00:00:00"/>
    <x v="248"/>
    <s v="Q1-2024"/>
    <d v="2024-04-11T00:00:00"/>
    <d v="2024-04-11T00:00:00"/>
    <n v="15"/>
    <n v="15"/>
    <s v="No"/>
    <d v="2023-01-13T00:00:00"/>
    <x v="2"/>
    <x v="10"/>
    <s v="San Francisco"/>
    <s v="Americas - USA - San Francisco"/>
    <s v="Small Business"/>
    <x v="4"/>
    <x v="7"/>
    <x v="2"/>
    <x v="276"/>
    <n v="1338.35"/>
    <n v="2247.14"/>
    <n v="2247.14"/>
    <s v="High"/>
    <n v="0.115"/>
    <n v="0.115"/>
    <s v="No"/>
    <n v="40"/>
    <n v="79548.755999999994"/>
    <n v="53534"/>
    <n v="26014.755999999994"/>
    <n v="0.32702907384246205"/>
    <n v="0.115"/>
    <n v="40"/>
    <n v="1338.35"/>
    <n v="79548.755999999994"/>
    <n v="26014.755999999994"/>
  </r>
  <r>
    <s v="ORD-2025-678328"/>
    <d v="2025-06-24T00:00:00"/>
    <x v="35"/>
    <s v="Q2-2025"/>
    <d v="2025-07-14T00:00:00"/>
    <d v="2025-07-14T00:00:00"/>
    <n v="20"/>
    <n v="20"/>
    <s v="No"/>
    <d v="2023-01-22T00:00:00"/>
    <x v="3"/>
    <x v="6"/>
    <s v="Berlin"/>
    <s v="Europe - Germany - Berlin"/>
    <s v="Corporate"/>
    <x v="4"/>
    <x v="7"/>
    <x v="6"/>
    <x v="277"/>
    <n v="385.08"/>
    <n v="893.19"/>
    <n v="893.19"/>
    <s v="Medium"/>
    <n v="0.151"/>
    <n v="0.151"/>
    <s v="No"/>
    <n v="8"/>
    <n v="6066.54648"/>
    <n v="3080.64"/>
    <n v="2985.9064800000001"/>
    <n v="0.49219213762621666"/>
    <n v="0.151"/>
    <n v="8"/>
    <n v="385.08"/>
    <n v="6066.54648"/>
    <n v="2985.9064800000001"/>
  </r>
  <r>
    <s v="ORD-2024-580808"/>
    <d v="2024-06-16T00:00:00"/>
    <x v="249"/>
    <s v="Q2-2024"/>
    <d v="2024-07-03T00:00:00"/>
    <d v="2024-07-03T00:00:00"/>
    <n v="17"/>
    <n v="17"/>
    <s v="No"/>
    <d v="2023-01-07T00:00:00"/>
    <x v="0"/>
    <x v="11"/>
    <s v="Johannesburg"/>
    <s v="Africa - South Africa - Johannesburg"/>
    <s v="Enterprise"/>
    <x v="2"/>
    <x v="9"/>
    <x v="3"/>
    <x v="278"/>
    <n v="1173.83"/>
    <n v="2328.9"/>
    <n v="2328.9"/>
    <s v="High"/>
    <n v="0.12"/>
    <n v="0.12"/>
    <s v="No"/>
    <n v="17"/>
    <n v="34840.344000000005"/>
    <n v="19955.11"/>
    <n v="14885.234000000004"/>
    <n v="0.42724130393201637"/>
    <n v="0.12"/>
    <n v="17"/>
    <n v="1173.83"/>
    <n v="34840.344000000005"/>
    <n v="14885.234000000004"/>
  </r>
  <r>
    <s v="ORD-2023-211715"/>
    <d v="2023-10-30T00:00:00"/>
    <x v="250"/>
    <s v="Q4-2023"/>
    <d v="2023-11-14T00:00:00"/>
    <d v="2023-11-14T00:00:00"/>
    <n v="15"/>
    <n v="15"/>
    <s v="No"/>
    <d v="2023-01-29T00:00:00"/>
    <x v="1"/>
    <x v="4"/>
    <s v="Bengaluru"/>
    <s v="Asia - India - Bengaluru"/>
    <s v="Corporate"/>
    <x v="1"/>
    <x v="9"/>
    <x v="4"/>
    <x v="279"/>
    <n v="953.46"/>
    <n v="2066.75"/>
    <n v="2066.75"/>
    <s v="High"/>
    <n v="0.13800000000000001"/>
    <n v="0.13800000000000001"/>
    <s v="No"/>
    <n v="5"/>
    <n v="8907.6924999999992"/>
    <n v="4767.3"/>
    <n v="4140.392499999999"/>
    <n v="0.46481089238318446"/>
    <n v="0.13800000000000001"/>
    <n v="5"/>
    <n v="953.46"/>
    <n v="8907.6924999999992"/>
    <n v="4140.392499999999"/>
  </r>
  <r>
    <s v="ORD-2023-715175"/>
    <d v="2023-06-15T00:00:00"/>
    <x v="251"/>
    <s v="Q2-2023"/>
    <d v="2023-06-23T00:00:00"/>
    <d v="2023-06-23T00:00:00"/>
    <n v="8"/>
    <n v="8"/>
    <s v="No"/>
    <d v="2023-01-13T00:00:00"/>
    <x v="2"/>
    <x v="10"/>
    <s v="San Francisco"/>
    <s v="Americas - USA - San Francisco"/>
    <s v="Consumer"/>
    <x v="3"/>
    <x v="7"/>
    <x v="5"/>
    <x v="280"/>
    <n v="1097.0899999999999"/>
    <n v="2182.31"/>
    <n v="2182.31"/>
    <s v="High"/>
    <n v="0.112"/>
    <n v="0.112"/>
    <s v="No"/>
    <n v="9"/>
    <n v="17441.021520000002"/>
    <n v="9873.81"/>
    <n v="7567.2115200000026"/>
    <n v="0.43387432962699546"/>
    <n v="0.112"/>
    <n v="9"/>
    <n v="1097.0899999999999"/>
    <n v="17441.021520000002"/>
    <n v="7567.2115200000026"/>
  </r>
  <r>
    <s v="ORD-2025-685236"/>
    <d v="2025-03-14T00:00:00"/>
    <x v="252"/>
    <s v="Q1-2025"/>
    <d v="2025-03-29T00:00:00"/>
    <d v="2025-03-29T00:00:00"/>
    <n v="15"/>
    <n v="15"/>
    <s v="No"/>
    <d v="2023-03-03T00:00:00"/>
    <x v="1"/>
    <x v="2"/>
    <s v="Tokyo"/>
    <s v="Asia - Japan - Tokyo"/>
    <s v="Non-Profit"/>
    <x v="4"/>
    <x v="10"/>
    <x v="2"/>
    <x v="281"/>
    <n v="1106.96"/>
    <n v="2726.62"/>
    <n v="2726.62"/>
    <s v="High"/>
    <n v="0.317"/>
    <n v="0.11861439999999995"/>
    <s v="No"/>
    <n v="7"/>
    <n v="16822.425232704001"/>
    <n v="7748.72"/>
    <n v="9073.7052327040001"/>
    <n v="0.53938151646910382"/>
    <n v="0.11861439999999995"/>
    <n v="7"/>
    <n v="1106.96"/>
    <n v="16822.425232704001"/>
    <n v="9073.7052327040001"/>
  </r>
  <r>
    <s v="ORD-2023-274037"/>
    <d v="2023-08-15T00:00:00"/>
    <x v="183"/>
    <s v="Q3-2023"/>
    <d v="2023-08-25T00:00:00"/>
    <d v="2023-08-25T00:00:00"/>
    <n v="10"/>
    <n v="10"/>
    <s v="No"/>
    <d v="2023-01-20T00:00:00"/>
    <x v="0"/>
    <x v="0"/>
    <s v="Nairobi"/>
    <s v="Africa - Kenya - Nairobi"/>
    <s v="Small Business"/>
    <x v="0"/>
    <x v="13"/>
    <x v="3"/>
    <x v="282"/>
    <n v="91.85"/>
    <n v="111.29"/>
    <n v="111.29"/>
    <s v="Low"/>
    <n v="0"/>
    <n v="0"/>
    <s v="No"/>
    <n v="6"/>
    <n v="667.74"/>
    <n v="551.09999999999991"/>
    <n v="116.6400000000001"/>
    <n v="0.17467876718483258"/>
    <n v="0"/>
    <n v="6"/>
    <n v="91.85"/>
    <n v="667.74"/>
    <n v="116.6400000000001"/>
  </r>
  <r>
    <s v="ORD-2025-983096"/>
    <d v="2025-05-17T00:00:00"/>
    <x v="253"/>
    <s v="Q2-2025"/>
    <d v="2025-05-28T00:00:00"/>
    <d v="2025-05-28T00:00:00"/>
    <n v="11"/>
    <n v="11"/>
    <s v="No"/>
    <d v="2023-01-29T00:00:00"/>
    <x v="1"/>
    <x v="4"/>
    <s v="Bengaluru"/>
    <s v="Asia - India - Bengaluru"/>
    <s v="Corporate"/>
    <x v="3"/>
    <x v="5"/>
    <x v="4"/>
    <x v="283"/>
    <n v="623.4"/>
    <n v="1100.0899999999999"/>
    <n v="1100.0899999999999"/>
    <s v="Medium"/>
    <n v="0.114"/>
    <n v="0.114"/>
    <s v="No"/>
    <n v="12"/>
    <n v="11696.156879999999"/>
    <n v="7480.7999999999993"/>
    <n v="4215.3568799999994"/>
    <n v="0.36040529579490388"/>
    <n v="0.114"/>
    <n v="12"/>
    <n v="623.4"/>
    <n v="11696.156879999999"/>
    <n v="4215.3568799999994"/>
  </r>
  <r>
    <s v="ORD-2024-366010"/>
    <d v="2024-01-13T00:00:00"/>
    <x v="94"/>
    <s v="Q1-2024"/>
    <d v="2024-02-05T00:00:00"/>
    <d v="2024-02-05T00:00:00"/>
    <n v="23"/>
    <n v="23"/>
    <s v="No"/>
    <d v="2023-01-22T00:00:00"/>
    <x v="3"/>
    <x v="6"/>
    <s v="Frankfurt"/>
    <s v="Europe - Germany - Frankfurt"/>
    <s v="Education"/>
    <x v="4"/>
    <x v="5"/>
    <x v="4"/>
    <x v="284"/>
    <n v="1017.93"/>
    <n v="1529.14"/>
    <n v="1529.14"/>
    <s v="Medium"/>
    <n v="0.155"/>
    <n v="0.155"/>
    <s v="No"/>
    <n v="12"/>
    <n v="15505.479600000001"/>
    <n v="12215.16"/>
    <n v="3290.3196000000007"/>
    <n v="0.21220366508366503"/>
    <n v="0.155"/>
    <n v="12"/>
    <n v="1017.93"/>
    <n v="15505.479600000001"/>
    <n v="3290.3196000000007"/>
  </r>
  <r>
    <s v="ORD-2023-610470"/>
    <d v="2023-06-24T00:00:00"/>
    <x v="87"/>
    <s v="Q2-2023"/>
    <d v="2023-07-21T00:00:00"/>
    <d v="2023-07-21T00:00:00"/>
    <n v="27"/>
    <n v="27"/>
    <s v="No"/>
    <d v="2023-03-03T00:00:00"/>
    <x v="1"/>
    <x v="2"/>
    <s v="Nagoya"/>
    <s v="Asia - Japan - Nagoya"/>
    <s v="Consumer"/>
    <x v="2"/>
    <x v="1"/>
    <x v="3"/>
    <x v="285"/>
    <n v="554.76"/>
    <n v="728.69"/>
    <n v="728.69"/>
    <s v="Low"/>
    <n v="0.22"/>
    <n v="0.22"/>
    <s v="Yes"/>
    <n v="7"/>
    <n v="3978.6474000000003"/>
    <n v="3883.3199999999997"/>
    <n v="95.32740000000058"/>
    <n v="2.395975074343119E-2"/>
    <n v="0.22"/>
    <n v="7"/>
    <n v="554.76"/>
    <n v="3978.6474000000003"/>
    <n v="95.32740000000058"/>
  </r>
  <r>
    <s v="ORD-2025-541048"/>
    <d v="2025-04-04T00:00:00"/>
    <x v="254"/>
    <s v="Q2-2025"/>
    <d v="2025-04-13T00:00:00"/>
    <d v="2025-04-13T00:00:00"/>
    <n v="9"/>
    <n v="9"/>
    <s v="No"/>
    <d v="2023-01-22T00:00:00"/>
    <x v="3"/>
    <x v="6"/>
    <s v="Munich"/>
    <s v="Europe - Germany - Munich"/>
    <s v="Consumer"/>
    <x v="2"/>
    <x v="9"/>
    <x v="3"/>
    <x v="286"/>
    <n v="7.02"/>
    <n v="6.28"/>
    <n v="6.28"/>
    <s v="Low"/>
    <n v="0.13400000000000001"/>
    <n v="0.13400000000000001"/>
    <s v="No"/>
    <n v="14"/>
    <n v="76.138720000000006"/>
    <n v="98.28"/>
    <n v="-22.141279999999995"/>
    <n v="-0.29080184169106066"/>
    <n v="0.13400000000000001"/>
    <n v="14"/>
    <n v="7.02"/>
    <n v="76.138720000000006"/>
    <n v="-22.141279999999995"/>
  </r>
  <r>
    <s v="ORD-2024-862371"/>
    <d v="2024-09-07T00:00:00"/>
    <x v="255"/>
    <s v="Q3-2024"/>
    <d v="2024-09-07T00:00:00"/>
    <d v="2024-09-07T00:00:00"/>
    <n v="0"/>
    <n v="0"/>
    <s v="Yes"/>
    <d v="2023-01-29T00:00:00"/>
    <x v="1"/>
    <x v="4"/>
    <s v="Mumbai"/>
    <s v="Asia - India - Mumbai"/>
    <s v="Education"/>
    <x v="3"/>
    <x v="5"/>
    <x v="2"/>
    <x v="287"/>
    <n v="1066.6500000000001"/>
    <n v="2569.77"/>
    <n v="2569.77"/>
    <s v="High"/>
    <n v="0.13400000000000001"/>
    <n v="0.13400000000000001"/>
    <s v="No"/>
    <n v="9"/>
    <n v="20028.787380000002"/>
    <n v="9599.85"/>
    <n v="10428.937380000001"/>
    <n v="0.52069739331368348"/>
    <n v="0.13400000000000001"/>
    <n v="9"/>
    <n v="1066.6500000000001"/>
    <n v="20028.787380000002"/>
    <n v="10428.937380000001"/>
  </r>
  <r>
    <s v="ORD-2024-277241"/>
    <d v="2024-01-28T00:00:00"/>
    <x v="10"/>
    <s v="Q1-2024"/>
    <d v="2024-01-30T00:00:00"/>
    <d v="2024-01-30T00:00:00"/>
    <n v="2"/>
    <n v="2"/>
    <s v="Yes"/>
    <d v="2023-01-07T00:00:00"/>
    <x v="0"/>
    <x v="11"/>
    <s v="Cape Town"/>
    <s v="Africa - South Africa - Cape Town"/>
    <s v="Consumer"/>
    <x v="4"/>
    <x v="9"/>
    <x v="6"/>
    <x v="288"/>
    <n v="798.45"/>
    <n v="1592.02"/>
    <n v="1592.02"/>
    <s v="Medium"/>
    <n v="6.6000000000000003E-2"/>
    <n v="6.6000000000000003E-2"/>
    <s v="No"/>
    <n v="18"/>
    <n v="26765.040239999998"/>
    <n v="14372.1"/>
    <n v="12392.940239999998"/>
    <n v="0.46302714768494585"/>
    <n v="6.6000000000000003E-2"/>
    <n v="18"/>
    <n v="798.45"/>
    <n v="26765.040239999998"/>
    <n v="12392.940239999998"/>
  </r>
  <r>
    <s v="ORD-2023-369150"/>
    <d v="2023-07-18T00:00:00"/>
    <x v="256"/>
    <s v="Q3-2023"/>
    <d v="2023-08-10T00:00:00"/>
    <d v="2023-08-10T00:00:00"/>
    <n v="23"/>
    <n v="23"/>
    <s v="No"/>
    <d v="2023-01-07T00:00:00"/>
    <x v="0"/>
    <x v="11"/>
    <s v="Johannesburg"/>
    <s v="Africa - South Africa - Johannesburg"/>
    <s v="Small Business"/>
    <x v="0"/>
    <x v="4"/>
    <x v="0"/>
    <x v="289"/>
    <n v="1271.56"/>
    <n v="995.47"/>
    <n v="995.47"/>
    <s v="Medium"/>
    <n v="0.192"/>
    <n v="0.192"/>
    <s v="No"/>
    <n v="13"/>
    <n v="10456.416880000001"/>
    <n v="16530.28"/>
    <n v="-6073.8631199999982"/>
    <n v="-0.58087423155607754"/>
    <n v="0.192"/>
    <n v="13"/>
    <n v="1271.56"/>
    <n v="10456.416880000001"/>
    <n v="-6073.8631199999982"/>
  </r>
  <r>
    <s v="ORD-2025-922513"/>
    <d v="2025-08-28T00:00:00"/>
    <x v="257"/>
    <s v="Q3-2025"/>
    <d v="2025-08-26T00:00:00"/>
    <d v="2025-08-31T00:00:00"/>
    <n v="-2"/>
    <n v="3"/>
    <s v="Yes"/>
    <d v="2023-01-15T00:00:00"/>
    <x v="0"/>
    <x v="1"/>
    <s v="Port Harcourt"/>
    <s v="Africa - Nigeria - Port Harcourt"/>
    <s v="Small Business"/>
    <x v="0"/>
    <x v="8"/>
    <x v="6"/>
    <x v="290"/>
    <n v="521.05999999999995"/>
    <n v="1240.31"/>
    <n v="1240.31"/>
    <s v="Medium"/>
    <n v="0.14599999999999999"/>
    <n v="0.14599999999999999"/>
    <s v="No"/>
    <n v="18"/>
    <n v="19066.045319999997"/>
    <n v="9379.0799999999981"/>
    <n v="9686.9653199999993"/>
    <n v="0.50807417885650974"/>
    <n v="0.14599999999999999"/>
    <n v="18"/>
    <n v="521.05999999999995"/>
    <n v="19066.045319999997"/>
    <n v="9686.9653199999993"/>
  </r>
  <r>
    <s v="ORD-2025-752845"/>
    <d v="2025-03-30T00:00:00"/>
    <x v="258"/>
    <s v="Q1-2025"/>
    <d v="2025-04-07T00:00:00"/>
    <d v="2025-04-07T00:00:00"/>
    <n v="8"/>
    <n v="8"/>
    <s v="No"/>
    <d v="2023-01-29T00:00:00"/>
    <x v="2"/>
    <x v="5"/>
    <s v="São Paulo"/>
    <s v="Americas - Brazil - São Paulo"/>
    <s v="Non-Profit"/>
    <x v="4"/>
    <x v="4"/>
    <x v="1"/>
    <x v="291"/>
    <n v="71.62"/>
    <n v="118.37"/>
    <n v="118.37"/>
    <s v="Low"/>
    <n v="0.156"/>
    <n v="0.156"/>
    <s v="No"/>
    <n v="11"/>
    <n v="1098.9470800000001"/>
    <n v="787.82"/>
    <n v="311.12708000000009"/>
    <n v="0.28311379652603474"/>
    <n v="0.156"/>
    <n v="11"/>
    <n v="71.62"/>
    <n v="1098.9470800000001"/>
    <n v="311.12708000000009"/>
  </r>
  <r>
    <s v="ORD-2023-667815"/>
    <d v="2023-10-21T00:00:00"/>
    <x v="259"/>
    <s v="Q4-2023"/>
    <d v="2023-11-09T00:00:00"/>
    <d v="2023-11-09T00:00:00"/>
    <n v="19"/>
    <n v="19"/>
    <s v="No"/>
    <d v="2023-01-19T00:00:00"/>
    <x v="3"/>
    <x v="8"/>
    <s v="London"/>
    <s v="Europe - United Kingdom - London"/>
    <s v="Non-Profit"/>
    <x v="4"/>
    <x v="8"/>
    <x v="6"/>
    <x v="292"/>
    <n v="1142.48"/>
    <n v="2105.5300000000002"/>
    <n v="2105.5300000000002"/>
    <s v="High"/>
    <n v="0.20699999999999999"/>
    <n v="0.20699999999999999"/>
    <s v="Yes"/>
    <n v="14"/>
    <n v="23375.594060000003"/>
    <n v="15994.720000000001"/>
    <n v="7380.8740600000019"/>
    <n v="0.31575129346680658"/>
    <n v="0.20699999999999999"/>
    <n v="14"/>
    <n v="1142.48"/>
    <n v="23375.594060000003"/>
    <n v="7380.8740600000019"/>
  </r>
  <r>
    <s v="ORD-2023-375011"/>
    <d v="2023-08-23T00:00:00"/>
    <x v="260"/>
    <s v="Q3-2023"/>
    <d v="2023-09-22T00:00:00"/>
    <d v="2023-09-22T00:00:00"/>
    <n v="30"/>
    <n v="30"/>
    <s v="No"/>
    <d v="2023-01-19T00:00:00"/>
    <x v="3"/>
    <x v="8"/>
    <s v="London"/>
    <s v="Europe - United Kingdom - London"/>
    <s v="Consumer"/>
    <x v="3"/>
    <x v="7"/>
    <x v="6"/>
    <x v="293"/>
    <n v="209.81"/>
    <n v="523"/>
    <n v="523"/>
    <s v="Low"/>
    <n v="5.8999999999999997E-2"/>
    <n v="5.8999999999999997E-2"/>
    <s v="No"/>
    <n v="15"/>
    <n v="7382.1450000000004"/>
    <n v="3147.15"/>
    <n v="4234.9950000000008"/>
    <n v="0.57368082041195356"/>
    <n v="5.8999999999999997E-2"/>
    <n v="15"/>
    <n v="209.81"/>
    <n v="7382.1450000000004"/>
    <n v="4234.9950000000008"/>
  </r>
  <r>
    <s v="ORD-2025-487025"/>
    <d v="2025-04-11T00:00:00"/>
    <x v="261"/>
    <s v="Q2-2025"/>
    <d v="2025-05-04T00:00:00"/>
    <d v="2025-05-04T00:00:00"/>
    <n v="23"/>
    <n v="23"/>
    <s v="No"/>
    <d v="2023-03-03T00:00:00"/>
    <x v="1"/>
    <x v="2"/>
    <s v="Osaka"/>
    <s v="Asia - Japan - Osaka"/>
    <s v="Small Business"/>
    <x v="1"/>
    <x v="12"/>
    <x v="0"/>
    <x v="294"/>
    <n v="786.2"/>
    <n v="1075.3"/>
    <n v="1075.3"/>
    <s v="Medium"/>
    <n v="0.08"/>
    <n v="0.08"/>
    <s v="No"/>
    <n v="9"/>
    <n v="8903.4839999999986"/>
    <n v="7075.8"/>
    <n v="1827.6839999999984"/>
    <n v="0.20527739478163815"/>
    <n v="0.08"/>
    <n v="9"/>
    <n v="786.2"/>
    <n v="8903.4839999999986"/>
    <n v="1827.6839999999984"/>
  </r>
  <r>
    <s v="ORD-2025-398335"/>
    <d v="2025-06-01T00:00:00"/>
    <x v="262"/>
    <s v="Q2-2025"/>
    <d v="2025-06-27T00:00:00"/>
    <d v="2025-06-27T00:00:00"/>
    <n v="26"/>
    <n v="26"/>
    <s v="No"/>
    <d v="2023-01-22T00:00:00"/>
    <x v="3"/>
    <x v="6"/>
    <s v="Munich"/>
    <s v="Europe - Germany - Munich"/>
    <s v="Consumer"/>
    <x v="3"/>
    <x v="6"/>
    <x v="4"/>
    <x v="295"/>
    <n v="1362.31"/>
    <n v="3294.57"/>
    <n v="3294.57"/>
    <s v="High"/>
    <n v="0.113"/>
    <n v="0.113"/>
    <s v="No"/>
    <n v="7"/>
    <n v="20455.985130000001"/>
    <n v="9536.17"/>
    <n v="10919.815130000001"/>
    <n v="0.5338200561157721"/>
    <n v="0.113"/>
    <n v="7"/>
    <n v="1362.31"/>
    <n v="20455.985130000001"/>
    <n v="10919.815130000001"/>
  </r>
  <r>
    <s v="ORD-2024-792137"/>
    <d v="2024-03-02T00:00:00"/>
    <x v="263"/>
    <s v="Q1-2024"/>
    <d v="2024-03-16T00:00:00"/>
    <d v="2024-03-16T00:00:00"/>
    <n v="14"/>
    <n v="14"/>
    <s v="No"/>
    <d v="2023-01-02T00:00:00"/>
    <x v="2"/>
    <x v="3"/>
    <s v="Vancouver"/>
    <s v="Americas - Canada - Vancouver"/>
    <s v="Non-Profit"/>
    <x v="4"/>
    <x v="7"/>
    <x v="1"/>
    <x v="296"/>
    <n v="248.24"/>
    <n v="464.05"/>
    <n v="464.05"/>
    <s v="Low"/>
    <n v="0.16900000000000001"/>
    <n v="0.16900000000000001"/>
    <s v="No"/>
    <n v="11"/>
    <n v="4241.88105"/>
    <n v="2730.6400000000003"/>
    <n v="1511.2410499999996"/>
    <n v="0.3562667203975462"/>
    <n v="0.16900000000000001"/>
    <n v="11"/>
    <n v="248.24"/>
    <n v="4241.88105"/>
    <n v="1511.2410499999996"/>
  </r>
  <r>
    <s v="ORD-2023-602648"/>
    <d v="2023-06-20T00:00:00"/>
    <x v="264"/>
    <s v="Q2-2023"/>
    <d v="2023-07-08T00:00:00"/>
    <d v="2023-07-08T00:00:00"/>
    <n v="18"/>
    <n v="18"/>
    <s v="No"/>
    <d v="2023-01-13T00:00:00"/>
    <x v="2"/>
    <x v="10"/>
    <s v="Austin"/>
    <s v="Americas - USA - Austin"/>
    <s v="Non-Profit"/>
    <x v="4"/>
    <x v="9"/>
    <x v="5"/>
    <x v="297"/>
    <n v="337"/>
    <n v="511.03"/>
    <n v="511.03"/>
    <s v="Low"/>
    <n v="0.108"/>
    <n v="0.108"/>
    <s v="No"/>
    <n v="7"/>
    <n v="3190.8713200000002"/>
    <n v="2359"/>
    <n v="831.8713200000002"/>
    <n v="0.26070349963219458"/>
    <n v="0.108"/>
    <n v="7"/>
    <n v="337"/>
    <n v="3190.8713200000002"/>
    <n v="831.8713200000002"/>
  </r>
  <r>
    <s v="ORD-2024-207096"/>
    <d v="2024-03-26T00:00:00"/>
    <x v="265"/>
    <s v="Q1-2024"/>
    <d v="2024-04-05T00:00:00"/>
    <d v="2024-04-05T00:00:00"/>
    <n v="10"/>
    <n v="10"/>
    <s v="No"/>
    <d v="2023-01-13T00:00:00"/>
    <x v="2"/>
    <x v="10"/>
    <s v="Austin"/>
    <s v="Americas - USA - Austin"/>
    <s v="Consumer"/>
    <x v="4"/>
    <x v="1"/>
    <x v="5"/>
    <x v="298"/>
    <n v="5.66"/>
    <n v="4.22"/>
    <n v="4.22"/>
    <s v="Low"/>
    <n v="0.11899999999999999"/>
    <n v="0.11899999999999999"/>
    <s v="No"/>
    <n v="18"/>
    <n v="66.920760000000001"/>
    <n v="101.88"/>
    <n v="-34.959239999999994"/>
    <n v="-0.52239753403876454"/>
    <n v="0.11899999999999999"/>
    <n v="18"/>
    <n v="5.66"/>
    <n v="66.920760000000001"/>
    <n v="-34.959239999999994"/>
  </r>
  <r>
    <s v="ORD-2025-939953"/>
    <d v="2025-01-22T00:00:00"/>
    <x v="266"/>
    <s v="Q1-2025"/>
    <d v="2025-01-22T00:00:00"/>
    <d v="2025-01-22T00:00:00"/>
    <n v="0"/>
    <n v="0"/>
    <s v="Yes"/>
    <d v="2023-01-10T00:00:00"/>
    <x v="3"/>
    <x v="7"/>
    <s v="Lyon"/>
    <s v="Europe - France - Lyon"/>
    <s v="Small Business"/>
    <x v="1"/>
    <x v="5"/>
    <x v="6"/>
    <x v="299"/>
    <n v="591.72"/>
    <n v="577.24"/>
    <n v="577.24"/>
    <s v="Low"/>
    <n v="0"/>
    <n v="0"/>
    <s v="No"/>
    <n v="22"/>
    <n v="12699.28"/>
    <n v="13017.84"/>
    <n v="-318.55999999999949"/>
    <n v="-2.5084886702238195E-2"/>
    <n v="0"/>
    <n v="22"/>
    <n v="591.72"/>
    <n v="12699.28"/>
    <n v="-318.55999999999949"/>
  </r>
  <r>
    <s v="ORD-2025-191328"/>
    <d v="2025-05-10T00:00:00"/>
    <x v="267"/>
    <s v="Q2-2025"/>
    <d v="2025-05-27T00:00:00"/>
    <d v="2025-05-27T00:00:00"/>
    <n v="17"/>
    <n v="17"/>
    <s v="No"/>
    <d v="2023-01-02T00:00:00"/>
    <x v="2"/>
    <x v="3"/>
    <s v="Vancouver"/>
    <s v="Americas - Canada - Vancouver"/>
    <s v="Education"/>
    <x v="4"/>
    <x v="0"/>
    <x v="0"/>
    <x v="300"/>
    <n v="862.89"/>
    <n v="1426.03"/>
    <n v="1426.03"/>
    <s v="Medium"/>
    <n v="5.6000000000000001E-2"/>
    <n v="5.6000000000000001E-2"/>
    <s v="No"/>
    <n v="19"/>
    <n v="25577.274079999999"/>
    <n v="16394.91"/>
    <n v="9182.3640799999994"/>
    <n v="0.35900479665188778"/>
    <n v="5.6000000000000001E-2"/>
    <n v="19"/>
    <n v="862.89"/>
    <n v="25577.274079999999"/>
    <n v="9182.3640799999994"/>
  </r>
  <r>
    <s v="ORD-2023-166668"/>
    <d v="2023-10-05T00:00:00"/>
    <x v="231"/>
    <s v="Q4-2023"/>
    <d v="2023-10-31T00:00:00"/>
    <d v="2023-10-31T00:00:00"/>
    <n v="26"/>
    <n v="26"/>
    <s v="No"/>
    <d v="2023-01-12T00:00:00"/>
    <x v="1"/>
    <x v="9"/>
    <s v="Shanghai"/>
    <s v="Asia - China - Shanghai"/>
    <s v="Consumer"/>
    <x v="3"/>
    <x v="1"/>
    <x v="1"/>
    <x v="301"/>
    <n v="649.91"/>
    <n v="1360.12"/>
    <n v="1360.12"/>
    <s v="Medium"/>
    <n v="0.19400000000000001"/>
    <n v="0.19400000000000001"/>
    <s v="No"/>
    <n v="9"/>
    <n v="9866.3104799999983"/>
    <n v="5849.19"/>
    <n v="4017.1204799999987"/>
    <n v="0.40715528749506769"/>
    <n v="0.19400000000000001"/>
    <n v="9"/>
    <n v="649.91"/>
    <n v="9866.3104799999983"/>
    <n v="4017.1204799999987"/>
  </r>
  <r>
    <s v="ORD-2023-594700"/>
    <d v="2023-07-18T00:00:00"/>
    <x v="256"/>
    <s v="Q3-2023"/>
    <d v="2023-07-22T00:00:00"/>
    <d v="2023-07-22T00:00:00"/>
    <n v="4"/>
    <n v="4"/>
    <s v="Yes"/>
    <d v="2023-01-29T00:00:00"/>
    <x v="2"/>
    <x v="5"/>
    <s v="São Paulo"/>
    <s v="Americas - Brazil - São Paulo"/>
    <s v="Consumer"/>
    <x v="4"/>
    <x v="9"/>
    <x v="2"/>
    <x v="302"/>
    <n v="1269.55"/>
    <n v="2071.1"/>
    <n v="2071.1"/>
    <s v="High"/>
    <n v="0.129"/>
    <n v="0.129"/>
    <s v="No"/>
    <n v="22"/>
    <n v="39686.4182"/>
    <n v="27930.1"/>
    <n v="11756.318200000002"/>
    <n v="0.29623026549672354"/>
    <n v="0.129"/>
    <n v="22"/>
    <n v="1269.55"/>
    <n v="39686.4182"/>
    <n v="11756.318200000002"/>
  </r>
  <r>
    <s v="ORD-2025-278048"/>
    <d v="2025-06-22T00:00:00"/>
    <x v="268"/>
    <s v="Q2-2025"/>
    <d v="2025-07-08T00:00:00"/>
    <d v="2025-07-08T00:00:00"/>
    <n v="16"/>
    <n v="16"/>
    <s v="No"/>
    <d v="2023-01-19T00:00:00"/>
    <x v="3"/>
    <x v="8"/>
    <s v="London"/>
    <s v="Europe - United Kingdom - London"/>
    <s v="Education"/>
    <x v="4"/>
    <x v="8"/>
    <x v="3"/>
    <x v="303"/>
    <n v="892.73"/>
    <n v="979.84"/>
    <n v="979.84"/>
    <s v="Medium"/>
    <n v="0.17399999999999999"/>
    <n v="0.17399999999999999"/>
    <s v="No"/>
    <n v="10"/>
    <n v="8093.4784"/>
    <n v="8927.2999999999993"/>
    <n v="-833.82159999999931"/>
    <n v="-0.10302388649112838"/>
    <n v="0.17399999999999999"/>
    <n v="10"/>
    <n v="892.73"/>
    <n v="8093.4784"/>
    <n v="-833.82159999999931"/>
  </r>
  <r>
    <s v="ORD-2024-878493"/>
    <d v="2024-06-19T00:00:00"/>
    <x v="269"/>
    <s v="Q2-2024"/>
    <d v="2024-06-20T00:00:00"/>
    <d v="2024-06-20T00:00:00"/>
    <n v="1"/>
    <n v="1"/>
    <s v="Yes"/>
    <d v="2023-01-20T00:00:00"/>
    <x v="0"/>
    <x v="0"/>
    <s v="Kisumu"/>
    <s v="Africa - Kenya - Kisumu"/>
    <s v="Small Business"/>
    <x v="4"/>
    <x v="1"/>
    <x v="4"/>
    <x v="304"/>
    <n v="231.63"/>
    <n v="537.39"/>
    <n v="537.39"/>
    <s v="Low"/>
    <n v="0.08"/>
    <n v="0.08"/>
    <s v="No"/>
    <n v="12"/>
    <n v="5932.7856000000002"/>
    <n v="2779.56"/>
    <n v="3153.2256000000002"/>
    <n v="0.53149158129024587"/>
    <n v="0.08"/>
    <n v="12"/>
    <n v="231.63"/>
    <n v="5932.7856000000002"/>
    <n v="3153.2256000000002"/>
  </r>
  <r>
    <s v="ORD-2025-138578"/>
    <d v="2025-04-09T00:00:00"/>
    <x v="69"/>
    <s v="Q2-2025"/>
    <d v="2025-04-12T00:00:00"/>
    <d v="2025-04-12T00:00:00"/>
    <n v="3"/>
    <n v="3"/>
    <s v="Yes"/>
    <d v="2023-01-10T00:00:00"/>
    <x v="3"/>
    <x v="7"/>
    <s v="Lyon"/>
    <s v="Europe - France - Lyon"/>
    <s v="Small Business"/>
    <x v="3"/>
    <x v="10"/>
    <x v="5"/>
    <x v="305"/>
    <n v="86.68"/>
    <n v="213.32"/>
    <n v="213.32"/>
    <s v="Low"/>
    <n v="3.7999999999999999E-2"/>
    <n v="3.7999999999999999E-2"/>
    <s v="No"/>
    <n v="8"/>
    <n v="1641.7107199999998"/>
    <n v="693.44"/>
    <n v="948.27071999999976"/>
    <n v="0.57761133459614611"/>
    <n v="3.7999999999999999E-2"/>
    <n v="8"/>
    <n v="86.68"/>
    <n v="1641.7107199999998"/>
    <n v="948.27071999999976"/>
  </r>
  <r>
    <s v="ORD-2025-944081"/>
    <d v="2025-03-25T00:00:00"/>
    <x v="80"/>
    <s v="Q1-2025"/>
    <d v="2025-03-26T00:00:00"/>
    <d v="2025-03-26T00:00:00"/>
    <n v="1"/>
    <n v="1"/>
    <s v="Yes"/>
    <d v="2023-01-15T00:00:00"/>
    <x v="0"/>
    <x v="1"/>
    <s v="Lagos"/>
    <s v="Africa - Nigeria - Lagos"/>
    <s v="Education"/>
    <x v="3"/>
    <x v="3"/>
    <x v="6"/>
    <x v="306"/>
    <n v="1450.43"/>
    <n v="1994.67"/>
    <n v="1994.67"/>
    <s v="High"/>
    <n v="0.1"/>
    <n v="0.1"/>
    <s v="No"/>
    <n v="24"/>
    <n v="43084.872000000003"/>
    <n v="34810.32"/>
    <n v="8274.5520000000033"/>
    <n v="0.19205237513529116"/>
    <n v="0.1"/>
    <n v="24"/>
    <n v="1450.43"/>
    <n v="43084.872000000003"/>
    <n v="8274.5520000000033"/>
  </r>
  <r>
    <s v="ORD-2025-364852"/>
    <d v="2025-05-18T00:00:00"/>
    <x v="270"/>
    <s v="Q2-2025"/>
    <d v="2025-06-09T00:00:00"/>
    <d v="2025-06-09T00:00:00"/>
    <n v="22"/>
    <n v="22"/>
    <s v="No"/>
    <d v="2023-01-13T00:00:00"/>
    <x v="2"/>
    <x v="10"/>
    <s v="New York"/>
    <s v="Americas - USA - New York"/>
    <s v="Consumer"/>
    <x v="0"/>
    <x v="10"/>
    <x v="2"/>
    <x v="307"/>
    <n v="382.96"/>
    <n v="552.84"/>
    <n v="552.84"/>
    <s v="Low"/>
    <n v="0.17599999999999999"/>
    <n v="0.17599999999999999"/>
    <s v="No"/>
    <n v="8"/>
    <n v="3644.3212800000006"/>
    <n v="3063.68"/>
    <n v="580.64128000000073"/>
    <n v="0.15932768693763483"/>
    <n v="0.17599999999999999"/>
    <n v="8"/>
    <n v="382.96"/>
    <n v="3644.3212800000006"/>
    <n v="580.64128000000073"/>
  </r>
  <r>
    <s v="ORD-2025-415018"/>
    <d v="2025-01-22T00:00:00"/>
    <x v="266"/>
    <s v="Q1-2025"/>
    <d v="2025-02-04T00:00:00"/>
    <d v="2025-02-04T00:00:00"/>
    <n v="13"/>
    <n v="13"/>
    <s v="No"/>
    <d v="2023-03-03T00:00:00"/>
    <x v="1"/>
    <x v="2"/>
    <s v="Tokyo"/>
    <s v="Asia - Japan - Tokyo"/>
    <s v="Small Business"/>
    <x v="3"/>
    <x v="4"/>
    <x v="1"/>
    <x v="308"/>
    <n v="122.29"/>
    <n v="224.95"/>
    <n v="224.95"/>
    <s v="Low"/>
    <n v="0.153"/>
    <n v="0.153"/>
    <s v="No"/>
    <n v="28"/>
    <n v="5334.9141999999993"/>
    <n v="3424.1200000000003"/>
    <n v="1910.7941999999989"/>
    <n v="0.3581677471026618"/>
    <n v="0.153"/>
    <n v="28"/>
    <n v="122.29"/>
    <n v="5334.9141999999993"/>
    <n v="1910.7941999999989"/>
  </r>
  <r>
    <s v="ORD-2023-884192"/>
    <d v="2023-01-10T00:00:00"/>
    <x v="271"/>
    <s v="Q1-2023"/>
    <d v="2023-01-29T00:00:00"/>
    <d v="2023-01-29T00:00:00"/>
    <n v="19"/>
    <n v="19"/>
    <s v="No"/>
    <d v="2023-01-10T00:00:00"/>
    <x v="3"/>
    <x v="7"/>
    <s v="Lyon"/>
    <s v="Europe - France - Lyon"/>
    <s v="Non-Profit"/>
    <x v="4"/>
    <x v="14"/>
    <x v="4"/>
    <x v="309"/>
    <n v="401.66"/>
    <n v="772.09"/>
    <n v="772.09"/>
    <s v="Low"/>
    <n v="8.8999999999999996E-2"/>
    <n v="8.8999999999999996E-2"/>
    <s v="No"/>
    <n v="14"/>
    <n v="9847.2358600000007"/>
    <n v="5623.2400000000007"/>
    <n v="4223.99586"/>
    <n v="0.42895244107619046"/>
    <n v="8.8999999999999996E-2"/>
    <n v="14"/>
    <n v="401.66"/>
    <n v="9847.2358600000007"/>
    <n v="4223.99586"/>
  </r>
  <r>
    <s v="ORD-2024-165942"/>
    <d v="2024-12-29T00:00:00"/>
    <x v="272"/>
    <s v="Q4-2024"/>
    <d v="2025-01-12T00:00:00"/>
    <d v="2025-01-12T00:00:00"/>
    <n v="14"/>
    <n v="14"/>
    <s v="No"/>
    <d v="2023-01-19T00:00:00"/>
    <x v="3"/>
    <x v="8"/>
    <s v="Manchester"/>
    <s v="Europe - United Kingdom - Manchester"/>
    <s v="Corporate"/>
    <x v="4"/>
    <x v="5"/>
    <x v="5"/>
    <x v="310"/>
    <n v="1399.72"/>
    <n v="3149.21"/>
    <n v="3149.21"/>
    <s v="High"/>
    <n v="0.185"/>
    <n v="0.185"/>
    <s v="No"/>
    <n v="12"/>
    <n v="30799.273800000003"/>
    <n v="16796.64"/>
    <n v="14002.633800000003"/>
    <n v="0.45464168703873797"/>
    <n v="0.185"/>
    <n v="12"/>
    <n v="1399.72"/>
    <n v="30799.273800000003"/>
    <n v="14002.633800000003"/>
  </r>
  <r>
    <s v="ORD-2024-403664"/>
    <d v="2024-05-23T00:00:00"/>
    <x v="154"/>
    <s v="Q2-2024"/>
    <d v="2024-06-06T00:00:00"/>
    <d v="2024-06-06T00:00:00"/>
    <n v="14"/>
    <n v="14"/>
    <s v="No"/>
    <d v="2023-01-29T00:00:00"/>
    <x v="2"/>
    <x v="5"/>
    <s v="Rio de Janeiro"/>
    <s v="Americas - Brazil - Rio de Janeiro"/>
    <s v="Non-Profit"/>
    <x v="1"/>
    <x v="2"/>
    <x v="2"/>
    <x v="311"/>
    <n v="51.13"/>
    <n v="57.53"/>
    <n v="57.53"/>
    <s v="Low"/>
    <n v="4.4999999999999998E-2"/>
    <n v="4.4999999999999998E-2"/>
    <s v="No"/>
    <n v="16"/>
    <n v="879.05840000000001"/>
    <n v="818.08"/>
    <n v="60.978399999999965"/>
    <n v="6.9367859973808302E-2"/>
    <n v="4.4999999999999998E-2"/>
    <n v="16"/>
    <n v="51.13"/>
    <n v="879.05840000000001"/>
    <n v="60.978399999999965"/>
  </r>
  <r>
    <s v="ORD-2023-890605"/>
    <d v="2023-06-24T00:00:00"/>
    <x v="87"/>
    <s v="Q2-2023"/>
    <d v="2023-06-22T00:00:00"/>
    <d v="2023-06-27T00:00:00"/>
    <n v="-2"/>
    <n v="3"/>
    <s v="Yes"/>
    <d v="2023-01-02T00:00:00"/>
    <x v="2"/>
    <x v="3"/>
    <s v="Toronto"/>
    <s v="Americas - Canada - Toronto"/>
    <s v="Non-Profit"/>
    <x v="0"/>
    <x v="12"/>
    <x v="6"/>
    <x v="312"/>
    <n v="471.42"/>
    <n v="824.81"/>
    <n v="824.81"/>
    <s v="Medium"/>
    <n v="8.7999999999999995E-2"/>
    <n v="8.7999999999999995E-2"/>
    <s v="No"/>
    <n v="15"/>
    <n v="11283.400799999999"/>
    <n v="7071.3"/>
    <n v="4212.1007999999993"/>
    <n v="0.37330064531608231"/>
    <n v="8.7999999999999995E-2"/>
    <n v="15"/>
    <n v="471.42"/>
    <n v="11283.400799999999"/>
    <n v="4212.1007999999993"/>
  </r>
  <r>
    <s v="ORD-2024-925626"/>
    <d v="2024-11-04T00:00:00"/>
    <x v="273"/>
    <s v="Q4-2024"/>
    <d v="2024-11-05T00:00:00"/>
    <d v="2024-11-05T00:00:00"/>
    <n v="1"/>
    <n v="1"/>
    <s v="Yes"/>
    <d v="2023-01-19T00:00:00"/>
    <x v="3"/>
    <x v="8"/>
    <s v="London"/>
    <s v="Europe - United Kingdom - London"/>
    <s v="Corporate"/>
    <x v="0"/>
    <x v="12"/>
    <x v="1"/>
    <x v="313"/>
    <n v="840.68"/>
    <n v="1493.53"/>
    <n v="1493.53"/>
    <s v="Medium"/>
    <n v="0"/>
    <n v="0"/>
    <s v="No"/>
    <n v="27"/>
    <n v="40325.31"/>
    <n v="22698.359999999997"/>
    <n v="17626.95"/>
    <n v="0.43711877230454027"/>
    <n v="0"/>
    <n v="27"/>
    <n v="840.68"/>
    <n v="40325.31"/>
    <n v="17626.95"/>
  </r>
  <r>
    <s v="ORD-2024-427031"/>
    <d v="2024-06-08T00:00:00"/>
    <x v="274"/>
    <s v="Q2-2024"/>
    <d v="2024-06-24T00:00:00"/>
    <d v="2024-06-24T00:00:00"/>
    <n v="16"/>
    <n v="16"/>
    <s v="No"/>
    <d v="2023-01-07T00:00:00"/>
    <x v="0"/>
    <x v="11"/>
    <s v="Durban"/>
    <s v="Africa - South Africa - Durban"/>
    <s v="Education"/>
    <x v="3"/>
    <x v="10"/>
    <x v="5"/>
    <x v="314"/>
    <n v="597.85"/>
    <n v="741.92"/>
    <n v="741.92"/>
    <s v="Low"/>
    <n v="3.1E-2"/>
    <n v="3.1E-2"/>
    <s v="No"/>
    <n v="7"/>
    <n v="5032.4433599999993"/>
    <n v="4184.95"/>
    <n v="847.49335999999948"/>
    <n v="0.16840594108544515"/>
    <n v="3.1E-2"/>
    <n v="7"/>
    <n v="597.85"/>
    <n v="5032.4433599999993"/>
    <n v="847.49335999999948"/>
  </r>
  <r>
    <s v="ORD-2025-231184"/>
    <d v="2025-06-01T00:00:00"/>
    <x v="262"/>
    <s v="Q2-2025"/>
    <d v="2025-06-06T00:00:00"/>
    <d v="2025-06-06T00:00:00"/>
    <n v="5"/>
    <n v="5"/>
    <s v="Yes"/>
    <d v="2023-01-10T00:00:00"/>
    <x v="3"/>
    <x v="7"/>
    <s v="Paris"/>
    <s v="Europe - France - Paris"/>
    <s v="Consumer"/>
    <x v="3"/>
    <x v="3"/>
    <x v="0"/>
    <x v="315"/>
    <n v="379.45"/>
    <n v="742.23"/>
    <n v="742.23"/>
    <s v="Low"/>
    <n v="0.09"/>
    <n v="0.09"/>
    <s v="No"/>
    <n v="13"/>
    <n v="8780.5809000000008"/>
    <n v="4932.8499999999995"/>
    <n v="3847.7309000000014"/>
    <n v="0.43820915083192286"/>
    <n v="0.09"/>
    <n v="13"/>
    <n v="379.45"/>
    <n v="8780.5809000000008"/>
    <n v="3847.7309000000014"/>
  </r>
  <r>
    <s v="ORD-2023-363031"/>
    <d v="2023-05-06T00:00:00"/>
    <x v="275"/>
    <s v="Q2-2023"/>
    <d v="2023-05-14T00:00:00"/>
    <d v="2023-05-14T00:00:00"/>
    <n v="8"/>
    <n v="8"/>
    <s v="No"/>
    <d v="2023-03-03T00:00:00"/>
    <x v="1"/>
    <x v="2"/>
    <s v="Osaka"/>
    <s v="Asia - Japan - Osaka"/>
    <s v="Enterprise"/>
    <x v="2"/>
    <x v="5"/>
    <x v="3"/>
    <x v="316"/>
    <n v="291.18"/>
    <n v="479.54"/>
    <n v="479.54"/>
    <s v="Low"/>
    <n v="0.14099999999999999"/>
    <n v="0.14099999999999999"/>
    <s v="No"/>
    <n v="22"/>
    <n v="9062.34692"/>
    <n v="6405.96"/>
    <n v="2656.3869199999999"/>
    <n v="0.29312350801066001"/>
    <n v="0.14099999999999999"/>
    <n v="22"/>
    <n v="291.18"/>
    <n v="9062.34692"/>
    <n v="2656.3869199999999"/>
  </r>
  <r>
    <s v="ORD-2023-619570"/>
    <d v="2023-11-14T00:00:00"/>
    <x v="276"/>
    <s v="Q4-2023"/>
    <d v="2023-11-30T00:00:00"/>
    <d v="2023-11-30T00:00:00"/>
    <n v="16"/>
    <n v="16"/>
    <s v="No"/>
    <d v="2023-01-29T00:00:00"/>
    <x v="2"/>
    <x v="5"/>
    <s v="São Paulo"/>
    <s v="Americas - Brazil - São Paulo"/>
    <s v="Enterprise"/>
    <x v="4"/>
    <x v="11"/>
    <x v="2"/>
    <x v="317"/>
    <n v="1017.92"/>
    <n v="1175.25"/>
    <n v="1175.25"/>
    <s v="Medium"/>
    <n v="7.4999999999999997E-2"/>
    <n v="7.4999999999999997E-2"/>
    <s v="No"/>
    <n v="15"/>
    <n v="16306.59375"/>
    <n v="15268.8"/>
    <n v="1037.7937500000007"/>
    <n v="6.3642583234159542E-2"/>
    <n v="7.4999999999999997E-2"/>
    <n v="15"/>
    <n v="1017.92"/>
    <n v="16306.59375"/>
    <n v="1037.7937500000007"/>
  </r>
  <r>
    <s v="ORD-2025-861401"/>
    <d v="2025-04-01T00:00:00"/>
    <x v="277"/>
    <s v="Q2-2025"/>
    <d v="2025-04-27T00:00:00"/>
    <d v="2025-04-27T00:00:00"/>
    <n v="26"/>
    <n v="26"/>
    <s v="No"/>
    <d v="2023-01-13T00:00:00"/>
    <x v="2"/>
    <x v="10"/>
    <s v="San Francisco"/>
    <s v="Americas - USA - San Francisco"/>
    <s v="Corporate"/>
    <x v="4"/>
    <x v="2"/>
    <x v="5"/>
    <x v="318"/>
    <n v="156.55000000000001"/>
    <n v="227.45"/>
    <n v="227.45"/>
    <s v="Low"/>
    <n v="1.4E-2"/>
    <n v="1.4E-2"/>
    <s v="No"/>
    <n v="13"/>
    <n v="2915.4540999999999"/>
    <n v="2035.15"/>
    <n v="880.30409999999983"/>
    <n v="0.3019440779396938"/>
    <n v="1.4E-2"/>
    <n v="13"/>
    <n v="156.55000000000001"/>
    <n v="2915.4540999999999"/>
    <n v="880.30409999999983"/>
  </r>
  <r>
    <s v="ORD-2023-835010"/>
    <d v="2023-03-23T00:00:00"/>
    <x v="278"/>
    <s v="Q1-2023"/>
    <d v="2023-04-15T00:00:00"/>
    <d v="2023-04-15T00:00:00"/>
    <n v="23"/>
    <n v="23"/>
    <s v="No"/>
    <d v="2023-01-20T00:00:00"/>
    <x v="0"/>
    <x v="0"/>
    <s v="Mombasa"/>
    <s v="Africa - Kenya - Mombasa"/>
    <s v="Small Business"/>
    <x v="0"/>
    <x v="0"/>
    <x v="6"/>
    <x v="319"/>
    <n v="875.36"/>
    <n v="1178.6199999999999"/>
    <n v="1178.6199999999999"/>
    <s v="Medium"/>
    <n v="0.151"/>
    <n v="0.151"/>
    <s v="No"/>
    <n v="53"/>
    <n v="53034.364139999991"/>
    <n v="46394.080000000002"/>
    <n v="6640.2841399999888"/>
    <n v="0.12520719815685888"/>
    <n v="0.151"/>
    <n v="53"/>
    <n v="875.36"/>
    <n v="53034.364139999991"/>
    <n v="6640.2841399999888"/>
  </r>
  <r>
    <s v="ORD-2024-819979"/>
    <d v="2024-05-28T00:00:00"/>
    <x v="91"/>
    <s v="Q2-2024"/>
    <d v="2024-06-18T00:00:00"/>
    <d v="2024-06-18T00:00:00"/>
    <n v="21"/>
    <n v="21"/>
    <s v="No"/>
    <d v="2023-01-22T00:00:00"/>
    <x v="3"/>
    <x v="6"/>
    <s v="Frankfurt"/>
    <s v="Europe - Germany - Frankfurt"/>
    <s v="Small Business"/>
    <x v="1"/>
    <x v="6"/>
    <x v="3"/>
    <x v="320"/>
    <n v="986.85"/>
    <n v="2422.1"/>
    <n v="2422.1"/>
    <s v="High"/>
    <n v="7.5999999999999998E-2"/>
    <n v="7.5999999999999998E-2"/>
    <s v="No"/>
    <n v="10"/>
    <n v="22380.204000000002"/>
    <n v="9868.5"/>
    <n v="12511.704000000002"/>
    <n v="0.55905227673527913"/>
    <n v="7.5999999999999998E-2"/>
    <n v="10"/>
    <n v="986.85"/>
    <n v="22380.204000000002"/>
    <n v="12511.704000000002"/>
  </r>
  <r>
    <s v="ORD-2024-719055"/>
    <d v="2024-01-02T00:00:00"/>
    <x v="279"/>
    <s v="Q1-2024"/>
    <d v="2024-01-01T00:00:00"/>
    <d v="2024-01-09T00:00:00"/>
    <n v="-1"/>
    <n v="7"/>
    <s v="Yes"/>
    <d v="2023-01-13T00:00:00"/>
    <x v="2"/>
    <x v="10"/>
    <s v="Chicago"/>
    <s v="Americas - USA - Chicago"/>
    <s v="Education"/>
    <x v="2"/>
    <x v="5"/>
    <x v="2"/>
    <x v="321"/>
    <n v="404.77"/>
    <n v="433.88"/>
    <n v="433.88"/>
    <s v="Low"/>
    <n v="0.215"/>
    <n v="0.215"/>
    <s v="Yes"/>
    <n v="22"/>
    <n v="7493.1076000000012"/>
    <n v="8904.9399999999987"/>
    <n v="-1411.8323999999975"/>
    <n v="-0.18841747314558746"/>
    <n v="0.215"/>
    <n v="22"/>
    <n v="404.77"/>
    <n v="7493.1076000000012"/>
    <n v="-1411.8323999999975"/>
  </r>
  <r>
    <s v="ORD-2023-888245"/>
    <d v="2023-02-28T00:00:00"/>
    <x v="2"/>
    <s v="Q1-2023"/>
    <d v="2023-02-27T00:00:00"/>
    <d v="2023-03-18T00:00:00"/>
    <n v="-1"/>
    <n v="18"/>
    <s v="No"/>
    <d v="2023-01-10T00:00:00"/>
    <x v="3"/>
    <x v="7"/>
    <s v="Marseille"/>
    <s v="Europe - France - Marseille"/>
    <s v="Corporate"/>
    <x v="0"/>
    <x v="11"/>
    <x v="2"/>
    <x v="322"/>
    <n v="1299.81"/>
    <n v="3149.13"/>
    <n v="3149.13"/>
    <s v="High"/>
    <n v="0.10299999999999999"/>
    <n v="0.10299999999999999"/>
    <s v="No"/>
    <n v="14"/>
    <n v="39546.774539999999"/>
    <n v="18197.34"/>
    <n v="21349.434539999998"/>
    <n v="0.53985273864511729"/>
    <n v="0.10299999999999999"/>
    <n v="14"/>
    <n v="1299.81"/>
    <n v="39546.774539999999"/>
    <n v="21349.434539999998"/>
  </r>
  <r>
    <s v="ORD-2024-206121"/>
    <d v="2024-02-18T00:00:00"/>
    <x v="142"/>
    <s v="Q1-2024"/>
    <d v="2024-03-11T00:00:00"/>
    <d v="2024-03-11T00:00:00"/>
    <n v="22"/>
    <n v="22"/>
    <s v="No"/>
    <d v="2023-01-29T00:00:00"/>
    <x v="2"/>
    <x v="5"/>
    <s v="São Paulo"/>
    <s v="Americas - Brazil - São Paulo"/>
    <s v="Consumer"/>
    <x v="1"/>
    <x v="8"/>
    <x v="0"/>
    <x v="323"/>
    <n v="80.48"/>
    <n v="65.650000000000006"/>
    <n v="65.650000000000006"/>
    <s v="Low"/>
    <n v="0.17599999999999999"/>
    <n v="0.17599999999999999"/>
    <s v="No"/>
    <n v="13"/>
    <n v="703.2428000000001"/>
    <n v="1046.24"/>
    <n v="-342.99719999999991"/>
    <n v="-0.48773652570634191"/>
    <n v="0.17599999999999999"/>
    <n v="13"/>
    <n v="80.48"/>
    <n v="703.2428000000001"/>
    <n v="-342.99719999999991"/>
  </r>
  <r>
    <s v="ORD-2024-500890"/>
    <d v="2024-09-09T00:00:00"/>
    <x v="191"/>
    <s v="Q3-2024"/>
    <d v="2024-10-08T00:00:00"/>
    <d v="2024-10-08T00:00:00"/>
    <n v="29"/>
    <n v="29"/>
    <s v="No"/>
    <d v="2023-01-29T00:00:00"/>
    <x v="2"/>
    <x v="5"/>
    <s v="São Paulo"/>
    <s v="Americas - Brazil - São Paulo"/>
    <s v="Education"/>
    <x v="4"/>
    <x v="1"/>
    <x v="0"/>
    <x v="324"/>
    <n v="1010.33"/>
    <n v="2492.14"/>
    <n v="2492.14"/>
    <s v="High"/>
    <n v="5.0999999999999997E-2"/>
    <n v="5.0999999999999997E-2"/>
    <s v="No"/>
    <n v="11"/>
    <n v="26015.449459999996"/>
    <n v="11113.630000000001"/>
    <n v="14901.819459999995"/>
    <n v="0.57280653493656752"/>
    <n v="5.0999999999999997E-2"/>
    <n v="11"/>
    <n v="1010.33"/>
    <n v="26015.449459999996"/>
    <n v="14901.819459999995"/>
  </r>
  <r>
    <s v="ORD-2023-144816"/>
    <d v="2023-05-07T00:00:00"/>
    <x v="239"/>
    <s v="Q2-2023"/>
    <d v="2023-05-29T00:00:00"/>
    <d v="2023-05-29T00:00:00"/>
    <n v="22"/>
    <n v="22"/>
    <s v="No"/>
    <d v="2023-01-07T00:00:00"/>
    <x v="0"/>
    <x v="11"/>
    <s v="Durban"/>
    <s v="Africa - South Africa - Durban"/>
    <s v="Education"/>
    <x v="3"/>
    <x v="11"/>
    <x v="6"/>
    <x v="325"/>
    <n v="653.86"/>
    <n v="931.84"/>
    <n v="931.84"/>
    <s v="Medium"/>
    <n v="0.121"/>
    <n v="0.121"/>
    <s v="No"/>
    <n v="12"/>
    <n v="9829.0483199999999"/>
    <n v="7846.32"/>
    <n v="1982.7283200000002"/>
    <n v="0.20172129136506273"/>
    <n v="0.121"/>
    <n v="12"/>
    <n v="653.86"/>
    <n v="9829.0483199999999"/>
    <n v="1982.7283200000002"/>
  </r>
  <r>
    <s v="ORD-2024-153053"/>
    <d v="2024-01-12T00:00:00"/>
    <x v="182"/>
    <s v="Q1-2024"/>
    <d v="2024-01-29T00:00:00"/>
    <d v="2024-01-29T00:00:00"/>
    <n v="17"/>
    <n v="17"/>
    <s v="No"/>
    <d v="2023-01-29T00:00:00"/>
    <x v="1"/>
    <x v="4"/>
    <s v="Hyderabad"/>
    <s v="Asia - India - Hyderabad"/>
    <s v="Small Business"/>
    <x v="4"/>
    <x v="5"/>
    <x v="0"/>
    <x v="326"/>
    <n v="310.02"/>
    <n v="619.51"/>
    <n v="619.51"/>
    <s v="Low"/>
    <n v="4.2000000000000003E-2"/>
    <n v="4.2000000000000003E-2"/>
    <s v="No"/>
    <n v="4"/>
    <n v="2373.9623200000001"/>
    <n v="1240.08"/>
    <n v="1133.8823200000002"/>
    <n v="0.47763282106347843"/>
    <n v="4.2000000000000003E-2"/>
    <n v="4"/>
    <n v="310.02"/>
    <n v="2373.9623200000001"/>
    <n v="1133.8823200000002"/>
  </r>
  <r>
    <s v="ORD-2023-536542"/>
    <d v="2023-06-10T00:00:00"/>
    <x v="280"/>
    <s v="Q2-2023"/>
    <d v="2023-06-18T00:00:00"/>
    <d v="2023-06-18T00:00:00"/>
    <n v="8"/>
    <n v="8"/>
    <s v="No"/>
    <d v="2023-01-20T00:00:00"/>
    <x v="0"/>
    <x v="0"/>
    <s v="Nakuru"/>
    <s v="Africa - Kenya - Nakuru"/>
    <s v="Enterprise"/>
    <x v="4"/>
    <x v="10"/>
    <x v="3"/>
    <x v="327"/>
    <n v="894.23"/>
    <n v="1421.55"/>
    <n v="1421.55"/>
    <s v="Medium"/>
    <n v="0.109"/>
    <n v="0.109"/>
    <s v="No"/>
    <n v="3"/>
    <n v="3799.8031499999997"/>
    <n v="2682.69"/>
    <n v="1117.1131499999997"/>
    <n v="0.29399237431549574"/>
    <n v="0.109"/>
    <n v="3"/>
    <n v="894.23"/>
    <n v="3799.8031499999997"/>
    <n v="1117.1131499999997"/>
  </r>
  <r>
    <s v="ORD-2025-779530"/>
    <d v="2025-05-19T00:00:00"/>
    <x v="281"/>
    <s v="Q2-2025"/>
    <d v="2025-05-17T00:00:00"/>
    <d v="2025-05-26T00:00:00"/>
    <n v="-2"/>
    <n v="7"/>
    <s v="Yes"/>
    <d v="2023-01-29T00:00:00"/>
    <x v="2"/>
    <x v="5"/>
    <s v="São Paulo"/>
    <s v="Americas - Brazil - São Paulo"/>
    <s v="Small Business"/>
    <x v="3"/>
    <x v="4"/>
    <x v="5"/>
    <x v="328"/>
    <n v="383.77"/>
    <n v="952.56"/>
    <n v="952.56"/>
    <s v="Medium"/>
    <n v="0.34599999999999997"/>
    <n v="0.11861439999999995"/>
    <s v="No"/>
    <n v="10"/>
    <n v="8395.7266713599984"/>
    <n v="3837.7"/>
    <n v="4558.0266713599985"/>
    <n v="0.54289841127255967"/>
    <n v="0.11861439999999995"/>
    <n v="10"/>
    <n v="383.77"/>
    <n v="8395.7266713599984"/>
    <n v="4558.0266713599985"/>
  </r>
  <r>
    <s v="ORD-2023-163610"/>
    <d v="2023-10-22T00:00:00"/>
    <x v="282"/>
    <s v="Q4-2023"/>
    <d v="2023-11-16T00:00:00"/>
    <d v="2023-11-16T00:00:00"/>
    <n v="25"/>
    <n v="25"/>
    <s v="No"/>
    <d v="2023-01-02T00:00:00"/>
    <x v="2"/>
    <x v="3"/>
    <s v="Toronto"/>
    <s v="Americas - Canada - Toronto"/>
    <s v="Small Business"/>
    <x v="2"/>
    <x v="2"/>
    <x v="4"/>
    <x v="329"/>
    <n v="1373.31"/>
    <n v="3154.14"/>
    <n v="3154.14"/>
    <s v="High"/>
    <n v="0.2"/>
    <n v="0.2"/>
    <s v="No"/>
    <n v="11"/>
    <n v="27756.432000000001"/>
    <n v="15106.41"/>
    <n v="12650.022000000001"/>
    <n v="0.45575101295440279"/>
    <n v="0.2"/>
    <n v="11"/>
    <n v="1373.31"/>
    <n v="27756.432000000001"/>
    <n v="12650.022000000001"/>
  </r>
  <r>
    <s v="ORD-2025-653781"/>
    <d v="2025-01-11T00:00:00"/>
    <x v="283"/>
    <s v="Q1-2025"/>
    <d v="2025-01-23T00:00:00"/>
    <d v="2025-01-23T00:00:00"/>
    <n v="12"/>
    <n v="12"/>
    <s v="No"/>
    <d v="2023-01-13T00:00:00"/>
    <x v="2"/>
    <x v="10"/>
    <s v="Austin"/>
    <s v="Americas - USA - Austin"/>
    <s v="Consumer"/>
    <x v="3"/>
    <x v="10"/>
    <x v="3"/>
    <x v="330"/>
    <n v="100.69"/>
    <n v="226.14"/>
    <n v="226.14"/>
    <s v="Low"/>
    <n v="6.5000000000000002E-2"/>
    <n v="6.5000000000000002E-2"/>
    <s v="No"/>
    <n v="12"/>
    <n v="2537.2908000000002"/>
    <n v="1208.28"/>
    <n v="1329.0108000000002"/>
    <n v="0.52379128162999689"/>
    <n v="6.5000000000000002E-2"/>
    <n v="12"/>
    <n v="100.69"/>
    <n v="2537.2908000000002"/>
    <n v="1329.0108000000002"/>
  </r>
  <r>
    <s v="ORD-2025-737787"/>
    <d v="2025-09-14T00:00:00"/>
    <x v="284"/>
    <s v="Q3-2025"/>
    <d v="2025-09-26T00:00:00"/>
    <d v="2025-09-26T00:00:00"/>
    <n v="12"/>
    <n v="12"/>
    <s v="No"/>
    <d v="2023-01-19T00:00:00"/>
    <x v="3"/>
    <x v="8"/>
    <s v="London"/>
    <s v="Europe - United Kingdom - London"/>
    <s v="Small Business"/>
    <x v="4"/>
    <x v="13"/>
    <x v="2"/>
    <x v="331"/>
    <n v="425.15"/>
    <n v="885.92"/>
    <n v="885.92"/>
    <s v="Medium"/>
    <n v="0.23899999999999999"/>
    <n v="0.23899999999999999"/>
    <s v="Yes"/>
    <n v="13"/>
    <n v="8764.4065599999994"/>
    <n v="5526.95"/>
    <n v="3237.4565599999996"/>
    <n v="0.3693868532725848"/>
    <n v="0.23899999999999999"/>
    <n v="13"/>
    <n v="425.15"/>
    <n v="8764.4065599999994"/>
    <n v="3237.4565599999996"/>
  </r>
  <r>
    <s v="ORD-2023-944052"/>
    <d v="2023-08-30T00:00:00"/>
    <x v="52"/>
    <s v="Q3-2023"/>
    <d v="2023-09-03T00:00:00"/>
    <d v="2023-09-03T00:00:00"/>
    <n v="4"/>
    <n v="4"/>
    <s v="Yes"/>
    <d v="2023-01-29T00:00:00"/>
    <x v="1"/>
    <x v="4"/>
    <s v="Delhi"/>
    <s v="Asia - India - Delhi"/>
    <s v="Small Business"/>
    <x v="2"/>
    <x v="4"/>
    <x v="6"/>
    <x v="332"/>
    <n v="1082.25"/>
    <n v="2433.34"/>
    <n v="2433.34"/>
    <s v="High"/>
    <n v="0.27"/>
    <n v="0.27"/>
    <s v="Yes"/>
    <n v="4"/>
    <n v="7105.3528000000006"/>
    <n v="4329"/>
    <n v="2776.3528000000006"/>
    <n v="0.3907410199251472"/>
    <n v="0.25"/>
    <n v="4"/>
    <n v="1082.25"/>
    <n v="7300.02"/>
    <n v="2971.0200000000004"/>
  </r>
  <r>
    <s v="ORD-2023-181257"/>
    <d v="2023-11-15T00:00:00"/>
    <x v="285"/>
    <s v="Q4-2023"/>
    <d v="2023-12-06T00:00:00"/>
    <d v="2023-12-06T00:00:00"/>
    <n v="21"/>
    <n v="21"/>
    <s v="No"/>
    <d v="2023-01-19T00:00:00"/>
    <x v="3"/>
    <x v="8"/>
    <s v="Manchester"/>
    <s v="Europe - United Kingdom - Manchester"/>
    <s v="Education"/>
    <x v="4"/>
    <x v="10"/>
    <x v="6"/>
    <x v="333"/>
    <n v="1184.99"/>
    <n v="1154.3399999999999"/>
    <n v="1154.3399999999999"/>
    <s v="Medium"/>
    <n v="2.8000000000000001E-2"/>
    <n v="2.8000000000000001E-2"/>
    <s v="No"/>
    <n v="5"/>
    <n v="5610.0923999999995"/>
    <n v="5924.95"/>
    <n v="-314.85760000000028"/>
    <n v="-5.6123424990290764E-2"/>
    <n v="2.8000000000000001E-2"/>
    <n v="5"/>
    <n v="1184.99"/>
    <n v="5610.0923999999995"/>
    <n v="-314.85760000000028"/>
  </r>
  <r>
    <s v="ORD-2025-323492"/>
    <d v="2025-04-27T00:00:00"/>
    <x v="60"/>
    <s v="Q2-2025"/>
    <d v="2025-05-27T00:00:00"/>
    <d v="2025-05-27T00:00:00"/>
    <n v="30"/>
    <n v="30"/>
    <s v="No"/>
    <d v="2023-01-29T00:00:00"/>
    <x v="1"/>
    <x v="4"/>
    <s v="Delhi"/>
    <s v="Asia - India - Delhi"/>
    <s v="Enterprise"/>
    <x v="2"/>
    <x v="10"/>
    <x v="3"/>
    <x v="334"/>
    <n v="481.32"/>
    <n v="1135.99"/>
    <n v="1135.99"/>
    <s v="Medium"/>
    <n v="0.14499999999999999"/>
    <n v="0.14499999999999999"/>
    <s v="No"/>
    <n v="5"/>
    <n v="4856.35725"/>
    <n v="2406.6"/>
    <n v="2449.7572500000001"/>
    <n v="0.50444337677175621"/>
    <n v="0.14499999999999999"/>
    <n v="5"/>
    <n v="481.32"/>
    <n v="4856.35725"/>
    <n v="2449.7572500000001"/>
  </r>
  <r>
    <s v="ORD-2024-332076"/>
    <d v="2024-04-09T00:00:00"/>
    <x v="286"/>
    <s v="Q2-2024"/>
    <d v="2024-04-18T00:00:00"/>
    <d v="2024-04-18T00:00:00"/>
    <n v="9"/>
    <n v="9"/>
    <s v="No"/>
    <d v="2023-01-10T00:00:00"/>
    <x v="3"/>
    <x v="7"/>
    <s v="Lyon"/>
    <s v="Europe - France - Lyon"/>
    <s v="Consumer"/>
    <x v="1"/>
    <x v="6"/>
    <x v="1"/>
    <x v="335"/>
    <n v="1288.8499999999999"/>
    <n v="2751.84"/>
    <n v="2751.84"/>
    <s v="High"/>
    <n v="0.158"/>
    <n v="0.158"/>
    <s v="No"/>
    <n v="7"/>
    <n v="16219.34496"/>
    <n v="9021.9499999999989"/>
    <n v="7197.3949600000014"/>
    <n v="0.44375373837538756"/>
    <n v="0.158"/>
    <n v="7"/>
    <n v="1288.8499999999999"/>
    <n v="16219.34496"/>
    <n v="7197.3949600000014"/>
  </r>
  <r>
    <s v="ORD-2024-571797"/>
    <d v="2024-07-11T00:00:00"/>
    <x v="287"/>
    <s v="Q3-2024"/>
    <d v="2024-07-31T00:00:00"/>
    <d v="2024-07-31T00:00:00"/>
    <n v="20"/>
    <n v="20"/>
    <s v="No"/>
    <d v="2023-01-12T00:00:00"/>
    <x v="1"/>
    <x v="9"/>
    <s v="Shenzhen"/>
    <s v="Asia - China - Shenzhen"/>
    <s v="Consumer"/>
    <x v="1"/>
    <x v="3"/>
    <x v="3"/>
    <x v="336"/>
    <n v="647.26"/>
    <n v="1374.72"/>
    <n v="1374.72"/>
    <s v="Medium"/>
    <n v="6.6000000000000003E-2"/>
    <n v="6.6000000000000003E-2"/>
    <s v="No"/>
    <n v="22"/>
    <n v="28247.74656"/>
    <n v="14239.72"/>
    <n v="14008.02656"/>
    <n v="0.49589890401508901"/>
    <n v="6.6000000000000003E-2"/>
    <n v="22"/>
    <n v="647.26"/>
    <n v="28247.74656"/>
    <n v="14008.02656"/>
  </r>
  <r>
    <s v="ORD-2024-129345"/>
    <d v="2024-02-18T00:00:00"/>
    <x v="142"/>
    <s v="Q1-2024"/>
    <d v="2024-03-03T00:00:00"/>
    <d v="2024-03-03T00:00:00"/>
    <n v="14"/>
    <n v="14"/>
    <s v="No"/>
    <d v="2023-01-29T00:00:00"/>
    <x v="2"/>
    <x v="5"/>
    <s v="Brasília"/>
    <s v="Americas - Brazil - Brasília"/>
    <s v="Enterprise"/>
    <x v="3"/>
    <x v="8"/>
    <x v="1"/>
    <x v="337"/>
    <n v="624.23"/>
    <n v="1318.37"/>
    <n v="1318.37"/>
    <s v="Medium"/>
    <n v="0.21"/>
    <n v="0.21"/>
    <s v="Yes"/>
    <n v="37"/>
    <n v="38535.955099999999"/>
    <n v="23096.510000000002"/>
    <n v="15439.445099999997"/>
    <n v="0.40065038118128793"/>
    <n v="0.21"/>
    <n v="37"/>
    <n v="624.23"/>
    <n v="38535.955099999999"/>
    <n v="15439.445099999997"/>
  </r>
  <r>
    <s v="ORD-2023-660608"/>
    <d v="2023-07-25T00:00:00"/>
    <x v="288"/>
    <s v="Q3-2023"/>
    <d v="2023-08-10T00:00:00"/>
    <d v="2023-08-10T00:00:00"/>
    <n v="16"/>
    <n v="16"/>
    <s v="No"/>
    <d v="2023-01-15T00:00:00"/>
    <x v="0"/>
    <x v="1"/>
    <s v="Port Harcourt"/>
    <s v="Africa - Nigeria - Port Harcourt"/>
    <s v="Corporate"/>
    <x v="3"/>
    <x v="2"/>
    <x v="6"/>
    <x v="338"/>
    <n v="506.83"/>
    <n v="441.74"/>
    <n v="441.74"/>
    <s v="Low"/>
    <n v="0.24"/>
    <n v="0.24"/>
    <s v="Yes"/>
    <n v="9"/>
    <n v="3021.5016000000001"/>
    <n v="4561.47"/>
    <n v="-1539.9684000000002"/>
    <n v="-0.50966989393618067"/>
    <n v="0.24"/>
    <n v="9"/>
    <n v="506.83"/>
    <n v="3021.5016000000001"/>
    <n v="-1539.9684000000002"/>
  </r>
  <r>
    <s v="ORD-2023-825084"/>
    <d v="2023-07-14T00:00:00"/>
    <x v="289"/>
    <s v="Q3-2023"/>
    <d v="2023-07-21T00:00:00"/>
    <d v="2023-07-21T00:00:00"/>
    <n v="7"/>
    <n v="7"/>
    <s v="Yes"/>
    <d v="2023-01-07T00:00:00"/>
    <x v="0"/>
    <x v="11"/>
    <s v="Durban"/>
    <s v="Africa - South Africa - Durban"/>
    <s v="Enterprise"/>
    <x v="2"/>
    <x v="8"/>
    <x v="5"/>
    <x v="339"/>
    <n v="620.74"/>
    <n v="1330.07"/>
    <n v="1330.07"/>
    <s v="Medium"/>
    <n v="0.29899999999999999"/>
    <n v="0.29899999999999999"/>
    <s v="Yes"/>
    <n v="28"/>
    <n v="26106.613960000002"/>
    <n v="17380.72"/>
    <n v="8725.8939600000012"/>
    <n v="0.33424073965967516"/>
    <n v="0.25"/>
    <n v="28"/>
    <n v="620.74"/>
    <n v="27931.47"/>
    <n v="10550.75"/>
  </r>
  <r>
    <s v="ORD-2023-261081"/>
    <d v="2023-07-24T00:00:00"/>
    <x v="245"/>
    <s v="Q3-2023"/>
    <d v="2023-08-19T00:00:00"/>
    <d v="2023-08-19T00:00:00"/>
    <n v="26"/>
    <n v="26"/>
    <s v="No"/>
    <d v="2023-01-20T00:00:00"/>
    <x v="0"/>
    <x v="0"/>
    <s v="Nairobi"/>
    <s v="Africa - Kenya - Nairobi"/>
    <s v="Enterprise"/>
    <x v="3"/>
    <x v="12"/>
    <x v="6"/>
    <x v="340"/>
    <n v="661.45"/>
    <n v="1634.86"/>
    <n v="1634.86"/>
    <s v="Medium"/>
    <n v="0.56499999999999995"/>
    <n v="0.11861439999999995"/>
    <s v="No"/>
    <n v="24"/>
    <n v="34582.609488383998"/>
    <n v="15874.800000000001"/>
    <n v="18707.809488383995"/>
    <n v="0.54096003063816767"/>
    <n v="0.11861439999999995"/>
    <n v="24"/>
    <n v="661.45"/>
    <n v="34582.609488383998"/>
    <n v="18707.809488383995"/>
  </r>
  <r>
    <s v="ORD-2023-766015"/>
    <d v="2023-04-13T00:00:00"/>
    <x v="290"/>
    <s v="Q2-2023"/>
    <d v="2023-04-11T00:00:00"/>
    <d v="2023-04-24T00:00:00"/>
    <n v="-2"/>
    <n v="11"/>
    <s v="No"/>
    <d v="2023-01-13T00:00:00"/>
    <x v="2"/>
    <x v="10"/>
    <s v="San Francisco"/>
    <s v="Americas - USA - San Francisco"/>
    <s v="Education"/>
    <x v="2"/>
    <x v="3"/>
    <x v="2"/>
    <x v="341"/>
    <n v="32.1"/>
    <n v="70.599999999999994"/>
    <n v="70.599999999999994"/>
    <s v="Low"/>
    <n v="0.28199999999999997"/>
    <n v="0.28199999999999997"/>
    <s v="Yes"/>
    <n v="22"/>
    <n v="1115.1975999999997"/>
    <n v="706.2"/>
    <n v="408.99759999999969"/>
    <n v="0.36674899587301818"/>
    <n v="0.25"/>
    <n v="22"/>
    <n v="32.1"/>
    <n v="1164.8999999999999"/>
    <n v="458.69999999999982"/>
  </r>
  <r>
    <s v="ORD-2024-333192"/>
    <d v="2024-10-29T00:00:00"/>
    <x v="291"/>
    <s v="Q4-2024"/>
    <d v="2024-11-04T00:00:00"/>
    <d v="2024-11-04T00:00:00"/>
    <n v="6"/>
    <n v="6"/>
    <s v="Yes"/>
    <d v="2023-01-20T00:00:00"/>
    <x v="0"/>
    <x v="0"/>
    <s v="Nairobi"/>
    <s v="Africa - Kenya - Nairobi"/>
    <s v="Corporate"/>
    <x v="3"/>
    <x v="12"/>
    <x v="1"/>
    <x v="342"/>
    <n v="805.81"/>
    <n v="1823.04"/>
    <n v="1823.04"/>
    <s v="High"/>
    <n v="0"/>
    <n v="0"/>
    <s v="No"/>
    <n v="11"/>
    <n v="20053.439999999999"/>
    <n v="8863.91"/>
    <n v="11189.529999999999"/>
    <n v="0.55798556257679477"/>
    <n v="0"/>
    <n v="11"/>
    <n v="805.81"/>
    <n v="20053.439999999999"/>
    <n v="11189.529999999999"/>
  </r>
  <r>
    <s v="ORD-2024-647473"/>
    <d v="2024-02-17T00:00:00"/>
    <x v="292"/>
    <s v="Q1-2024"/>
    <d v="2024-03-04T00:00:00"/>
    <d v="2024-03-04T00:00:00"/>
    <n v="16"/>
    <n v="16"/>
    <s v="No"/>
    <d v="2023-01-29T00:00:00"/>
    <x v="1"/>
    <x v="4"/>
    <s v="Delhi"/>
    <s v="Asia - India - Delhi"/>
    <s v="Small Business"/>
    <x v="2"/>
    <x v="9"/>
    <x v="3"/>
    <x v="343"/>
    <n v="1231.8"/>
    <n v="2015.99"/>
    <n v="2015.99"/>
    <s v="High"/>
    <n v="0.26100000000000001"/>
    <n v="0.26100000000000001"/>
    <s v="Yes"/>
    <n v="6"/>
    <n v="8938.8996600000009"/>
    <n v="7390.7999999999993"/>
    <n v="1548.0996600000017"/>
    <n v="0.17318682599464391"/>
    <n v="0.25"/>
    <n v="6"/>
    <n v="1231.8"/>
    <n v="9071.9549999999999"/>
    <n v="1681.1550000000007"/>
  </r>
  <r>
    <s v="ORD-2024-892908"/>
    <d v="2024-07-13T00:00:00"/>
    <x v="293"/>
    <s v="Q3-2024"/>
    <d v="2024-07-12T00:00:00"/>
    <d v="2024-07-27T00:00:00"/>
    <n v="-1"/>
    <n v="14"/>
    <s v="No"/>
    <d v="2023-03-03T00:00:00"/>
    <x v="1"/>
    <x v="2"/>
    <s v="Nagoya"/>
    <s v="Asia - Japan - Nagoya"/>
    <s v="Small Business"/>
    <x v="2"/>
    <x v="9"/>
    <x v="2"/>
    <x v="344"/>
    <n v="105.13"/>
    <n v="244.13"/>
    <n v="244.13"/>
    <s v="Low"/>
    <n v="7.0999999999999994E-2"/>
    <n v="7.0999999999999994E-2"/>
    <s v="No"/>
    <n v="14"/>
    <n v="3175.1547799999998"/>
    <n v="1471.82"/>
    <n v="1703.3347799999999"/>
    <n v="0.53645724319618837"/>
    <n v="7.0999999999999994E-2"/>
    <n v="14"/>
    <n v="105.13"/>
    <n v="3175.1547799999998"/>
    <n v="1703.3347799999999"/>
  </r>
  <r>
    <s v="ORD-2023-573146"/>
    <d v="2023-12-01T00:00:00"/>
    <x v="294"/>
    <s v="Q4-2023"/>
    <d v="2023-12-18T00:00:00"/>
    <d v="2023-12-18T00:00:00"/>
    <n v="17"/>
    <n v="17"/>
    <s v="No"/>
    <d v="2023-03-03T00:00:00"/>
    <x v="1"/>
    <x v="2"/>
    <s v="Nagoya"/>
    <s v="Asia - Japan - Nagoya"/>
    <s v="Small Business"/>
    <x v="4"/>
    <x v="13"/>
    <x v="4"/>
    <x v="345"/>
    <n v="1495.79"/>
    <n v="2783.12"/>
    <n v="2783.12"/>
    <s v="High"/>
    <n v="0.02"/>
    <n v="0.02"/>
    <s v="No"/>
    <n v="5"/>
    <n v="13637.287999999999"/>
    <n v="7478.95"/>
    <n v="6158.3379999999988"/>
    <n v="0.45158084217331185"/>
    <n v="0.02"/>
    <n v="5"/>
    <n v="1495.79"/>
    <n v="13637.287999999999"/>
    <n v="6158.3379999999988"/>
  </r>
  <r>
    <s v="ORD-2024-901115"/>
    <d v="2024-07-25T00:00:00"/>
    <x v="19"/>
    <s v="Q3-2024"/>
    <d v="2024-08-02T00:00:00"/>
    <d v="2024-08-02T00:00:00"/>
    <n v="8"/>
    <n v="8"/>
    <s v="No"/>
    <d v="2023-01-02T00:00:00"/>
    <x v="2"/>
    <x v="3"/>
    <s v="Montreal"/>
    <s v="Americas - Canada - Montreal"/>
    <s v="Consumer"/>
    <x v="4"/>
    <x v="1"/>
    <x v="6"/>
    <x v="346"/>
    <n v="986.81"/>
    <n v="2050.31"/>
    <n v="2050.31"/>
    <s v="High"/>
    <n v="0.10299999999999999"/>
    <n v="0.10299999999999999"/>
    <s v="No"/>
    <n v="43"/>
    <n v="79082.507010000001"/>
    <n v="42432.829999999994"/>
    <n v="36649.677010000007"/>
    <n v="0.46343595310358138"/>
    <n v="0.10299999999999999"/>
    <n v="43"/>
    <n v="986.81"/>
    <n v="79082.507010000001"/>
    <n v="36649.677010000007"/>
  </r>
  <r>
    <s v="ORD-2023-898009"/>
    <d v="2023-05-04T00:00:00"/>
    <x v="177"/>
    <s v="Q2-2023"/>
    <d v="2023-05-16T00:00:00"/>
    <d v="2023-05-16T00:00:00"/>
    <n v="12"/>
    <n v="12"/>
    <s v="No"/>
    <d v="2023-01-15T00:00:00"/>
    <x v="0"/>
    <x v="1"/>
    <s v="Abuja"/>
    <s v="Africa - Nigeria - Abuja"/>
    <s v="Small Business"/>
    <x v="2"/>
    <x v="1"/>
    <x v="3"/>
    <x v="347"/>
    <n v="77.739999999999995"/>
    <n v="147.12"/>
    <n v="147.12"/>
    <s v="Low"/>
    <n v="0"/>
    <n v="0"/>
    <s v="No"/>
    <n v="15"/>
    <n v="2206.8000000000002"/>
    <n v="1166.0999999999999"/>
    <n v="1040.7000000000003"/>
    <n v="0.47158781946710177"/>
    <n v="0"/>
    <n v="15"/>
    <n v="77.739999999999995"/>
    <n v="2206.8000000000002"/>
    <n v="1040.7000000000003"/>
  </r>
  <r>
    <s v="ORD-2023-208944"/>
    <d v="2023-12-21T00:00:00"/>
    <x v="295"/>
    <s v="Q4-2023"/>
    <d v="2024-01-06T00:00:00"/>
    <d v="2024-01-06T00:00:00"/>
    <n v="16"/>
    <n v="16"/>
    <s v="No"/>
    <d v="2023-01-15T00:00:00"/>
    <x v="0"/>
    <x v="1"/>
    <s v="Port Harcourt"/>
    <s v="Africa - Nigeria - Port Harcourt"/>
    <s v="Corporate"/>
    <x v="2"/>
    <x v="11"/>
    <x v="0"/>
    <x v="348"/>
    <n v="932.61"/>
    <n v="1982.98"/>
    <n v="1982.98"/>
    <s v="High"/>
    <n v="0.14399999999999999"/>
    <n v="0.14399999999999999"/>
    <s v="No"/>
    <n v="16"/>
    <n v="27158.894079999998"/>
    <n v="14921.76"/>
    <n v="12237.134079999998"/>
    <n v="0.45057556629345635"/>
    <n v="0.14399999999999999"/>
    <n v="16"/>
    <n v="932.61"/>
    <n v="27158.894079999998"/>
    <n v="12237.134079999998"/>
  </r>
  <r>
    <s v="ORD-2025-480172"/>
    <d v="2025-06-17T00:00:00"/>
    <x v="296"/>
    <s v="Q2-2025"/>
    <d v="2025-07-05T00:00:00"/>
    <d v="2025-07-05T00:00:00"/>
    <n v="18"/>
    <n v="18"/>
    <s v="No"/>
    <d v="2023-01-29T00:00:00"/>
    <x v="1"/>
    <x v="4"/>
    <s v="Delhi"/>
    <s v="Asia - India - Delhi"/>
    <s v="Consumer"/>
    <x v="2"/>
    <x v="4"/>
    <x v="4"/>
    <x v="349"/>
    <n v="982.93"/>
    <n v="2299.3000000000002"/>
    <n v="2299.3000000000002"/>
    <s v="High"/>
    <n v="0.113"/>
    <n v="0.113"/>
    <s v="No"/>
    <n v="6"/>
    <n v="12236.874600000001"/>
    <n v="5897.58"/>
    <n v="6339.2946000000011"/>
    <n v="0.51804850562087157"/>
    <n v="0.113"/>
    <n v="6"/>
    <n v="982.93"/>
    <n v="12236.874600000001"/>
    <n v="6339.2946000000011"/>
  </r>
  <r>
    <s v="ORD-2023-735274"/>
    <d v="2023-02-23T00:00:00"/>
    <x v="29"/>
    <s v="Q1-2023"/>
    <d v="2023-03-08T00:00:00"/>
    <d v="2023-03-08T00:00:00"/>
    <n v="13"/>
    <n v="13"/>
    <s v="No"/>
    <d v="2023-01-19T00:00:00"/>
    <x v="3"/>
    <x v="8"/>
    <s v="Manchester"/>
    <s v="Europe - United Kingdom - Manchester"/>
    <s v="Small Business"/>
    <x v="4"/>
    <x v="0"/>
    <x v="1"/>
    <x v="350"/>
    <n v="307.37"/>
    <n v="462.61"/>
    <n v="462.61"/>
    <s v="Low"/>
    <n v="0.188"/>
    <n v="0.188"/>
    <s v="No"/>
    <n v="11"/>
    <n v="4132.0325200000007"/>
    <n v="3381.07"/>
    <n v="750.9625200000005"/>
    <n v="0.18174167709599739"/>
    <n v="0.188"/>
    <n v="11"/>
    <n v="307.37"/>
    <n v="4132.0325200000007"/>
    <n v="750.9625200000005"/>
  </r>
  <r>
    <s v="ORD-2023-212701"/>
    <d v="2023-12-02T00:00:00"/>
    <x v="297"/>
    <s v="Q4-2023"/>
    <d v="2023-12-16T00:00:00"/>
    <d v="2023-12-16T00:00:00"/>
    <n v="14"/>
    <n v="14"/>
    <s v="No"/>
    <d v="2023-01-22T00:00:00"/>
    <x v="3"/>
    <x v="6"/>
    <s v="Frankfurt"/>
    <s v="Europe - Germany - Frankfurt"/>
    <s v="Education"/>
    <x v="4"/>
    <x v="13"/>
    <x v="5"/>
    <x v="351"/>
    <n v="879.08"/>
    <n v="1093.3900000000001"/>
    <n v="1093.3900000000001"/>
    <s v="Medium"/>
    <n v="0.113"/>
    <n v="0.113"/>
    <s v="No"/>
    <n v="17"/>
    <n v="16487.22781"/>
    <n v="14944.36"/>
    <n v="1542.8678099999997"/>
    <n v="9.3579577341935186E-2"/>
    <n v="0.113"/>
    <n v="17"/>
    <n v="879.08"/>
    <n v="16487.22781"/>
    <n v="1542.8678099999997"/>
  </r>
  <r>
    <s v="ORD-2023-479747"/>
    <d v="2023-07-14T00:00:00"/>
    <x v="289"/>
    <s v="Q3-2023"/>
    <d v="2023-07-14T00:00:00"/>
    <d v="2023-07-14T00:00:00"/>
    <n v="0"/>
    <n v="0"/>
    <s v="Yes"/>
    <d v="2023-01-15T00:00:00"/>
    <x v="0"/>
    <x v="1"/>
    <s v="Lagos"/>
    <s v="Africa - Nigeria - Lagos"/>
    <s v="Education"/>
    <x v="0"/>
    <x v="2"/>
    <x v="6"/>
    <x v="352"/>
    <n v="956.38"/>
    <n v="1454.22"/>
    <n v="1454.22"/>
    <s v="Medium"/>
    <n v="3.9E-2"/>
    <n v="3.9E-2"/>
    <s v="No"/>
    <n v="19"/>
    <n v="26552.60298"/>
    <n v="18171.22"/>
    <n v="8381.3829799999985"/>
    <n v="0.31565202802576603"/>
    <n v="3.9E-2"/>
    <n v="19"/>
    <n v="956.38"/>
    <n v="26552.60298"/>
    <n v="8381.3829799999985"/>
  </r>
  <r>
    <s v="ORD-2024-915495"/>
    <d v="2024-08-08T00:00:00"/>
    <x v="298"/>
    <s v="Q3-2024"/>
    <d v="2024-08-20T00:00:00"/>
    <d v="2024-08-20T00:00:00"/>
    <n v="12"/>
    <n v="12"/>
    <s v="No"/>
    <d v="2023-03-03T00:00:00"/>
    <x v="1"/>
    <x v="2"/>
    <s v="Osaka"/>
    <s v="Asia - Japan - Osaka"/>
    <s v="Small Business"/>
    <x v="0"/>
    <x v="10"/>
    <x v="2"/>
    <x v="353"/>
    <n v="1233.3599999999999"/>
    <n v="2120.4"/>
    <n v="2120.4"/>
    <s v="High"/>
    <n v="0.17899999999999999"/>
    <n v="0.17899999999999999"/>
    <s v="No"/>
    <n v="20"/>
    <n v="34816.968000000001"/>
    <n v="24667.199999999997"/>
    <n v="10149.768000000004"/>
    <n v="0.29151785991244278"/>
    <n v="0.17899999999999999"/>
    <n v="20"/>
    <n v="1233.3599999999999"/>
    <n v="34816.968000000001"/>
    <n v="10149.768000000004"/>
  </r>
  <r>
    <s v="ORD-2024-225829"/>
    <d v="2024-11-07T00:00:00"/>
    <x v="299"/>
    <s v="Q4-2024"/>
    <d v="2024-11-26T00:00:00"/>
    <d v="2024-11-26T00:00:00"/>
    <n v="19"/>
    <n v="19"/>
    <s v="No"/>
    <d v="2023-01-29T00:00:00"/>
    <x v="2"/>
    <x v="5"/>
    <s v="Rio de Janeiro"/>
    <s v="Americas - Brazil - Rio de Janeiro"/>
    <s v="Non-Profit"/>
    <x v="3"/>
    <x v="1"/>
    <x v="1"/>
    <x v="354"/>
    <n v="55.35"/>
    <n v="128.68"/>
    <n v="128.68"/>
    <s v="Low"/>
    <n v="0.128"/>
    <n v="0.128"/>
    <s v="No"/>
    <n v="10"/>
    <n v="1122.0896000000002"/>
    <n v="553.5"/>
    <n v="568.58960000000025"/>
    <n v="0.50672388372550647"/>
    <n v="0.128"/>
    <n v="10"/>
    <n v="55.35"/>
    <n v="1122.0896000000002"/>
    <n v="568.58960000000025"/>
  </r>
  <r>
    <s v="ORD-2024-921935"/>
    <d v="2024-01-01T00:00:00"/>
    <x v="300"/>
    <s v="Q1-2024"/>
    <d v="2024-01-27T00:00:00"/>
    <d v="2024-01-27T00:00:00"/>
    <n v="26"/>
    <n v="26"/>
    <s v="No"/>
    <d v="2023-01-19T00:00:00"/>
    <x v="3"/>
    <x v="8"/>
    <s v="Manchester"/>
    <s v="Europe - United Kingdom - Manchester"/>
    <s v="Education"/>
    <x v="3"/>
    <x v="14"/>
    <x v="6"/>
    <x v="355"/>
    <n v="657.45"/>
    <n v="1325.96"/>
    <n v="1325.96"/>
    <s v="Medium"/>
    <n v="0.16700000000000001"/>
    <n v="0.16700000000000001"/>
    <s v="No"/>
    <n v="21"/>
    <n v="23195.01828"/>
    <n v="13806.45"/>
    <n v="9388.5682799999995"/>
    <n v="0.40476658249048808"/>
    <n v="0.16700000000000001"/>
    <n v="21"/>
    <n v="657.45"/>
    <n v="23195.01828"/>
    <n v="9388.5682799999995"/>
  </r>
  <r>
    <s v="ORD-2025-949776"/>
    <d v="2025-08-14T00:00:00"/>
    <x v="301"/>
    <s v="Q3-2025"/>
    <d v="2025-09-11T00:00:00"/>
    <d v="2025-09-11T00:00:00"/>
    <n v="28"/>
    <n v="28"/>
    <s v="No"/>
    <d v="2023-01-29T00:00:00"/>
    <x v="2"/>
    <x v="5"/>
    <s v="São Paulo"/>
    <s v="Americas - Brazil - São Paulo"/>
    <s v="Non-Profit"/>
    <x v="4"/>
    <x v="9"/>
    <x v="1"/>
    <x v="356"/>
    <n v="1203.02"/>
    <n v="2439.33"/>
    <n v="2439.33"/>
    <s v="High"/>
    <n v="0"/>
    <n v="0"/>
    <s v="No"/>
    <n v="18"/>
    <n v="43907.94"/>
    <n v="21654.36"/>
    <n v="22253.58"/>
    <n v="0.50682359500354612"/>
    <n v="0"/>
    <n v="18"/>
    <n v="1203.02"/>
    <n v="43907.94"/>
    <n v="22253.58"/>
  </r>
  <r>
    <s v="ORD-2024-510591"/>
    <d v="2024-04-03T00:00:00"/>
    <x v="149"/>
    <s v="Q2-2024"/>
    <d v="2024-04-21T00:00:00"/>
    <d v="2024-04-21T00:00:00"/>
    <n v="18"/>
    <n v="18"/>
    <s v="No"/>
    <d v="2023-01-29T00:00:00"/>
    <x v="2"/>
    <x v="5"/>
    <s v="Brasília"/>
    <s v="Americas - Brazil - Brasília"/>
    <s v="Small Business"/>
    <x v="3"/>
    <x v="5"/>
    <x v="2"/>
    <x v="357"/>
    <n v="1176.69"/>
    <n v="2201.54"/>
    <n v="2201.54"/>
    <s v="High"/>
    <n v="0.17"/>
    <n v="0.17"/>
    <s v="No"/>
    <n v="27"/>
    <n v="49336.511399999996"/>
    <n v="31770.63"/>
    <n v="17565.881399999995"/>
    <n v="0.35604222717701106"/>
    <n v="0.17"/>
    <n v="27"/>
    <n v="1176.69"/>
    <n v="49336.511399999996"/>
    <n v="17565.881399999995"/>
  </r>
  <r>
    <s v="ORD-2024-961756"/>
    <d v="2024-11-25T00:00:00"/>
    <x v="302"/>
    <s v="Q4-2024"/>
    <d v="2024-12-07T00:00:00"/>
    <d v="2024-12-07T00:00:00"/>
    <n v="12"/>
    <n v="12"/>
    <s v="No"/>
    <d v="2023-01-12T00:00:00"/>
    <x v="1"/>
    <x v="9"/>
    <s v="Shanghai"/>
    <s v="Asia - China - Shanghai"/>
    <s v="Corporate"/>
    <x v="3"/>
    <x v="8"/>
    <x v="6"/>
    <x v="358"/>
    <n v="769.9"/>
    <n v="814.36"/>
    <n v="814.36"/>
    <s v="Low"/>
    <n v="0"/>
    <n v="0"/>
    <s v="No"/>
    <n v="5"/>
    <n v="4071.8"/>
    <n v="3849.5"/>
    <n v="222.30000000000018"/>
    <n v="5.4595019401738831E-2"/>
    <n v="0"/>
    <n v="5"/>
    <n v="769.9"/>
    <n v="4071.8"/>
    <n v="222.30000000000018"/>
  </r>
  <r>
    <s v="ORD-2024-892173"/>
    <d v="2024-01-18T00:00:00"/>
    <x v="303"/>
    <s v="Q1-2024"/>
    <d v="2024-02-03T00:00:00"/>
    <d v="2024-02-03T00:00:00"/>
    <n v="16"/>
    <n v="16"/>
    <s v="No"/>
    <d v="2023-01-07T00:00:00"/>
    <x v="0"/>
    <x v="11"/>
    <s v="Cape Town"/>
    <s v="Africa - South Africa - Cape Town"/>
    <s v="Non-Profit"/>
    <x v="3"/>
    <x v="4"/>
    <x v="1"/>
    <x v="359"/>
    <n v="666.23"/>
    <n v="1382.91"/>
    <n v="1382.91"/>
    <s v="Medium"/>
    <n v="0.17599999999999999"/>
    <n v="0.17599999999999999"/>
    <s v="No"/>
    <n v="13"/>
    <n v="14813.731920000002"/>
    <n v="8660.99"/>
    <n v="6152.7419200000022"/>
    <n v="0.41534043907553048"/>
    <n v="0.17599999999999999"/>
    <n v="13"/>
    <n v="666.23"/>
    <n v="14813.731920000002"/>
    <n v="6152.7419200000022"/>
  </r>
  <r>
    <s v="ORD-2024-704056"/>
    <d v="2024-06-23T00:00:00"/>
    <x v="304"/>
    <s v="Q2-2024"/>
    <d v="2024-06-25T00:00:00"/>
    <d v="2024-06-25T00:00:00"/>
    <n v="2"/>
    <n v="2"/>
    <s v="Yes"/>
    <d v="2023-01-19T00:00:00"/>
    <x v="3"/>
    <x v="8"/>
    <s v="Birmingham"/>
    <s v="Europe - United Kingdom - Birmingham"/>
    <s v="Small Business"/>
    <x v="2"/>
    <x v="4"/>
    <x v="6"/>
    <x v="360"/>
    <n v="951.44"/>
    <n v="1646.43"/>
    <n v="1646.43"/>
    <s v="High"/>
    <n v="0.11"/>
    <n v="0.11"/>
    <s v="No"/>
    <n v="24"/>
    <n v="35167.7448"/>
    <n v="22834.560000000001"/>
    <n v="12333.184799999999"/>
    <n v="0.35069592520473475"/>
    <n v="0.11"/>
    <n v="24"/>
    <n v="951.44"/>
    <n v="35167.7448"/>
    <n v="12333.184799999999"/>
  </r>
  <r>
    <s v="ORD-2025-591006"/>
    <d v="2025-06-25T00:00:00"/>
    <x v="305"/>
    <s v="Q2-2025"/>
    <d v="2025-07-10T00:00:00"/>
    <d v="2025-07-10T00:00:00"/>
    <n v="15"/>
    <n v="15"/>
    <s v="No"/>
    <d v="2023-01-19T00:00:00"/>
    <x v="3"/>
    <x v="8"/>
    <s v="Birmingham"/>
    <s v="Europe - United Kingdom - Birmingham"/>
    <s v="Non-Profit"/>
    <x v="2"/>
    <x v="14"/>
    <x v="3"/>
    <x v="361"/>
    <n v="546.83000000000004"/>
    <n v="400.84"/>
    <n v="400.84"/>
    <s v="Low"/>
    <n v="7.8E-2"/>
    <n v="7.8E-2"/>
    <s v="No"/>
    <n v="13"/>
    <n v="4804.4682400000002"/>
    <n v="7108.7900000000009"/>
    <n v="-2304.3217600000007"/>
    <n v="-0.47962056254533608"/>
    <n v="7.8E-2"/>
    <n v="13"/>
    <n v="546.83000000000004"/>
    <n v="4804.4682400000002"/>
    <n v="-2304.3217600000007"/>
  </r>
  <r>
    <s v="ORD-2023-159821"/>
    <d v="2023-07-01T00:00:00"/>
    <x v="306"/>
    <s v="Q3-2023"/>
    <d v="2023-07-08T00:00:00"/>
    <d v="2023-07-08T00:00:00"/>
    <n v="7"/>
    <n v="7"/>
    <s v="Yes"/>
    <d v="2023-01-15T00:00:00"/>
    <x v="0"/>
    <x v="1"/>
    <s v="Port Harcourt"/>
    <s v="Africa - Nigeria - Port Harcourt"/>
    <s v="Corporate"/>
    <x v="0"/>
    <x v="8"/>
    <x v="4"/>
    <x v="362"/>
    <n v="834.26"/>
    <n v="1780.56"/>
    <n v="1780.56"/>
    <s v="High"/>
    <n v="1.4E-2"/>
    <n v="1.4E-2"/>
    <s v="No"/>
    <n v="47"/>
    <n v="82514.711519999997"/>
    <n v="39210.22"/>
    <n v="43304.491519999996"/>
    <n v="0.5248093427497933"/>
    <n v="1.4E-2"/>
    <n v="47"/>
    <n v="834.26"/>
    <n v="82514.711519999997"/>
    <n v="43304.491519999996"/>
  </r>
  <r>
    <s v="ORD-2024-343877"/>
    <d v="2024-03-09T00:00:00"/>
    <x v="307"/>
    <s v="Q1-2024"/>
    <d v="2024-03-26T00:00:00"/>
    <d v="2024-03-26T00:00:00"/>
    <n v="17"/>
    <n v="17"/>
    <s v="No"/>
    <d v="2023-01-12T00:00:00"/>
    <x v="1"/>
    <x v="9"/>
    <s v="Shenzhen"/>
    <s v="Asia - China - Shenzhen"/>
    <s v="Enterprise"/>
    <x v="1"/>
    <x v="11"/>
    <x v="5"/>
    <x v="363"/>
    <n v="1029.67"/>
    <n v="1118.43"/>
    <n v="1118.43"/>
    <s v="Medium"/>
    <n v="0.27200000000000002"/>
    <n v="0.27200000000000002"/>
    <s v="Yes"/>
    <n v="9"/>
    <n v="7327.9533600000004"/>
    <n v="9267.0300000000007"/>
    <n v="-1939.0766400000002"/>
    <n v="-0.26461367106736061"/>
    <n v="0.25"/>
    <n v="9"/>
    <n v="1029.67"/>
    <n v="7549.4025000000001"/>
    <n v="-1717.6275000000005"/>
  </r>
  <r>
    <s v="ORD-2023-386663"/>
    <d v="2023-06-05T00:00:00"/>
    <x v="308"/>
    <s v="Q2-2023"/>
    <d v="2023-06-28T00:00:00"/>
    <d v="2023-06-28T00:00:00"/>
    <n v="23"/>
    <n v="23"/>
    <s v="No"/>
    <d v="2023-01-19T00:00:00"/>
    <x v="3"/>
    <x v="8"/>
    <s v="Birmingham"/>
    <s v="Europe - United Kingdom - Birmingham"/>
    <s v="Corporate"/>
    <x v="4"/>
    <x v="11"/>
    <x v="1"/>
    <x v="364"/>
    <n v="605.82000000000005"/>
    <n v="771.12"/>
    <n v="771.12"/>
    <s v="Low"/>
    <n v="0.13200000000000001"/>
    <n v="0.13200000000000001"/>
    <s v="No"/>
    <n v="19"/>
    <n v="12717.311040000001"/>
    <n v="11510.580000000002"/>
    <n v="1206.7310399999988"/>
    <n v="9.4888851597986767E-2"/>
    <n v="0.13200000000000001"/>
    <n v="19"/>
    <n v="605.82000000000005"/>
    <n v="12717.311040000001"/>
    <n v="1206.7310399999988"/>
  </r>
  <r>
    <s v="ORD-2025-125517"/>
    <d v="2025-03-21T00:00:00"/>
    <x v="309"/>
    <s v="Q1-2025"/>
    <d v="2025-04-09T00:00:00"/>
    <d v="2025-04-09T00:00:00"/>
    <n v="19"/>
    <n v="19"/>
    <s v="No"/>
    <d v="2023-03-03T00:00:00"/>
    <x v="1"/>
    <x v="2"/>
    <s v="Tokyo"/>
    <s v="Asia - Japan - Tokyo"/>
    <s v="Small Business"/>
    <x v="3"/>
    <x v="6"/>
    <x v="0"/>
    <x v="365"/>
    <n v="1055.45"/>
    <n v="1210.04"/>
    <n v="1210.04"/>
    <s v="Medium"/>
    <n v="8.9999999999999993E-3"/>
    <n v="8.9999999999999993E-3"/>
    <s v="No"/>
    <n v="18"/>
    <n v="21584.693520000001"/>
    <n v="18998.100000000002"/>
    <n v="2586.5935199999985"/>
    <n v="0.1198346188053727"/>
    <n v="8.9999999999999993E-3"/>
    <n v="18"/>
    <n v="1055.45"/>
    <n v="21584.693520000001"/>
    <n v="2586.5935199999985"/>
  </r>
  <r>
    <s v="ORD-2024-819778"/>
    <d v="2024-06-02T00:00:00"/>
    <x v="101"/>
    <s v="Q2-2024"/>
    <d v="2024-06-15T00:00:00"/>
    <d v="2024-06-15T00:00:00"/>
    <n v="13"/>
    <n v="13"/>
    <s v="No"/>
    <d v="2023-01-20T00:00:00"/>
    <x v="0"/>
    <x v="0"/>
    <s v="Mombasa"/>
    <s v="Africa - Kenya - Mombasa"/>
    <s v="Education"/>
    <x v="1"/>
    <x v="7"/>
    <x v="3"/>
    <x v="366"/>
    <n v="1295.18"/>
    <n v="3024.03"/>
    <n v="3024.03"/>
    <s v="High"/>
    <n v="0.192"/>
    <n v="0.192"/>
    <s v="No"/>
    <n v="8"/>
    <n v="19547.329920000004"/>
    <n v="10361.44"/>
    <n v="9185.8899200000033"/>
    <n v="0.46993067378483178"/>
    <n v="0.192"/>
    <n v="8"/>
    <n v="1295.18"/>
    <n v="19547.329920000004"/>
    <n v="9185.8899200000033"/>
  </r>
  <r>
    <s v="ORD-2025-624006"/>
    <d v="2025-03-15T00:00:00"/>
    <x v="310"/>
    <s v="Q1-2025"/>
    <d v="2025-03-29T00:00:00"/>
    <d v="2025-03-29T00:00:00"/>
    <n v="14"/>
    <n v="14"/>
    <s v="No"/>
    <d v="2023-01-29T00:00:00"/>
    <x v="1"/>
    <x v="4"/>
    <s v="Mumbai"/>
    <s v="Asia - India - Mumbai"/>
    <s v="Enterprise"/>
    <x v="4"/>
    <x v="0"/>
    <x v="0"/>
    <x v="367"/>
    <n v="935.83"/>
    <n v="2303.46"/>
    <n v="2303.46"/>
    <s v="High"/>
    <n v="0.105"/>
    <n v="0.105"/>
    <s v="No"/>
    <n v="9"/>
    <n v="18554.370299999999"/>
    <n v="8422.4700000000012"/>
    <n v="10131.900299999998"/>
    <n v="0.54606543559174292"/>
    <n v="0.105"/>
    <n v="9"/>
    <n v="935.83"/>
    <n v="18554.370299999999"/>
    <n v="10131.900299999998"/>
  </r>
  <r>
    <s v="ORD-2023-132101"/>
    <d v="2023-09-25T00:00:00"/>
    <x v="199"/>
    <s v="Q3-2023"/>
    <d v="2023-10-09T00:00:00"/>
    <d v="2023-10-09T00:00:00"/>
    <n v="14"/>
    <n v="14"/>
    <s v="No"/>
    <d v="2023-01-13T00:00:00"/>
    <x v="2"/>
    <x v="10"/>
    <s v="New York"/>
    <s v="Americas - USA - New York"/>
    <s v="Small Business"/>
    <x v="2"/>
    <x v="1"/>
    <x v="4"/>
    <x v="368"/>
    <n v="1279.56"/>
    <n v="3083.8"/>
    <n v="3083.8"/>
    <s v="High"/>
    <n v="0.106"/>
    <n v="0.106"/>
    <s v="No"/>
    <n v="5"/>
    <n v="13784.586000000001"/>
    <n v="6397.7999999999993"/>
    <n v="7386.7860000000019"/>
    <n v="0.53587289455047848"/>
    <n v="0.106"/>
    <n v="5"/>
    <n v="1279.56"/>
    <n v="13784.586000000001"/>
    <n v="7386.7860000000019"/>
  </r>
  <r>
    <s v="ORD-2025-306903"/>
    <d v="2025-06-24T00:00:00"/>
    <x v="35"/>
    <s v="Q2-2025"/>
    <d v="2025-07-23T00:00:00"/>
    <d v="2025-07-23T00:00:00"/>
    <n v="29"/>
    <n v="29"/>
    <s v="No"/>
    <d v="2023-01-02T00:00:00"/>
    <x v="2"/>
    <x v="3"/>
    <s v="Vancouver"/>
    <s v="Americas - Canada - Vancouver"/>
    <s v="Non-Profit"/>
    <x v="2"/>
    <x v="2"/>
    <x v="1"/>
    <x v="369"/>
    <n v="255.4"/>
    <n v="322.70999999999998"/>
    <n v="322.70999999999998"/>
    <s v="Low"/>
    <n v="0.115"/>
    <n v="0.115"/>
    <s v="No"/>
    <n v="16"/>
    <n v="4569.5735999999997"/>
    <n v="4086.4"/>
    <n v="483.17359999999962"/>
    <n v="0.10573713048412212"/>
    <n v="0.115"/>
    <n v="16"/>
    <n v="255.4"/>
    <n v="4569.5735999999997"/>
    <n v="483.17359999999962"/>
  </r>
  <r>
    <s v="ORD-2023-813340"/>
    <d v="2023-12-26T00:00:00"/>
    <x v="311"/>
    <s v="Q4-2023"/>
    <d v="2024-01-03T00:00:00"/>
    <d v="2024-01-03T00:00:00"/>
    <n v="8"/>
    <n v="8"/>
    <s v="No"/>
    <d v="2023-01-10T00:00:00"/>
    <x v="3"/>
    <x v="7"/>
    <s v="Lyon"/>
    <s v="Europe - France - Lyon"/>
    <s v="Small Business"/>
    <x v="0"/>
    <x v="12"/>
    <x v="4"/>
    <x v="370"/>
    <n v="492.75"/>
    <n v="731.29"/>
    <n v="731.29"/>
    <s v="Low"/>
    <n v="5.8000000000000003E-2"/>
    <n v="5.8000000000000003E-2"/>
    <s v="No"/>
    <n v="6"/>
    <n v="4133.25108"/>
    <n v="2956.5"/>
    <n v="1176.75108"/>
    <n v="0.28470350753528384"/>
    <n v="5.8000000000000003E-2"/>
    <n v="6"/>
    <n v="492.75"/>
    <n v="4133.25108"/>
    <n v="1176.75108"/>
  </r>
  <r>
    <s v="ORD-2023-855675"/>
    <d v="2023-02-05T00:00:00"/>
    <x v="312"/>
    <s v="Q1-2023"/>
    <d v="2023-02-28T00:00:00"/>
    <d v="2023-02-28T00:00:00"/>
    <n v="23"/>
    <n v="23"/>
    <s v="No"/>
    <d v="2023-01-13T00:00:00"/>
    <x v="2"/>
    <x v="10"/>
    <s v="Austin"/>
    <s v="Americas - USA - Austin"/>
    <s v="Non-Profit"/>
    <x v="3"/>
    <x v="4"/>
    <x v="3"/>
    <x v="371"/>
    <n v="1214.49"/>
    <n v="1533.95"/>
    <n v="1533.95"/>
    <s v="Medium"/>
    <n v="0"/>
    <n v="0"/>
    <s v="No"/>
    <n v="11"/>
    <n v="16873.45"/>
    <n v="13359.39"/>
    <n v="3514.0600000000013"/>
    <n v="0.20825972163369086"/>
    <n v="0"/>
    <n v="11"/>
    <n v="1214.49"/>
    <n v="16873.45"/>
    <n v="3514.0600000000013"/>
  </r>
  <r>
    <s v="ORD-2023-545150"/>
    <d v="2023-04-06T00:00:00"/>
    <x v="89"/>
    <s v="Q2-2023"/>
    <d v="2023-04-08T00:00:00"/>
    <d v="2023-04-08T00:00:00"/>
    <n v="2"/>
    <n v="2"/>
    <s v="Yes"/>
    <d v="2023-01-15T00:00:00"/>
    <x v="0"/>
    <x v="1"/>
    <s v="Abuja"/>
    <s v="Africa - Nigeria - Abuja"/>
    <s v="Small Business"/>
    <x v="2"/>
    <x v="11"/>
    <x v="5"/>
    <x v="372"/>
    <n v="720.35"/>
    <n v="1571.66"/>
    <n v="1571.66"/>
    <s v="Medium"/>
    <n v="0.107"/>
    <n v="0.107"/>
    <s v="No"/>
    <n v="23"/>
    <n v="32280.32474"/>
    <n v="16568.05"/>
    <n v="15712.274740000001"/>
    <n v="0.4867446305622265"/>
    <n v="0.107"/>
    <n v="23"/>
    <n v="720.35"/>
    <n v="32280.32474"/>
    <n v="15712.274740000001"/>
  </r>
  <r>
    <s v="ORD-2025-269934"/>
    <d v="2025-04-04T00:00:00"/>
    <x v="254"/>
    <s v="Q2-2025"/>
    <d v="2025-04-10T00:00:00"/>
    <d v="2025-04-10T00:00:00"/>
    <n v="6"/>
    <n v="6"/>
    <s v="Yes"/>
    <d v="2023-01-19T00:00:00"/>
    <x v="3"/>
    <x v="8"/>
    <s v="Birmingham"/>
    <s v="Europe - United Kingdom - Birmingham"/>
    <s v="Non-Profit"/>
    <x v="4"/>
    <x v="13"/>
    <x v="1"/>
    <x v="373"/>
    <n v="290.14"/>
    <n v="250.73"/>
    <n v="250.73"/>
    <s v="Low"/>
    <n v="3.4000000000000002E-2"/>
    <n v="3.4000000000000002E-2"/>
    <s v="No"/>
    <n v="17"/>
    <n v="4117.4880599999997"/>
    <n v="4932.38"/>
    <n v="-814.89194000000043"/>
    <n v="-0.19790997038131072"/>
    <n v="3.4000000000000002E-2"/>
    <n v="17"/>
    <n v="290.14"/>
    <n v="4117.4880599999997"/>
    <n v="-814.89194000000043"/>
  </r>
  <r>
    <s v="ORD-2024-690270"/>
    <d v="2024-05-17T00:00:00"/>
    <x v="313"/>
    <s v="Q2-2024"/>
    <d v="2024-05-27T00:00:00"/>
    <d v="2024-05-27T00:00:00"/>
    <n v="10"/>
    <n v="10"/>
    <s v="No"/>
    <d v="2023-01-13T00:00:00"/>
    <x v="2"/>
    <x v="10"/>
    <s v="Austin"/>
    <s v="Americas - USA - Austin"/>
    <s v="Non-Profit"/>
    <x v="1"/>
    <x v="0"/>
    <x v="3"/>
    <x v="374"/>
    <n v="1484.23"/>
    <n v="3472.81"/>
    <n v="3472.81"/>
    <s v="High"/>
    <n v="0.25600000000000001"/>
    <n v="0.25600000000000001"/>
    <s v="Yes"/>
    <n v="12"/>
    <n v="31005.24768"/>
    <n v="17810.760000000002"/>
    <n v="13194.487679999998"/>
    <n v="0.42555659661803413"/>
    <n v="0.25"/>
    <n v="12"/>
    <n v="1484.23"/>
    <n v="31255.29"/>
    <n v="13444.529999999999"/>
  </r>
  <r>
    <s v="ORD-2024-868223"/>
    <d v="2024-03-03T00:00:00"/>
    <x v="314"/>
    <s v="Q1-2024"/>
    <d v="2024-03-19T00:00:00"/>
    <d v="2024-03-19T00:00:00"/>
    <n v="16"/>
    <n v="16"/>
    <s v="No"/>
    <d v="2023-01-12T00:00:00"/>
    <x v="1"/>
    <x v="9"/>
    <s v="Beijing"/>
    <s v="Asia - China - Beijing"/>
    <s v="Consumer"/>
    <x v="3"/>
    <x v="3"/>
    <x v="3"/>
    <x v="375"/>
    <n v="988.83"/>
    <n v="1206.04"/>
    <n v="1206.04"/>
    <s v="Medium"/>
    <n v="6.3E-2"/>
    <n v="6.3E-2"/>
    <s v="No"/>
    <n v="34"/>
    <n v="38422.022320000004"/>
    <n v="33620.22"/>
    <n v="4801.8023200000025"/>
    <n v="0.12497526236406606"/>
    <n v="6.3E-2"/>
    <n v="34"/>
    <n v="988.83"/>
    <n v="38422.022320000004"/>
    <n v="4801.8023200000025"/>
  </r>
  <r>
    <s v="ORD-2025-188059"/>
    <d v="2025-06-27T00:00:00"/>
    <x v="232"/>
    <s v="Q2-2025"/>
    <d v="2025-07-11T00:00:00"/>
    <d v="2025-07-11T00:00:00"/>
    <n v="14"/>
    <n v="14"/>
    <s v="No"/>
    <d v="2023-01-12T00:00:00"/>
    <x v="1"/>
    <x v="9"/>
    <s v="Shanghai"/>
    <s v="Asia - China - Shanghai"/>
    <s v="Small Business"/>
    <x v="2"/>
    <x v="4"/>
    <x v="2"/>
    <x v="376"/>
    <n v="1227.7"/>
    <n v="2197.23"/>
    <n v="2197.23"/>
    <s v="High"/>
    <n v="9.9000000000000005E-2"/>
    <n v="9.9000000000000005E-2"/>
    <s v="No"/>
    <n v="22"/>
    <n v="43553.493060000001"/>
    <n v="27009.4"/>
    <n v="16544.093059999999"/>
    <n v="0.37985685871873898"/>
    <n v="9.9000000000000005E-2"/>
    <n v="22"/>
    <n v="1227.7"/>
    <n v="43553.493060000001"/>
    <n v="16544.093059999999"/>
  </r>
  <r>
    <s v="ORD-2023-281890"/>
    <d v="2023-03-13T00:00:00"/>
    <x v="315"/>
    <s v="Q1-2023"/>
    <d v="2023-04-04T00:00:00"/>
    <d v="2023-04-04T00:00:00"/>
    <n v="22"/>
    <n v="22"/>
    <s v="No"/>
    <d v="2023-01-07T00:00:00"/>
    <x v="0"/>
    <x v="11"/>
    <s v="Durban"/>
    <s v="Africa - South Africa - Durban"/>
    <s v="Small Business"/>
    <x v="0"/>
    <x v="8"/>
    <x v="0"/>
    <x v="377"/>
    <n v="1113.7"/>
    <n v="1620.6"/>
    <n v="1620.6"/>
    <s v="Medium"/>
    <n v="0.13900000000000001"/>
    <n v="0.13900000000000001"/>
    <s v="No"/>
    <n v="11"/>
    <n v="15348.702599999999"/>
    <n v="12250.7"/>
    <n v="3098.002599999998"/>
    <n v="0.20184133348182787"/>
    <n v="0.13900000000000001"/>
    <n v="11"/>
    <n v="1113.7"/>
    <n v="15348.702599999999"/>
    <n v="3098.002599999998"/>
  </r>
  <r>
    <s v="ORD-2025-636162"/>
    <d v="2025-01-07T00:00:00"/>
    <x v="316"/>
    <s v="Q1-2025"/>
    <d v="2025-01-20T00:00:00"/>
    <d v="2025-01-20T00:00:00"/>
    <n v="13"/>
    <n v="13"/>
    <s v="No"/>
    <d v="2023-01-07T00:00:00"/>
    <x v="0"/>
    <x v="11"/>
    <s v="Cape Town"/>
    <s v="Africa - South Africa - Cape Town"/>
    <s v="Corporate"/>
    <x v="4"/>
    <x v="11"/>
    <x v="2"/>
    <x v="378"/>
    <n v="432.13"/>
    <n v="1034.6600000000001"/>
    <n v="1034.6600000000001"/>
    <s v="Medium"/>
    <n v="9.1999999999999998E-2"/>
    <n v="9.1999999999999998E-2"/>
    <s v="No"/>
    <n v="7"/>
    <n v="6576.298960000001"/>
    <n v="3024.91"/>
    <n v="3551.3889600000011"/>
    <n v="0.54002851476204794"/>
    <n v="9.1999999999999998E-2"/>
    <n v="7"/>
    <n v="432.13"/>
    <n v="6576.298960000001"/>
    <n v="3551.3889600000011"/>
  </r>
  <r>
    <s v="ORD-2025-915869"/>
    <d v="2025-02-06T00:00:00"/>
    <x v="317"/>
    <s v="Q1-2025"/>
    <d v="2025-02-15T00:00:00"/>
    <d v="2025-02-15T00:00:00"/>
    <n v="9"/>
    <n v="9"/>
    <s v="No"/>
    <d v="2023-01-29T00:00:00"/>
    <x v="2"/>
    <x v="5"/>
    <s v="São Paulo"/>
    <s v="Americas - Brazil - São Paulo"/>
    <s v="Non-Profit"/>
    <x v="3"/>
    <x v="9"/>
    <x v="2"/>
    <x v="379"/>
    <n v="837.39"/>
    <n v="1905.42"/>
    <n v="1905.42"/>
    <s v="High"/>
    <n v="3.2000000000000001E-2"/>
    <n v="3.2000000000000001E-2"/>
    <s v="No"/>
    <n v="18"/>
    <n v="33200.038079999998"/>
    <n v="15073.02"/>
    <n v="18127.018079999998"/>
    <n v="0.54599389423350919"/>
    <n v="3.2000000000000001E-2"/>
    <n v="18"/>
    <n v="837.39"/>
    <n v="33200.038079999998"/>
    <n v="18127.018079999998"/>
  </r>
  <r>
    <s v="ORD-2025-192876"/>
    <d v="2025-01-31T00:00:00"/>
    <x v="318"/>
    <s v="Q1-2025"/>
    <d v="2025-02-17T00:00:00"/>
    <d v="2025-02-17T00:00:00"/>
    <n v="17"/>
    <n v="17"/>
    <s v="No"/>
    <d v="2023-01-19T00:00:00"/>
    <x v="3"/>
    <x v="8"/>
    <s v="London"/>
    <s v="Europe - United Kingdom - London"/>
    <s v="Enterprise"/>
    <x v="0"/>
    <x v="10"/>
    <x v="0"/>
    <x v="78"/>
    <n v="378.26"/>
    <n v="541.55999999999995"/>
    <n v="541.55999999999995"/>
    <s v="Low"/>
    <n v="0.16300000000000001"/>
    <n v="0.16300000000000001"/>
    <s v="No"/>
    <n v="25"/>
    <n v="11332.142999999998"/>
    <n v="9456.5"/>
    <n v="1875.6429999999982"/>
    <n v="0.16551529573885526"/>
    <n v="0.16300000000000001"/>
    <n v="25"/>
    <n v="378.26"/>
    <n v="11332.142999999998"/>
    <n v="1875.6429999999982"/>
  </r>
  <r>
    <s v="ORD-2025-822030"/>
    <d v="2025-08-07T00:00:00"/>
    <x v="83"/>
    <s v="Q3-2025"/>
    <d v="2025-09-06T00:00:00"/>
    <d v="2025-09-06T00:00:00"/>
    <n v="30"/>
    <n v="30"/>
    <s v="No"/>
    <d v="2023-01-02T00:00:00"/>
    <x v="2"/>
    <x v="3"/>
    <s v="Montreal"/>
    <s v="Americas - Canada - Montreal"/>
    <s v="Education"/>
    <x v="4"/>
    <x v="12"/>
    <x v="2"/>
    <x v="380"/>
    <n v="833.73"/>
    <n v="1116.5999999999999"/>
    <n v="1116.5999999999999"/>
    <s v="Medium"/>
    <n v="0.17599999999999999"/>
    <n v="0.17599999999999999"/>
    <s v="No"/>
    <n v="14"/>
    <n v="12881.097599999999"/>
    <n v="11672.220000000001"/>
    <n v="1208.877599999998"/>
    <n v="9.3848958958279924E-2"/>
    <n v="0.17599999999999999"/>
    <n v="14"/>
    <n v="833.73"/>
    <n v="12881.097599999999"/>
    <n v="1208.877599999998"/>
  </r>
  <r>
    <s v="ORD-2025-789245"/>
    <d v="2025-07-23T00:00:00"/>
    <x v="319"/>
    <s v="Q3-2025"/>
    <d v="2025-08-17T00:00:00"/>
    <d v="2025-08-17T00:00:00"/>
    <n v="25"/>
    <n v="25"/>
    <s v="No"/>
    <d v="2023-01-19T00:00:00"/>
    <x v="3"/>
    <x v="8"/>
    <s v="Birmingham"/>
    <s v="Europe - United Kingdom - Birmingham"/>
    <s v="Education"/>
    <x v="1"/>
    <x v="2"/>
    <x v="1"/>
    <x v="381"/>
    <n v="1142.06"/>
    <n v="1455"/>
    <n v="1455"/>
    <s v="Medium"/>
    <n v="7.8E-2"/>
    <n v="7.8E-2"/>
    <s v="No"/>
    <n v="28"/>
    <n v="37562.28"/>
    <n v="31977.68"/>
    <n v="5584.5999999999985"/>
    <n v="0.1486757459877302"/>
    <n v="7.8E-2"/>
    <n v="28"/>
    <n v="1142.06"/>
    <n v="37562.28"/>
    <n v="5584.5999999999985"/>
  </r>
  <r>
    <s v="ORD-2023-594955"/>
    <d v="2023-06-20T00:00:00"/>
    <x v="264"/>
    <s v="Q2-2023"/>
    <d v="2023-07-08T00:00:00"/>
    <d v="2023-07-08T00:00:00"/>
    <n v="18"/>
    <n v="18"/>
    <s v="No"/>
    <d v="2023-01-13T00:00:00"/>
    <x v="2"/>
    <x v="10"/>
    <s v="New York"/>
    <s v="Americas - USA - New York"/>
    <s v="Consumer"/>
    <x v="2"/>
    <x v="7"/>
    <x v="2"/>
    <x v="382"/>
    <n v="1145.53"/>
    <n v="1278.3"/>
    <n v="1278.3"/>
    <s v="Medium"/>
    <n v="0.09"/>
    <n v="0.09"/>
    <s v="No"/>
    <n v="41"/>
    <n v="47693.373"/>
    <n v="46966.729999999996"/>
    <n v="726.64300000000367"/>
    <n v="1.5235722581416158E-2"/>
    <n v="0.09"/>
    <n v="41"/>
    <n v="1145.53"/>
    <n v="47693.373"/>
    <n v="726.64300000000367"/>
  </r>
  <r>
    <s v="ORD-2024-398783"/>
    <d v="2024-07-18T00:00:00"/>
    <x v="320"/>
    <s v="Q3-2024"/>
    <d v="2024-08-07T00:00:00"/>
    <d v="2024-08-07T00:00:00"/>
    <n v="20"/>
    <n v="20"/>
    <s v="No"/>
    <d v="2023-01-10T00:00:00"/>
    <x v="3"/>
    <x v="7"/>
    <s v="Marseille"/>
    <s v="Europe - France - Marseille"/>
    <s v="Corporate"/>
    <x v="0"/>
    <x v="9"/>
    <x v="5"/>
    <x v="383"/>
    <n v="941.35"/>
    <n v="899.83"/>
    <n v="899.83"/>
    <s v="Medium"/>
    <n v="5.8000000000000003E-2"/>
    <n v="5.8000000000000003E-2"/>
    <s v="No"/>
    <n v="18"/>
    <n v="15257.51748"/>
    <n v="16944.3"/>
    <n v="-1686.7825199999988"/>
    <n v="-0.11055419220139073"/>
    <n v="5.8000000000000003E-2"/>
    <n v="18"/>
    <n v="941.35"/>
    <n v="15257.51748"/>
    <n v="-1686.7825199999988"/>
  </r>
  <r>
    <s v="ORD-2023-676553"/>
    <d v="2023-05-20T00:00:00"/>
    <x v="72"/>
    <s v="Q2-2023"/>
    <d v="2023-06-19T00:00:00"/>
    <d v="2023-06-19T00:00:00"/>
    <n v="30"/>
    <n v="30"/>
    <s v="No"/>
    <d v="2023-01-29T00:00:00"/>
    <x v="1"/>
    <x v="4"/>
    <s v="Delhi"/>
    <s v="Asia - India - Delhi"/>
    <s v="Non-Profit"/>
    <x v="2"/>
    <x v="10"/>
    <x v="4"/>
    <x v="384"/>
    <n v="1161.2"/>
    <n v="878.73"/>
    <n v="878.73"/>
    <s v="Medium"/>
    <n v="0.19"/>
    <n v="0.19"/>
    <s v="No"/>
    <n v="31"/>
    <n v="22064.910300000003"/>
    <n v="35997.200000000004"/>
    <n v="-13932.289700000001"/>
    <n v="-0.63142290227212028"/>
    <n v="0.19"/>
    <n v="31"/>
    <n v="1161.2"/>
    <n v="22064.910300000003"/>
    <n v="-13932.289700000001"/>
  </r>
  <r>
    <s v="ORD-2025-866565"/>
    <d v="2025-05-12T00:00:00"/>
    <x v="321"/>
    <s v="Q2-2025"/>
    <d v="2025-05-26T00:00:00"/>
    <d v="2025-05-26T00:00:00"/>
    <n v="14"/>
    <n v="14"/>
    <s v="No"/>
    <d v="2023-01-29T00:00:00"/>
    <x v="1"/>
    <x v="4"/>
    <s v="Hyderabad"/>
    <s v="Asia - India - Hyderabad"/>
    <s v="Corporate"/>
    <x v="2"/>
    <x v="3"/>
    <x v="1"/>
    <x v="385"/>
    <n v="320.12"/>
    <n v="594.41999999999996"/>
    <n v="594.41999999999996"/>
    <s v="Low"/>
    <n v="0.104"/>
    <n v="0.104"/>
    <s v="No"/>
    <n v="18"/>
    <n v="9586.8057599999993"/>
    <n v="5762.16"/>
    <n v="3824.6457599999994"/>
    <n v="0.39894891538931104"/>
    <n v="0.104"/>
    <n v="18"/>
    <n v="320.12"/>
    <n v="9586.8057599999993"/>
    <n v="3824.6457599999994"/>
  </r>
  <r>
    <s v="ORD-2024-527858"/>
    <d v="2024-05-07T00:00:00"/>
    <x v="322"/>
    <s v="Q2-2024"/>
    <d v="2024-05-12T00:00:00"/>
    <d v="2024-05-12T00:00:00"/>
    <n v="5"/>
    <n v="5"/>
    <s v="Yes"/>
    <d v="2023-01-15T00:00:00"/>
    <x v="0"/>
    <x v="1"/>
    <s v="Abuja"/>
    <s v="Africa - Nigeria - Abuja"/>
    <s v="Non-Profit"/>
    <x v="3"/>
    <x v="4"/>
    <x v="4"/>
    <x v="386"/>
    <n v="1163.99"/>
    <n v="1617.85"/>
    <n v="1617.85"/>
    <s v="Medium"/>
    <n v="0.127"/>
    <n v="0.127"/>
    <s v="No"/>
    <n v="14"/>
    <n v="19773.362699999998"/>
    <n v="16295.86"/>
    <n v="3477.5026999999973"/>
    <n v="0.17586804797749436"/>
    <n v="0.127"/>
    <n v="14"/>
    <n v="1163.99"/>
    <n v="19773.362699999998"/>
    <n v="3477.5026999999973"/>
  </r>
  <r>
    <s v="ORD-2023-619385"/>
    <d v="2023-09-30T00:00:00"/>
    <x v="323"/>
    <s v="Q3-2023"/>
    <d v="2023-10-03T00:00:00"/>
    <d v="2023-10-03T00:00:00"/>
    <n v="3"/>
    <n v="3"/>
    <s v="Yes"/>
    <d v="2023-01-12T00:00:00"/>
    <x v="1"/>
    <x v="9"/>
    <s v="Beijing"/>
    <s v="Asia - China - Beijing"/>
    <s v="Non-Profit"/>
    <x v="0"/>
    <x v="1"/>
    <x v="4"/>
    <x v="387"/>
    <n v="1019.36"/>
    <n v="972.91"/>
    <n v="972.91"/>
    <s v="Medium"/>
    <n v="0.14699999999999999"/>
    <n v="0.14699999999999999"/>
    <s v="No"/>
    <n v="17"/>
    <n v="14108.16791"/>
    <n v="17329.12"/>
    <n v="-3220.9520899999989"/>
    <n v="-0.22830406545678819"/>
    <n v="0.14699999999999999"/>
    <n v="17"/>
    <n v="1019.36"/>
    <n v="14108.16791"/>
    <n v="-3220.9520899999989"/>
  </r>
  <r>
    <s v="ORD-2023-835226"/>
    <d v="2023-10-26T00:00:00"/>
    <x v="324"/>
    <s v="Q4-2023"/>
    <d v="2023-11-05T00:00:00"/>
    <d v="2023-11-05T00:00:00"/>
    <n v="10"/>
    <n v="10"/>
    <s v="No"/>
    <d v="2023-01-07T00:00:00"/>
    <x v="0"/>
    <x v="11"/>
    <s v="Cape Town"/>
    <s v="Africa - South Africa - Cape Town"/>
    <s v="Non-Profit"/>
    <x v="1"/>
    <x v="2"/>
    <x v="4"/>
    <x v="388"/>
    <n v="20.38"/>
    <n v="42.56"/>
    <n v="42.56"/>
    <s v="Low"/>
    <n v="7.1999999999999995E-2"/>
    <n v="7.1999999999999995E-2"/>
    <s v="No"/>
    <n v="11"/>
    <n v="434.45248000000004"/>
    <n v="224.17999999999998"/>
    <n v="210.27248000000006"/>
    <n v="0.48399419885921713"/>
    <n v="7.1999999999999995E-2"/>
    <n v="11"/>
    <n v="20.38"/>
    <n v="434.45248000000004"/>
    <n v="210.27248000000006"/>
  </r>
  <r>
    <s v="ORD-2025-485946"/>
    <d v="2025-06-15T00:00:00"/>
    <x v="325"/>
    <s v="Q2-2025"/>
    <d v="2025-06-30T00:00:00"/>
    <d v="2025-06-30T00:00:00"/>
    <n v="15"/>
    <n v="15"/>
    <s v="No"/>
    <d v="2023-01-07T00:00:00"/>
    <x v="0"/>
    <x v="11"/>
    <s v="Johannesburg"/>
    <s v="Africa - South Africa - Johannesburg"/>
    <s v="Small Business"/>
    <x v="4"/>
    <x v="0"/>
    <x v="5"/>
    <x v="389"/>
    <n v="1487.59"/>
    <n v="1480.83"/>
    <n v="1480.83"/>
    <s v="Medium"/>
    <n v="8.9999999999999993E-3"/>
    <n v="8.9999999999999993E-3"/>
    <s v="No"/>
    <n v="11"/>
    <n v="16142.527829999999"/>
    <n v="16363.49"/>
    <n v="-220.9621700000007"/>
    <n v="-1.3688201273492908E-2"/>
    <n v="8.9999999999999993E-3"/>
    <n v="11"/>
    <n v="1487.59"/>
    <n v="16142.527829999999"/>
    <n v="-220.9621700000007"/>
  </r>
  <r>
    <s v="ORD-2024-307849"/>
    <d v="2024-08-10T00:00:00"/>
    <x v="326"/>
    <s v="Q3-2024"/>
    <d v="2024-09-07T00:00:00"/>
    <d v="2024-09-07T00:00:00"/>
    <n v="28"/>
    <n v="28"/>
    <s v="No"/>
    <d v="2023-01-10T00:00:00"/>
    <x v="3"/>
    <x v="7"/>
    <s v="Marseille"/>
    <s v="Europe - France - Marseille"/>
    <s v="Non-Profit"/>
    <x v="4"/>
    <x v="9"/>
    <x v="1"/>
    <x v="390"/>
    <n v="229.96"/>
    <n v="564.26"/>
    <n v="564.26"/>
    <s v="Low"/>
    <n v="0.105"/>
    <n v="0.105"/>
    <s v="No"/>
    <n v="5"/>
    <n v="2525.0635000000002"/>
    <n v="1149.8"/>
    <n v="1375.2635000000002"/>
    <n v="0.54464511486542821"/>
    <n v="0.105"/>
    <n v="5"/>
    <n v="229.96"/>
    <n v="2525.0635000000002"/>
    <n v="1375.2635000000002"/>
  </r>
  <r>
    <s v="ORD-2023-368449"/>
    <d v="2023-10-09T00:00:00"/>
    <x v="327"/>
    <s v="Q4-2023"/>
    <d v="2023-10-26T00:00:00"/>
    <d v="2023-10-26T00:00:00"/>
    <n v="17"/>
    <n v="17"/>
    <s v="No"/>
    <d v="2023-01-12T00:00:00"/>
    <x v="1"/>
    <x v="9"/>
    <s v="Shanghai"/>
    <s v="Asia - China - Shanghai"/>
    <s v="Consumer"/>
    <x v="2"/>
    <x v="0"/>
    <x v="0"/>
    <x v="391"/>
    <n v="1132.03"/>
    <n v="2137.21"/>
    <n v="2137.21"/>
    <s v="High"/>
    <n v="0.35699999999999998"/>
    <n v="0.11861439999999995"/>
    <s v="No"/>
    <n v="35"/>
    <n v="65929.714136160008"/>
    <n v="39621.049999999996"/>
    <n v="26308.664136160012"/>
    <n v="0.39904107701463071"/>
    <n v="0.11861439999999995"/>
    <n v="35"/>
    <n v="1132.03"/>
    <n v="65929.714136160008"/>
    <n v="26308.664136160012"/>
  </r>
  <r>
    <s v="ORD-2024-251426"/>
    <d v="2024-03-09T00:00:00"/>
    <x v="307"/>
    <s v="Q1-2024"/>
    <d v="2024-03-26T00:00:00"/>
    <d v="2024-03-26T00:00:00"/>
    <n v="17"/>
    <n v="17"/>
    <s v="No"/>
    <d v="2023-01-13T00:00:00"/>
    <x v="2"/>
    <x v="10"/>
    <s v="San Francisco"/>
    <s v="Americas - USA - San Francisco"/>
    <s v="Education"/>
    <x v="4"/>
    <x v="2"/>
    <x v="3"/>
    <x v="392"/>
    <n v="1137.4100000000001"/>
    <n v="1680.93"/>
    <n v="1680.93"/>
    <s v="High"/>
    <n v="0.254"/>
    <n v="0.254"/>
    <s v="Yes"/>
    <n v="9"/>
    <n v="11285.764020000001"/>
    <n v="10236.69"/>
    <n v="1049.07402"/>
    <n v="9.2955516183121464E-2"/>
    <n v="0.25"/>
    <n v="9"/>
    <n v="1137.4100000000001"/>
    <n v="11346.2775"/>
    <n v="1109.5874999999996"/>
  </r>
  <r>
    <s v="ORD-2023-927385"/>
    <d v="2023-05-29T00:00:00"/>
    <x v="328"/>
    <s v="Q2-2023"/>
    <d v="2023-06-20T00:00:00"/>
    <d v="2023-06-20T00:00:00"/>
    <n v="22"/>
    <n v="22"/>
    <s v="No"/>
    <d v="2023-01-19T00:00:00"/>
    <x v="3"/>
    <x v="8"/>
    <s v="London"/>
    <s v="Europe - United Kingdom - London"/>
    <s v="Small Business"/>
    <x v="4"/>
    <x v="11"/>
    <x v="0"/>
    <x v="393"/>
    <n v="1295.3900000000001"/>
    <n v="2905.06"/>
    <n v="2905.06"/>
    <s v="High"/>
    <n v="0.14799999999999999"/>
    <n v="0.14799999999999999"/>
    <s v="No"/>
    <n v="8"/>
    <n v="19800.88896"/>
    <n v="10363.120000000001"/>
    <n v="9437.7689599999994"/>
    <n v="0.47663359857556614"/>
    <n v="0.14799999999999999"/>
    <n v="8"/>
    <n v="1295.3900000000001"/>
    <n v="19800.88896"/>
    <n v="9437.7689599999994"/>
  </r>
  <r>
    <s v="ORD-2025-486350"/>
    <d v="2025-05-27T00:00:00"/>
    <x v="329"/>
    <s v="Q2-2025"/>
    <d v="2025-06-08T00:00:00"/>
    <d v="2025-06-08T00:00:00"/>
    <n v="12"/>
    <n v="12"/>
    <s v="No"/>
    <d v="2023-03-03T00:00:00"/>
    <x v="1"/>
    <x v="2"/>
    <s v="Osaka"/>
    <s v="Asia - Japan - Osaka"/>
    <s v="Corporate"/>
    <x v="0"/>
    <x v="10"/>
    <x v="6"/>
    <x v="394"/>
    <n v="653.6"/>
    <n v="842.09"/>
    <n v="842.09"/>
    <s v="Medium"/>
    <n v="9.8000000000000004E-2"/>
    <n v="9.8000000000000004E-2"/>
    <s v="No"/>
    <n v="19"/>
    <n v="14431.738420000001"/>
    <n v="12418.4"/>
    <n v="2013.3384200000019"/>
    <n v="0.13950768517324622"/>
    <n v="9.8000000000000004E-2"/>
    <n v="19"/>
    <n v="653.6"/>
    <n v="14431.738420000001"/>
    <n v="2013.3384200000019"/>
  </r>
  <r>
    <s v="ORD-2025-677880"/>
    <d v="2025-08-21T00:00:00"/>
    <x v="164"/>
    <s v="Q3-2025"/>
    <d v="2025-09-14T00:00:00"/>
    <d v="2025-09-14T00:00:00"/>
    <n v="24"/>
    <n v="24"/>
    <s v="No"/>
    <d v="2023-01-22T00:00:00"/>
    <x v="3"/>
    <x v="6"/>
    <s v="Berlin"/>
    <s v="Europe - Germany - Berlin"/>
    <s v="Non-Profit"/>
    <x v="1"/>
    <x v="8"/>
    <x v="5"/>
    <x v="395"/>
    <n v="1397.67"/>
    <n v="3131.37"/>
    <n v="3131.37"/>
    <s v="High"/>
    <n v="0.10299999999999999"/>
    <n v="0.10299999999999999"/>
    <s v="No"/>
    <n v="20"/>
    <n v="56176.777799999996"/>
    <n v="27953.4"/>
    <n v="28223.377799999995"/>
    <n v="0.50240293062874808"/>
    <n v="0.10299999999999999"/>
    <n v="20"/>
    <n v="1397.67"/>
    <n v="56176.777799999996"/>
    <n v="28223.377799999995"/>
  </r>
  <r>
    <s v="ORD-2024-102866"/>
    <d v="2024-12-12T00:00:00"/>
    <x v="330"/>
    <s v="Q4-2024"/>
    <d v="2024-12-20T00:00:00"/>
    <d v="2024-12-20T00:00:00"/>
    <n v="8"/>
    <n v="8"/>
    <s v="No"/>
    <d v="2023-03-03T00:00:00"/>
    <x v="1"/>
    <x v="2"/>
    <s v="Tokyo"/>
    <s v="Asia - Japan - Tokyo"/>
    <s v="Corporate"/>
    <x v="0"/>
    <x v="5"/>
    <x v="4"/>
    <x v="396"/>
    <n v="1202.47"/>
    <n v="1444.72"/>
    <n v="1444.72"/>
    <s v="Medium"/>
    <n v="0.24099999999999999"/>
    <n v="0.24099999999999999"/>
    <s v="Yes"/>
    <n v="17"/>
    <n v="18641.222160000001"/>
    <n v="20441.990000000002"/>
    <n v="-1800.7678400000004"/>
    <n v="-9.6601382921343834E-2"/>
    <n v="0.24099999999999999"/>
    <n v="17"/>
    <n v="1202.47"/>
    <n v="18641.222160000001"/>
    <n v="-1800.7678400000004"/>
  </r>
  <r>
    <s v="ORD-2025-588029"/>
    <d v="2025-09-14T00:00:00"/>
    <x v="284"/>
    <s v="Q3-2025"/>
    <d v="2025-09-23T00:00:00"/>
    <d v="2025-09-23T00:00:00"/>
    <n v="9"/>
    <n v="9"/>
    <s v="No"/>
    <d v="2023-01-07T00:00:00"/>
    <x v="0"/>
    <x v="11"/>
    <s v="Durban"/>
    <s v="Africa - South Africa - Durban"/>
    <s v="Non-Profit"/>
    <x v="1"/>
    <x v="14"/>
    <x v="0"/>
    <x v="397"/>
    <n v="1310.3"/>
    <n v="2875.8"/>
    <n v="2875.8"/>
    <s v="High"/>
    <n v="8.3000000000000004E-2"/>
    <n v="8.3000000000000004E-2"/>
    <s v="No"/>
    <n v="5"/>
    <n v="13185.543"/>
    <n v="6551.5"/>
    <n v="6634.0429999999997"/>
    <n v="0.50313005691157353"/>
    <n v="8.3000000000000004E-2"/>
    <n v="5"/>
    <n v="1310.3"/>
    <n v="13185.543"/>
    <n v="6634.0429999999997"/>
  </r>
  <r>
    <s v="ORD-2024-972999"/>
    <d v="2024-09-06T00:00:00"/>
    <x v="331"/>
    <s v="Q3-2024"/>
    <d v="2024-10-04T00:00:00"/>
    <d v="2024-10-04T00:00:00"/>
    <n v="28"/>
    <n v="28"/>
    <s v="No"/>
    <d v="2023-01-07T00:00:00"/>
    <x v="0"/>
    <x v="11"/>
    <s v="Cape Town"/>
    <s v="Africa - South Africa - Cape Town"/>
    <s v="Corporate"/>
    <x v="2"/>
    <x v="14"/>
    <x v="5"/>
    <x v="398"/>
    <n v="1174.17"/>
    <n v="1641.61"/>
    <n v="1641.61"/>
    <s v="High"/>
    <n v="0.122"/>
    <n v="0.122"/>
    <s v="No"/>
    <n v="9"/>
    <n v="12972.00222"/>
    <n v="10567.53"/>
    <n v="2404.4722199999997"/>
    <n v="0.18535860380079394"/>
    <n v="0.122"/>
    <n v="9"/>
    <n v="1174.17"/>
    <n v="12972.00222"/>
    <n v="2404.4722199999997"/>
  </r>
  <r>
    <s v="ORD-2025-608069"/>
    <d v="2025-04-12T00:00:00"/>
    <x v="332"/>
    <s v="Q2-2025"/>
    <d v="2025-04-30T00:00:00"/>
    <d v="2025-04-30T00:00:00"/>
    <n v="18"/>
    <n v="18"/>
    <s v="No"/>
    <d v="2023-01-20T00:00:00"/>
    <x v="0"/>
    <x v="0"/>
    <s v="Kisumu"/>
    <s v="Africa - Kenya - Kisumu"/>
    <s v="Corporate"/>
    <x v="2"/>
    <x v="9"/>
    <x v="2"/>
    <x v="399"/>
    <n v="1119.04"/>
    <n v="1299.02"/>
    <n v="1299.02"/>
    <s v="Medium"/>
    <n v="2.5000000000000001E-2"/>
    <n v="2.5000000000000001E-2"/>
    <s v="No"/>
    <n v="14"/>
    <n v="17731.623"/>
    <n v="15666.56"/>
    <n v="2065.0630000000001"/>
    <n v="0.11646215352085933"/>
    <n v="2.5000000000000001E-2"/>
    <n v="14"/>
    <n v="1119.04"/>
    <n v="17731.623"/>
    <n v="2065.0630000000001"/>
  </r>
  <r>
    <s v="ORD-2024-626750"/>
    <d v="2024-08-12T00:00:00"/>
    <x v="175"/>
    <s v="Q3-2024"/>
    <d v="2024-08-15T00:00:00"/>
    <d v="2024-08-15T00:00:00"/>
    <n v="3"/>
    <n v="3"/>
    <s v="Yes"/>
    <d v="2023-01-13T00:00:00"/>
    <x v="2"/>
    <x v="10"/>
    <s v="Chicago"/>
    <s v="Americas - USA - Chicago"/>
    <s v="Corporate"/>
    <x v="2"/>
    <x v="14"/>
    <x v="1"/>
    <x v="400"/>
    <n v="850.7"/>
    <n v="1118.56"/>
    <n v="1118.56"/>
    <s v="Medium"/>
    <n v="0.18"/>
    <n v="0.18"/>
    <s v="No"/>
    <n v="19"/>
    <n v="17427.164800000002"/>
    <n v="16163.300000000001"/>
    <n v="1263.8648000000012"/>
    <n v="7.2522685962090688E-2"/>
    <n v="0.18"/>
    <n v="19"/>
    <n v="850.7"/>
    <n v="17427.164800000002"/>
    <n v="1263.8648000000012"/>
  </r>
  <r>
    <s v="ORD-2024-170021"/>
    <d v="2024-11-05T00:00:00"/>
    <x v="333"/>
    <s v="Q4-2024"/>
    <d v="2024-11-08T00:00:00"/>
    <d v="2024-11-08T00:00:00"/>
    <n v="3"/>
    <n v="3"/>
    <s v="Yes"/>
    <d v="2023-01-02T00:00:00"/>
    <x v="2"/>
    <x v="3"/>
    <s v="Toronto"/>
    <s v="Americas - Canada - Toronto"/>
    <s v="Education"/>
    <x v="2"/>
    <x v="7"/>
    <x v="0"/>
    <x v="401"/>
    <n v="1020.4"/>
    <n v="1184.71"/>
    <n v="1184.71"/>
    <s v="Medium"/>
    <n v="0.106"/>
    <n v="0.106"/>
    <s v="No"/>
    <n v="16"/>
    <n v="16946.091840000001"/>
    <n v="16326.4"/>
    <n v="619.69184000000132"/>
    <n v="3.6568422138328345E-2"/>
    <n v="0.106"/>
    <n v="16"/>
    <n v="1020.4"/>
    <n v="16946.091840000001"/>
    <n v="619.69184000000132"/>
  </r>
  <r>
    <s v="ORD-2024-678110"/>
    <d v="2024-07-24T00:00:00"/>
    <x v="334"/>
    <s v="Q3-2024"/>
    <d v="2024-08-08T00:00:00"/>
    <d v="2024-08-08T00:00:00"/>
    <n v="15"/>
    <n v="15"/>
    <s v="No"/>
    <d v="2023-01-10T00:00:00"/>
    <x v="3"/>
    <x v="7"/>
    <s v="Marseille"/>
    <s v="Europe - France - Marseille"/>
    <s v="Enterprise"/>
    <x v="2"/>
    <x v="10"/>
    <x v="4"/>
    <x v="402"/>
    <n v="501.5"/>
    <n v="1201.47"/>
    <n v="1201.47"/>
    <s v="Medium"/>
    <n v="0.126"/>
    <n v="0.126"/>
    <s v="No"/>
    <n v="5"/>
    <n v="5250.4239000000007"/>
    <n v="2507.5"/>
    <n v="2742.9239000000007"/>
    <n v="0.52241951359394057"/>
    <n v="0.126"/>
    <n v="5"/>
    <n v="501.5"/>
    <n v="5250.4239000000007"/>
    <n v="2742.9239000000007"/>
  </r>
  <r>
    <s v="ORD-2025-909340"/>
    <d v="2025-01-20T00:00:00"/>
    <x v="335"/>
    <s v="Q1-2025"/>
    <d v="2025-02-03T00:00:00"/>
    <d v="2025-02-03T00:00:00"/>
    <n v="14"/>
    <n v="14"/>
    <s v="No"/>
    <d v="2023-01-29T00:00:00"/>
    <x v="2"/>
    <x v="5"/>
    <s v="Brasília"/>
    <s v="Americas - Brazil - Brasília"/>
    <s v="Enterprise"/>
    <x v="2"/>
    <x v="9"/>
    <x v="0"/>
    <x v="403"/>
    <n v="974.11"/>
    <n v="880.99"/>
    <n v="880.99"/>
    <s v="Medium"/>
    <n v="0.111"/>
    <n v="0.111"/>
    <s v="No"/>
    <n v="10"/>
    <n v="7832.0010999999995"/>
    <n v="9741.1"/>
    <n v="-1909.0989000000009"/>
    <n v="-0.2437562093805121"/>
    <n v="0.111"/>
    <n v="10"/>
    <n v="974.11"/>
    <n v="7832.0010999999995"/>
    <n v="-1909.0989000000009"/>
  </r>
  <r>
    <s v="ORD-2023-854471"/>
    <d v="2023-03-06T00:00:00"/>
    <x v="336"/>
    <s v="Q1-2023"/>
    <d v="2023-04-04T00:00:00"/>
    <d v="2023-04-04T00:00:00"/>
    <n v="29"/>
    <n v="29"/>
    <s v="No"/>
    <d v="2023-01-12T00:00:00"/>
    <x v="1"/>
    <x v="9"/>
    <s v="Beijing"/>
    <s v="Asia - China - Beijing"/>
    <s v="Small Business"/>
    <x v="4"/>
    <x v="0"/>
    <x v="5"/>
    <x v="404"/>
    <n v="1126.29"/>
    <n v="2050.87"/>
    <n v="2050.87"/>
    <s v="High"/>
    <n v="6.4000000000000001E-2"/>
    <n v="6.4000000000000001E-2"/>
    <s v="No"/>
    <n v="7"/>
    <n v="13437.300239999999"/>
    <n v="7884.03"/>
    <n v="5553.2702399999989"/>
    <n v="0.41327276616690373"/>
    <n v="6.4000000000000001E-2"/>
    <n v="7"/>
    <n v="1126.29"/>
    <n v="13437.300239999999"/>
    <n v="5553.2702399999989"/>
  </r>
  <r>
    <s v="ORD-2024-390951"/>
    <d v="2024-12-20T00:00:00"/>
    <x v="337"/>
    <s v="Q4-2024"/>
    <d v="2025-01-14T00:00:00"/>
    <d v="2025-01-14T00:00:00"/>
    <n v="25"/>
    <n v="25"/>
    <s v="No"/>
    <d v="2023-01-29T00:00:00"/>
    <x v="1"/>
    <x v="4"/>
    <s v="Delhi"/>
    <s v="Asia - India - Delhi"/>
    <s v="Small Business"/>
    <x v="0"/>
    <x v="12"/>
    <x v="1"/>
    <x v="405"/>
    <n v="1361.34"/>
    <n v="1737.9"/>
    <n v="1737.9"/>
    <s v="High"/>
    <n v="7.6999999999999999E-2"/>
    <n v="7.6999999999999999E-2"/>
    <s v="No"/>
    <n v="14"/>
    <n v="22457.143800000002"/>
    <n v="19058.759999999998"/>
    <n v="3398.3838000000032"/>
    <n v="0.15132751654731813"/>
    <n v="7.6999999999999999E-2"/>
    <n v="14"/>
    <n v="1361.34"/>
    <n v="22457.143800000002"/>
    <n v="3398.3838000000032"/>
  </r>
  <r>
    <s v="ORD-2025-881624"/>
    <d v="2025-02-21T00:00:00"/>
    <x v="338"/>
    <s v="Q1-2025"/>
    <d v="2025-03-21T00:00:00"/>
    <d v="2025-03-21T00:00:00"/>
    <n v="28"/>
    <n v="28"/>
    <s v="No"/>
    <d v="2023-01-15T00:00:00"/>
    <x v="0"/>
    <x v="1"/>
    <s v="Abuja"/>
    <s v="Africa - Nigeria - Abuja"/>
    <s v="Enterprise"/>
    <x v="2"/>
    <x v="2"/>
    <x v="3"/>
    <x v="406"/>
    <n v="1437.39"/>
    <n v="1388.31"/>
    <n v="1388.31"/>
    <s v="Medium"/>
    <n v="0.13800000000000001"/>
    <n v="0.13800000000000001"/>
    <s v="No"/>
    <n v="18"/>
    <n v="21541.017959999997"/>
    <n v="25873.02"/>
    <n v="-4332.002040000003"/>
    <n v="-0.20110479681341872"/>
    <n v="0.13800000000000001"/>
    <n v="18"/>
    <n v="1437.39"/>
    <n v="21541.017959999997"/>
    <n v="-4332.002040000003"/>
  </r>
  <r>
    <s v="ORD-2025-512310"/>
    <d v="2025-03-08T00:00:00"/>
    <x v="339"/>
    <s v="Q1-2025"/>
    <d v="2025-03-15T00:00:00"/>
    <d v="2025-03-15T00:00:00"/>
    <n v="7"/>
    <n v="7"/>
    <s v="Yes"/>
    <d v="2023-01-29T00:00:00"/>
    <x v="1"/>
    <x v="4"/>
    <s v="Bengaluru"/>
    <s v="Asia - India - Bengaluru"/>
    <s v="Corporate"/>
    <x v="3"/>
    <x v="11"/>
    <x v="4"/>
    <x v="407"/>
    <n v="475.66"/>
    <n v="529.14"/>
    <n v="529.14"/>
    <s v="Low"/>
    <n v="0.19600000000000001"/>
    <n v="0.19600000000000001"/>
    <s v="No"/>
    <n v="11"/>
    <n v="4679.7141600000004"/>
    <n v="5232.26"/>
    <n v="-552.54583999999977"/>
    <n v="-0.11807256193613323"/>
    <n v="0.19600000000000001"/>
    <n v="11"/>
    <n v="475.66"/>
    <n v="4679.7141600000004"/>
    <n v="-552.54583999999977"/>
  </r>
  <r>
    <s v="ORD-2023-674887"/>
    <d v="2023-12-16T00:00:00"/>
    <x v="340"/>
    <s v="Q4-2023"/>
    <d v="2023-12-19T00:00:00"/>
    <d v="2023-12-19T00:00:00"/>
    <n v="3"/>
    <n v="3"/>
    <s v="Yes"/>
    <d v="2023-01-12T00:00:00"/>
    <x v="1"/>
    <x v="9"/>
    <s v="Beijing"/>
    <s v="Asia - China - Beijing"/>
    <s v="Education"/>
    <x v="0"/>
    <x v="8"/>
    <x v="6"/>
    <x v="408"/>
    <n v="1415.05"/>
    <n v="1972.38"/>
    <n v="1972.38"/>
    <s v="High"/>
    <n v="0"/>
    <n v="0"/>
    <s v="No"/>
    <n v="12"/>
    <n v="23668.560000000001"/>
    <n v="16980.599999999999"/>
    <n v="6687.9600000000028"/>
    <n v="0.28256725377462771"/>
    <n v="0"/>
    <n v="12"/>
    <n v="1415.05"/>
    <n v="23668.560000000001"/>
    <n v="6687.9600000000028"/>
  </r>
  <r>
    <s v="ORD-2024-542244"/>
    <d v="2024-08-30T00:00:00"/>
    <x v="341"/>
    <s v="Q3-2024"/>
    <d v="2024-09-05T00:00:00"/>
    <d v="2024-09-05T00:00:00"/>
    <n v="6"/>
    <n v="6"/>
    <s v="Yes"/>
    <d v="2023-03-03T00:00:00"/>
    <x v="1"/>
    <x v="2"/>
    <s v="Nagoya"/>
    <s v="Asia - Japan - Nagoya"/>
    <s v="Education"/>
    <x v="1"/>
    <x v="13"/>
    <x v="4"/>
    <x v="409"/>
    <n v="466.16"/>
    <n v="876.81"/>
    <n v="876.81"/>
    <s v="Medium"/>
    <n v="0.24099999999999999"/>
    <n v="0.24099999999999999"/>
    <s v="Yes"/>
    <n v="8"/>
    <n v="5323.9903199999999"/>
    <n v="3729.28"/>
    <n v="1594.7103199999997"/>
    <n v="0.29953291124691594"/>
    <n v="0.24099999999999999"/>
    <n v="8"/>
    <n v="466.16"/>
    <n v="5323.9903199999999"/>
    <n v="1594.7103199999997"/>
  </r>
  <r>
    <s v="ORD-2024-375848"/>
    <d v="2024-05-18T00:00:00"/>
    <x v="22"/>
    <s v="Q2-2024"/>
    <d v="2024-05-21T00:00:00"/>
    <d v="2024-05-21T00:00:00"/>
    <n v="3"/>
    <n v="3"/>
    <s v="Yes"/>
    <d v="2023-01-10T00:00:00"/>
    <x v="3"/>
    <x v="7"/>
    <s v="Marseille"/>
    <s v="Europe - France - Marseille"/>
    <s v="Non-Profit"/>
    <x v="2"/>
    <x v="14"/>
    <x v="1"/>
    <x v="410"/>
    <n v="663.66"/>
    <n v="824.26"/>
    <n v="824.26"/>
    <s v="Medium"/>
    <n v="0.23899999999999999"/>
    <n v="0.23899999999999999"/>
    <s v="Yes"/>
    <n v="11"/>
    <n v="6899.8804600000003"/>
    <n v="7300.2599999999993"/>
    <n v="-400.379539999999"/>
    <n v="-5.8027025587048933E-2"/>
    <n v="0.23899999999999999"/>
    <n v="11"/>
    <n v="663.66"/>
    <n v="6899.8804600000003"/>
    <n v="-400.379539999999"/>
  </r>
  <r>
    <s v="ORD-2023-933238"/>
    <d v="2023-03-17T00:00:00"/>
    <x v="342"/>
    <s v="Q1-2023"/>
    <d v="2023-04-06T00:00:00"/>
    <d v="2023-04-06T00:00:00"/>
    <n v="20"/>
    <n v="20"/>
    <s v="No"/>
    <d v="2023-01-22T00:00:00"/>
    <x v="3"/>
    <x v="6"/>
    <s v="Munich"/>
    <s v="Europe - Germany - Munich"/>
    <s v="Consumer"/>
    <x v="0"/>
    <x v="7"/>
    <x v="3"/>
    <x v="411"/>
    <n v="692.18"/>
    <n v="1159.3499999999999"/>
    <n v="1159.3499999999999"/>
    <s v="Medium"/>
    <n v="0.112"/>
    <n v="0.112"/>
    <s v="No"/>
    <n v="2"/>
    <n v="2059.0056"/>
    <n v="1384.36"/>
    <n v="674.64560000000006"/>
    <n v="0.32765602968734037"/>
    <n v="0.112"/>
    <n v="2"/>
    <n v="692.18"/>
    <n v="2059.0056"/>
    <n v="674.64560000000006"/>
  </r>
  <r>
    <s v="ORD-2023-732585"/>
    <d v="2023-08-25T00:00:00"/>
    <x v="343"/>
    <s v="Q3-2023"/>
    <d v="2023-09-16T00:00:00"/>
    <d v="2023-09-16T00:00:00"/>
    <n v="22"/>
    <n v="22"/>
    <s v="No"/>
    <d v="2023-01-15T00:00:00"/>
    <x v="0"/>
    <x v="1"/>
    <s v="Abuja"/>
    <s v="Africa - Nigeria - Abuja"/>
    <s v="Corporate"/>
    <x v="2"/>
    <x v="4"/>
    <x v="3"/>
    <x v="412"/>
    <n v="1196.83"/>
    <n v="2513.5100000000002"/>
    <n v="2513.5100000000002"/>
    <s v="High"/>
    <n v="8.3000000000000004E-2"/>
    <n v="8.3000000000000004E-2"/>
    <s v="No"/>
    <n v="7"/>
    <n v="16134.22069"/>
    <n v="8377.81"/>
    <n v="7756.4106900000006"/>
    <n v="0.48074281609445374"/>
    <n v="8.3000000000000004E-2"/>
    <n v="7"/>
    <n v="1196.83"/>
    <n v="16134.22069"/>
    <n v="7756.4106900000006"/>
  </r>
  <r>
    <s v="ORD-2024-465898"/>
    <d v="2024-06-06T00:00:00"/>
    <x v="344"/>
    <s v="Q2-2024"/>
    <d v="2024-06-24T00:00:00"/>
    <d v="2024-06-24T00:00:00"/>
    <n v="18"/>
    <n v="18"/>
    <s v="No"/>
    <d v="2023-01-29T00:00:00"/>
    <x v="1"/>
    <x v="4"/>
    <s v="Bengaluru"/>
    <s v="Asia - India - Bengaluru"/>
    <s v="Small Business"/>
    <x v="4"/>
    <x v="10"/>
    <x v="2"/>
    <x v="413"/>
    <n v="1253.25"/>
    <n v="3087.13"/>
    <n v="3087.13"/>
    <s v="High"/>
    <n v="7.1999999999999995E-2"/>
    <n v="7.1999999999999995E-2"/>
    <s v="No"/>
    <n v="11"/>
    <n v="31513.423040000001"/>
    <n v="13785.75"/>
    <n v="17727.673040000001"/>
    <n v="0.562543555408064"/>
    <n v="7.1999999999999995E-2"/>
    <n v="11"/>
    <n v="1253.25"/>
    <n v="31513.423040000001"/>
    <n v="17727.673040000001"/>
  </r>
  <r>
    <s v="ORD-2023-987081"/>
    <d v="2023-08-29T00:00:00"/>
    <x v="345"/>
    <s v="Q3-2023"/>
    <d v="2023-09-13T00:00:00"/>
    <d v="2023-09-13T00:00:00"/>
    <n v="15"/>
    <n v="15"/>
    <s v="No"/>
    <d v="2023-01-02T00:00:00"/>
    <x v="2"/>
    <x v="3"/>
    <s v="Vancouver"/>
    <s v="Americas - Canada - Vancouver"/>
    <s v="Small Business"/>
    <x v="2"/>
    <x v="7"/>
    <x v="1"/>
    <x v="414"/>
    <n v="1287.6400000000001"/>
    <n v="2717.15"/>
    <n v="2717.15"/>
    <s v="High"/>
    <n v="3.2000000000000001E-2"/>
    <n v="3.2000000000000001E-2"/>
    <s v="No"/>
    <n v="7"/>
    <n v="18411.4084"/>
    <n v="9013.4800000000014"/>
    <n v="9397.9283999999989"/>
    <n v="0.51044049405802105"/>
    <n v="3.2000000000000001E-2"/>
    <n v="7"/>
    <n v="1287.6400000000001"/>
    <n v="18411.4084"/>
    <n v="9397.9283999999989"/>
  </r>
  <r>
    <s v="ORD-2024-655710"/>
    <d v="2024-11-30T00:00:00"/>
    <x v="25"/>
    <s v="Q4-2024"/>
    <d v="2024-12-10T00:00:00"/>
    <d v="2024-12-10T00:00:00"/>
    <n v="10"/>
    <n v="10"/>
    <s v="No"/>
    <d v="2023-01-29T00:00:00"/>
    <x v="1"/>
    <x v="4"/>
    <s v="Hyderabad"/>
    <s v="Asia - India - Hyderabad"/>
    <s v="Small Business"/>
    <x v="0"/>
    <x v="9"/>
    <x v="6"/>
    <x v="415"/>
    <n v="851.49"/>
    <n v="901.79"/>
    <n v="901.79"/>
    <s v="Medium"/>
    <n v="0.245"/>
    <n v="0.245"/>
    <s v="Yes"/>
    <n v="16"/>
    <n v="10893.6232"/>
    <n v="13623.84"/>
    <n v="-2730.2168000000001"/>
    <n v="-0.25062522816100341"/>
    <n v="0.245"/>
    <n v="16"/>
    <n v="851.49"/>
    <n v="10893.6232"/>
    <n v="-2730.2168000000001"/>
  </r>
  <r>
    <s v="ORD-2025-411385"/>
    <d v="2025-06-05T00:00:00"/>
    <x v="346"/>
    <s v="Q2-2025"/>
    <d v="2025-06-14T00:00:00"/>
    <d v="2025-06-14T00:00:00"/>
    <n v="9"/>
    <n v="9"/>
    <s v="No"/>
    <d v="2023-01-29T00:00:00"/>
    <x v="1"/>
    <x v="4"/>
    <s v="Delhi"/>
    <s v="Asia - India - Delhi"/>
    <s v="Non-Profit"/>
    <x v="0"/>
    <x v="8"/>
    <x v="6"/>
    <x v="416"/>
    <n v="618.69000000000005"/>
    <n v="796.15"/>
    <n v="796.15"/>
    <s v="Low"/>
    <n v="0.09"/>
    <n v="0.09"/>
    <s v="No"/>
    <n v="11"/>
    <n v="7969.4615000000003"/>
    <n v="6805.59"/>
    <n v="1163.8715000000002"/>
    <n v="0.14604142325049191"/>
    <n v="0.09"/>
    <n v="11"/>
    <n v="618.69000000000005"/>
    <n v="7969.4615000000003"/>
    <n v="1163.8715000000002"/>
  </r>
  <r>
    <s v="ORD-2025-222035"/>
    <d v="2025-03-14T00:00:00"/>
    <x v="252"/>
    <s v="Q1-2025"/>
    <d v="2025-04-08T00:00:00"/>
    <d v="2025-04-08T00:00:00"/>
    <n v="25"/>
    <n v="25"/>
    <s v="No"/>
    <d v="2023-01-12T00:00:00"/>
    <x v="1"/>
    <x v="9"/>
    <s v="Shanghai"/>
    <s v="Asia - China - Shanghai"/>
    <s v="Corporate"/>
    <x v="3"/>
    <x v="14"/>
    <x v="1"/>
    <x v="417"/>
    <n v="80.59"/>
    <n v="157.82"/>
    <n v="157.82"/>
    <s v="Low"/>
    <n v="0.217"/>
    <n v="0.217"/>
    <s v="Yes"/>
    <n v="6"/>
    <n v="741.43835999999999"/>
    <n v="483.54"/>
    <n v="257.89835999999997"/>
    <n v="0.34783519967863541"/>
    <n v="0.217"/>
    <n v="6"/>
    <n v="80.59"/>
    <n v="741.43835999999999"/>
    <n v="257.89835999999997"/>
  </r>
  <r>
    <s v="ORD-2024-749242"/>
    <d v="2024-01-16T00:00:00"/>
    <x v="347"/>
    <s v="Q1-2024"/>
    <d v="2024-02-11T00:00:00"/>
    <d v="2024-02-11T00:00:00"/>
    <n v="26"/>
    <n v="26"/>
    <s v="No"/>
    <d v="2023-01-22T00:00:00"/>
    <x v="3"/>
    <x v="6"/>
    <s v="Frankfurt"/>
    <s v="Europe - Germany - Frankfurt"/>
    <s v="Non-Profit"/>
    <x v="3"/>
    <x v="6"/>
    <x v="5"/>
    <x v="418"/>
    <n v="504.93"/>
    <n v="819.06"/>
    <n v="819.06"/>
    <s v="Medium"/>
    <n v="0.22600000000000001"/>
    <n v="0.22600000000000001"/>
    <s v="Yes"/>
    <n v="15"/>
    <n v="9509.2865999999995"/>
    <n v="7573.95"/>
    <n v="1935.3365999999996"/>
    <n v="0.20352069312959814"/>
    <n v="0.22600000000000001"/>
    <n v="15"/>
    <n v="504.93"/>
    <n v="9509.2865999999995"/>
    <n v="1935.3365999999996"/>
  </r>
  <r>
    <s v="ORD-2023-623293"/>
    <d v="2023-10-12T00:00:00"/>
    <x v="348"/>
    <s v="Q4-2023"/>
    <d v="2023-10-29T00:00:00"/>
    <d v="2023-10-29T00:00:00"/>
    <n v="17"/>
    <n v="17"/>
    <s v="No"/>
    <d v="2023-03-03T00:00:00"/>
    <x v="1"/>
    <x v="2"/>
    <s v="Nagoya"/>
    <s v="Asia - Japan - Nagoya"/>
    <s v="Non-Profit"/>
    <x v="4"/>
    <x v="10"/>
    <x v="3"/>
    <x v="419"/>
    <n v="1102.19"/>
    <n v="1711.16"/>
    <n v="1711.16"/>
    <s v="High"/>
    <n v="0.151"/>
    <n v="0.151"/>
    <s v="No"/>
    <n v="10"/>
    <n v="14527.748400000002"/>
    <n v="11021.900000000001"/>
    <n v="3505.8484000000008"/>
    <n v="0.24132083675127525"/>
    <n v="0.151"/>
    <n v="10"/>
    <n v="1102.19"/>
    <n v="14527.748400000002"/>
    <n v="3505.8484000000008"/>
  </r>
  <r>
    <s v="ORD-2025-276968"/>
    <d v="2025-02-25T00:00:00"/>
    <x v="349"/>
    <s v="Q1-2025"/>
    <d v="2025-03-17T00:00:00"/>
    <d v="2025-03-17T00:00:00"/>
    <n v="20"/>
    <n v="20"/>
    <s v="No"/>
    <d v="2023-01-13T00:00:00"/>
    <x v="2"/>
    <x v="10"/>
    <s v="San Francisco"/>
    <s v="Americas - USA - San Francisco"/>
    <s v="Non-Profit"/>
    <x v="2"/>
    <x v="10"/>
    <x v="3"/>
    <x v="420"/>
    <n v="1205.26"/>
    <n v="1696.35"/>
    <n v="1696.35"/>
    <s v="High"/>
    <n v="1.9E-2"/>
    <n v="1.9E-2"/>
    <s v="No"/>
    <n v="6"/>
    <n v="9984.7160999999978"/>
    <n v="7231.5599999999995"/>
    <n v="2753.1560999999983"/>
    <n v="0.27573704374028213"/>
    <n v="1.9E-2"/>
    <n v="6"/>
    <n v="1205.26"/>
    <n v="9984.7160999999978"/>
    <n v="2753.1560999999983"/>
  </r>
  <r>
    <s v="ORD-2025-650841"/>
    <d v="2025-07-03T00:00:00"/>
    <x v="350"/>
    <s v="Q3-2025"/>
    <d v="2025-07-06T00:00:00"/>
    <d v="2025-07-06T00:00:00"/>
    <n v="3"/>
    <n v="3"/>
    <s v="Yes"/>
    <d v="2023-01-15T00:00:00"/>
    <x v="0"/>
    <x v="1"/>
    <s v="Lagos"/>
    <s v="Africa - Nigeria - Lagos"/>
    <s v="Consumer"/>
    <x v="1"/>
    <x v="8"/>
    <x v="4"/>
    <x v="421"/>
    <n v="1313.3"/>
    <n v="2884.34"/>
    <n v="2884.34"/>
    <s v="High"/>
    <n v="0.157"/>
    <n v="0.157"/>
    <s v="No"/>
    <n v="42"/>
    <n v="102122.94203999999"/>
    <n v="55158.6"/>
    <n v="46964.342039999996"/>
    <n v="0.45988042551305253"/>
    <n v="0.157"/>
    <n v="42"/>
    <n v="1313.3"/>
    <n v="102122.94203999999"/>
    <n v="46964.342039999996"/>
  </r>
  <r>
    <s v="ORD-2025-831576"/>
    <d v="2025-09-15T00:00:00"/>
    <x v="165"/>
    <s v="Q3-2025"/>
    <d v="2025-09-25T00:00:00"/>
    <d v="2025-09-25T00:00:00"/>
    <n v="10"/>
    <n v="10"/>
    <s v="No"/>
    <d v="2023-01-29T00:00:00"/>
    <x v="1"/>
    <x v="4"/>
    <s v="Delhi"/>
    <s v="Asia - India - Delhi"/>
    <s v="Consumer"/>
    <x v="0"/>
    <x v="8"/>
    <x v="3"/>
    <x v="422"/>
    <n v="1488.91"/>
    <n v="1483.74"/>
    <n v="1483.74"/>
    <s v="Medium"/>
    <n v="0.16800000000000001"/>
    <n v="0.16800000000000001"/>
    <s v="No"/>
    <n v="24"/>
    <n v="29627.320319999999"/>
    <n v="35733.840000000004"/>
    <n v="-6106.5196800000049"/>
    <n v="-0.20611110333450519"/>
    <n v="0.16800000000000001"/>
    <n v="24"/>
    <n v="1488.91"/>
    <n v="29627.320319999999"/>
    <n v="-6106.5196800000049"/>
  </r>
  <r>
    <s v="ORD-2024-468655"/>
    <d v="2024-02-19T00:00:00"/>
    <x v="351"/>
    <s v="Q1-2024"/>
    <d v="2024-03-06T00:00:00"/>
    <d v="2024-03-06T00:00:00"/>
    <n v="16"/>
    <n v="16"/>
    <s v="No"/>
    <d v="2023-01-12T00:00:00"/>
    <x v="1"/>
    <x v="9"/>
    <s v="Beijing"/>
    <s v="Asia - China - Beijing"/>
    <s v="Education"/>
    <x v="2"/>
    <x v="7"/>
    <x v="1"/>
    <x v="423"/>
    <n v="1477.84"/>
    <n v="3197.47"/>
    <n v="3197.47"/>
    <s v="High"/>
    <n v="0.24299999999999999"/>
    <n v="0.24299999999999999"/>
    <s v="Yes"/>
    <n v="24"/>
    <n v="58091.634960000003"/>
    <n v="35468.159999999996"/>
    <n v="22623.474960000007"/>
    <n v="0.38944462443823091"/>
    <n v="0.24299999999999999"/>
    <n v="24"/>
    <n v="1477.84"/>
    <n v="58091.634960000003"/>
    <n v="22623.474960000007"/>
  </r>
  <r>
    <s v="ORD-2024-515105"/>
    <d v="2024-02-27T00:00:00"/>
    <x v="352"/>
    <s v="Q1-2024"/>
    <d v="2024-03-26T00:00:00"/>
    <d v="2024-03-26T00:00:00"/>
    <n v="28"/>
    <n v="28"/>
    <s v="No"/>
    <d v="2023-01-29T00:00:00"/>
    <x v="1"/>
    <x v="4"/>
    <s v="Mumbai"/>
    <s v="Asia - India - Mumbai"/>
    <s v="Education"/>
    <x v="2"/>
    <x v="3"/>
    <x v="4"/>
    <x v="424"/>
    <n v="1035.19"/>
    <n v="2322.6999999999998"/>
    <n v="2322.6999999999998"/>
    <s v="High"/>
    <n v="0.17299999999999999"/>
    <n v="0.17299999999999999"/>
    <s v="No"/>
    <n v="8"/>
    <n v="15366.983199999999"/>
    <n v="8281.52"/>
    <n v="7085.4631999999983"/>
    <n v="0.46108355217047409"/>
    <n v="0.17299999999999999"/>
    <n v="8"/>
    <n v="1035.19"/>
    <n v="15366.983199999999"/>
    <n v="7085.4631999999983"/>
  </r>
  <r>
    <s v="ORD-2025-803803"/>
    <d v="2025-08-28T00:00:00"/>
    <x v="257"/>
    <s v="Q3-2025"/>
    <d v="2025-09-05T00:00:00"/>
    <d v="2025-09-05T00:00:00"/>
    <n v="8"/>
    <n v="8"/>
    <s v="No"/>
    <d v="2023-01-15T00:00:00"/>
    <x v="0"/>
    <x v="1"/>
    <s v="Port Harcourt"/>
    <s v="Africa - Nigeria - Port Harcourt"/>
    <s v="Small Business"/>
    <x v="2"/>
    <x v="6"/>
    <x v="4"/>
    <x v="425"/>
    <n v="1271.0999999999999"/>
    <n v="1932.42"/>
    <n v="1932.42"/>
    <s v="High"/>
    <n v="0.25"/>
    <n v="0.25"/>
    <s v="Yes"/>
    <n v="21"/>
    <n v="30435.614999999998"/>
    <n v="26693.1"/>
    <n v="3742.5149999999994"/>
    <n v="0.12296498690760807"/>
    <n v="0.25"/>
    <n v="21"/>
    <n v="1271.0999999999999"/>
    <n v="30435.614999999998"/>
    <n v="3742.5149999999994"/>
  </r>
  <r>
    <s v="ORD-2024-993481"/>
    <d v="2024-08-18T00:00:00"/>
    <x v="353"/>
    <s v="Q3-2024"/>
    <d v="2024-09-12T00:00:00"/>
    <d v="2024-09-12T00:00:00"/>
    <n v="25"/>
    <n v="25"/>
    <s v="No"/>
    <d v="2023-01-29T00:00:00"/>
    <x v="1"/>
    <x v="4"/>
    <s v="Mumbai"/>
    <s v="Asia - India - Mumbai"/>
    <s v="Consumer"/>
    <x v="2"/>
    <x v="0"/>
    <x v="3"/>
    <x v="426"/>
    <n v="1154.03"/>
    <n v="1590.36"/>
    <n v="1590.36"/>
    <s v="Medium"/>
    <n v="0.314"/>
    <n v="0.11861439999999995"/>
    <s v="No"/>
    <n v="18"/>
    <n v="25230.967250687998"/>
    <n v="20772.54"/>
    <n v="4458.427250687997"/>
    <n v="0.17670457126713701"/>
    <n v="0.11861439999999995"/>
    <n v="18"/>
    <n v="1154.03"/>
    <n v="25230.967250687998"/>
    <n v="4458.427250687997"/>
  </r>
  <r>
    <s v="ORD-2024-811752"/>
    <d v="2024-02-25T00:00:00"/>
    <x v="354"/>
    <s v="Q1-2024"/>
    <d v="2024-03-09T00:00:00"/>
    <d v="2024-03-09T00:00:00"/>
    <n v="13"/>
    <n v="13"/>
    <s v="No"/>
    <d v="2023-01-10T00:00:00"/>
    <x v="3"/>
    <x v="7"/>
    <s v="Marseille"/>
    <s v="Europe - France - Marseille"/>
    <s v="Small Business"/>
    <x v="3"/>
    <x v="6"/>
    <x v="5"/>
    <x v="427"/>
    <n v="322.44"/>
    <n v="395.61"/>
    <n v="395.61"/>
    <s v="Low"/>
    <n v="0"/>
    <n v="0"/>
    <s v="No"/>
    <n v="34"/>
    <n v="13450.74"/>
    <n v="10962.96"/>
    <n v="2487.7800000000007"/>
    <n v="0.18495487980586947"/>
    <n v="0"/>
    <n v="34"/>
    <n v="322.44"/>
    <n v="13450.74"/>
    <n v="2487.7800000000007"/>
  </r>
  <r>
    <s v="ORD-2025-673091"/>
    <d v="2025-05-07T00:00:00"/>
    <x v="355"/>
    <s v="Q2-2025"/>
    <d v="2025-05-13T00:00:00"/>
    <d v="2025-05-13T00:00:00"/>
    <n v="6"/>
    <n v="6"/>
    <s v="Yes"/>
    <d v="2023-01-29T00:00:00"/>
    <x v="1"/>
    <x v="4"/>
    <s v="Bengaluru"/>
    <s v="Asia - India - Bengaluru"/>
    <s v="Enterprise"/>
    <x v="4"/>
    <x v="1"/>
    <x v="3"/>
    <x v="428"/>
    <n v="935.98"/>
    <n v="2077.69"/>
    <n v="2077.69"/>
    <s v="High"/>
    <n v="0.17499999999999999"/>
    <n v="0.17499999999999999"/>
    <s v="No"/>
    <n v="24"/>
    <n v="41138.261999999995"/>
    <n v="22463.52"/>
    <n v="18674.741999999995"/>
    <n v="0.45395067978321491"/>
    <n v="0.17499999999999999"/>
    <n v="24"/>
    <n v="935.98"/>
    <n v="41138.261999999995"/>
    <n v="18674.741999999995"/>
  </r>
  <r>
    <s v="ORD-2024-381197"/>
    <d v="2024-11-01T00:00:00"/>
    <x v="356"/>
    <s v="Q4-2024"/>
    <d v="2024-11-12T00:00:00"/>
    <d v="2024-11-12T00:00:00"/>
    <n v="11"/>
    <n v="11"/>
    <s v="No"/>
    <d v="2023-01-22T00:00:00"/>
    <x v="3"/>
    <x v="6"/>
    <s v="Frankfurt"/>
    <s v="Europe - Germany - Frankfurt"/>
    <s v="Consumer"/>
    <x v="1"/>
    <x v="5"/>
    <x v="1"/>
    <x v="429"/>
    <n v="599.84"/>
    <n v="1330.85"/>
    <n v="1330.85"/>
    <s v="Medium"/>
    <n v="0.115"/>
    <n v="0.115"/>
    <s v="No"/>
    <n v="11"/>
    <n v="12955.824749999998"/>
    <n v="6598.2400000000007"/>
    <n v="6357.5847499999973"/>
    <n v="0.49071246892252063"/>
    <n v="0.115"/>
    <n v="11"/>
    <n v="599.84"/>
    <n v="12955.824749999998"/>
    <n v="6357.5847499999973"/>
  </r>
  <r>
    <s v="ORD-2024-651852"/>
    <d v="2024-12-28T00:00:00"/>
    <x v="357"/>
    <s v="Q4-2024"/>
    <d v="2025-01-08T00:00:00"/>
    <d v="2025-01-08T00:00:00"/>
    <n v="11"/>
    <n v="11"/>
    <s v="No"/>
    <d v="2023-01-12T00:00:00"/>
    <x v="1"/>
    <x v="9"/>
    <s v="Shenzhen"/>
    <s v="Asia - China - Shenzhen"/>
    <s v="Enterprise"/>
    <x v="1"/>
    <x v="11"/>
    <x v="4"/>
    <x v="430"/>
    <n v="1201.31"/>
    <n v="2764.65"/>
    <n v="2764.65"/>
    <s v="High"/>
    <n v="0"/>
    <n v="0"/>
    <s v="No"/>
    <n v="21"/>
    <n v="58057.65"/>
    <n v="25227.51"/>
    <n v="32830.14"/>
    <n v="0.56547483406579491"/>
    <n v="0"/>
    <n v="21"/>
    <n v="1201.31"/>
    <n v="58057.65"/>
    <n v="32830.14"/>
  </r>
  <r>
    <s v="ORD-2023-659070"/>
    <d v="2023-10-21T00:00:00"/>
    <x v="259"/>
    <s v="Q4-2023"/>
    <d v="2023-10-21T00:00:00"/>
    <d v="2023-10-21T00:00:00"/>
    <n v="0"/>
    <n v="0"/>
    <s v="Yes"/>
    <d v="2023-01-19T00:00:00"/>
    <x v="3"/>
    <x v="8"/>
    <s v="Manchester"/>
    <s v="Europe - United Kingdom - Manchester"/>
    <s v="Enterprise"/>
    <x v="3"/>
    <x v="1"/>
    <x v="5"/>
    <x v="431"/>
    <n v="384.19"/>
    <n v="278.35000000000002"/>
    <n v="278.35000000000002"/>
    <s v="Low"/>
    <n v="5.6000000000000001E-2"/>
    <n v="5.6000000000000001E-2"/>
    <s v="No"/>
    <n v="10"/>
    <n v="2627.6239999999998"/>
    <n v="3841.9"/>
    <n v="-1214.2760000000003"/>
    <n v="-0.46211938998882657"/>
    <n v="5.6000000000000001E-2"/>
    <n v="10"/>
    <n v="384.19"/>
    <n v="2627.6239999999998"/>
    <n v="-1214.2760000000003"/>
  </r>
  <r>
    <s v="ORD-2024-837651"/>
    <d v="2024-12-10T00:00:00"/>
    <x v="16"/>
    <s v="Q4-2024"/>
    <d v="2024-12-19T00:00:00"/>
    <d v="2024-12-19T00:00:00"/>
    <n v="9"/>
    <n v="9"/>
    <s v="No"/>
    <d v="2023-01-15T00:00:00"/>
    <x v="0"/>
    <x v="1"/>
    <s v="Lagos"/>
    <s v="Africa - Nigeria - Lagos"/>
    <s v="Corporate"/>
    <x v="0"/>
    <x v="7"/>
    <x v="5"/>
    <x v="432"/>
    <n v="488.68"/>
    <n v="984.36"/>
    <n v="984.36"/>
    <s v="Medium"/>
    <n v="5.8999999999999997E-2"/>
    <n v="5.8999999999999997E-2"/>
    <s v="No"/>
    <n v="14"/>
    <n v="12967.958640000001"/>
    <n v="6841.52"/>
    <n v="6126.4386400000003"/>
    <n v="0.47242891576649876"/>
    <n v="5.8999999999999997E-2"/>
    <n v="14"/>
    <n v="488.68"/>
    <n v="12967.958640000001"/>
    <n v="6126.4386400000003"/>
  </r>
  <r>
    <s v="ORD-2024-581530"/>
    <d v="2024-09-07T00:00:00"/>
    <x v="255"/>
    <s v="Q3-2024"/>
    <d v="2024-09-18T00:00:00"/>
    <d v="2024-09-18T00:00:00"/>
    <n v="11"/>
    <n v="11"/>
    <s v="No"/>
    <d v="2023-01-12T00:00:00"/>
    <x v="1"/>
    <x v="9"/>
    <s v="Beijing"/>
    <s v="Asia - China - Beijing"/>
    <s v="Consumer"/>
    <x v="3"/>
    <x v="7"/>
    <x v="2"/>
    <x v="433"/>
    <n v="181.74"/>
    <n v="190.84"/>
    <n v="190.84"/>
    <s v="Low"/>
    <n v="0.214"/>
    <n v="0.214"/>
    <s v="Yes"/>
    <n v="13"/>
    <n v="1950.0031200000001"/>
    <n v="2362.62"/>
    <n v="-412.61687999999981"/>
    <n v="-0.21159806144310159"/>
    <n v="0.214"/>
    <n v="13"/>
    <n v="181.74"/>
    <n v="1950.0031200000001"/>
    <n v="-412.61687999999981"/>
  </r>
  <r>
    <s v="ORD-2023-378104"/>
    <d v="2023-10-18T00:00:00"/>
    <x v="358"/>
    <s v="Q4-2023"/>
    <d v="2023-10-20T00:00:00"/>
    <d v="2023-10-20T00:00:00"/>
    <n v="2"/>
    <n v="2"/>
    <s v="Yes"/>
    <d v="2023-01-20T00:00:00"/>
    <x v="0"/>
    <x v="0"/>
    <s v="Kisumu"/>
    <s v="Africa - Kenya - Kisumu"/>
    <s v="Consumer"/>
    <x v="0"/>
    <x v="1"/>
    <x v="3"/>
    <x v="434"/>
    <n v="774.12"/>
    <n v="908.3"/>
    <n v="908.3"/>
    <s v="Medium"/>
    <n v="0"/>
    <n v="0"/>
    <s v="No"/>
    <n v="30"/>
    <n v="27249"/>
    <n v="23223.599999999999"/>
    <n v="4025.4000000000015"/>
    <n v="0.14772652207420461"/>
    <n v="0"/>
    <n v="30"/>
    <n v="774.12"/>
    <n v="27249"/>
    <n v="4025.4000000000015"/>
  </r>
  <r>
    <s v="ORD-2024-972318"/>
    <d v="2024-12-24T00:00:00"/>
    <x v="359"/>
    <s v="Q4-2024"/>
    <d v="2025-01-13T00:00:00"/>
    <d v="2025-01-13T00:00:00"/>
    <n v="20"/>
    <n v="20"/>
    <s v="No"/>
    <d v="2023-01-29T00:00:00"/>
    <x v="1"/>
    <x v="4"/>
    <s v="Bengaluru"/>
    <s v="Asia - India - Bengaluru"/>
    <s v="Corporate"/>
    <x v="2"/>
    <x v="14"/>
    <x v="2"/>
    <x v="435"/>
    <n v="126.15"/>
    <n v="284.23"/>
    <n v="284.23"/>
    <s v="Low"/>
    <n v="0.113"/>
    <n v="0.113"/>
    <s v="No"/>
    <n v="22"/>
    <n v="5546.4642200000008"/>
    <n v="2775.3"/>
    <n v="2771.1642200000006"/>
    <n v="0.49962716968541088"/>
    <n v="0.113"/>
    <n v="22"/>
    <n v="126.15"/>
    <n v="5546.4642200000008"/>
    <n v="2771.1642200000006"/>
  </r>
  <r>
    <s v="ORD-2023-752962"/>
    <d v="2023-04-21T00:00:00"/>
    <x v="67"/>
    <s v="Q2-2023"/>
    <d v="2023-04-19T00:00:00"/>
    <d v="2023-05-07T00:00:00"/>
    <n v="-2"/>
    <n v="16"/>
    <s v="No"/>
    <d v="2023-03-03T00:00:00"/>
    <x v="1"/>
    <x v="2"/>
    <s v="Nagoya"/>
    <s v="Asia - Japan - Nagoya"/>
    <s v="Small Business"/>
    <x v="4"/>
    <x v="12"/>
    <x v="0"/>
    <x v="436"/>
    <n v="607.04"/>
    <n v="1229.3399999999999"/>
    <n v="1229.3399999999999"/>
    <s v="Medium"/>
    <n v="0.14699999999999999"/>
    <n v="0.14699999999999999"/>
    <s v="No"/>
    <n v="7"/>
    <n v="7340.3891399999993"/>
    <n v="4249.28"/>
    <n v="3091.1091399999996"/>
    <n v="0.42110970972310058"/>
    <n v="0.14699999999999999"/>
    <n v="7"/>
    <n v="607.04"/>
    <n v="7340.3891399999993"/>
    <n v="3091.1091399999996"/>
  </r>
  <r>
    <s v="ORD-2023-808024"/>
    <d v="2023-12-30T00:00:00"/>
    <x v="360"/>
    <s v="Q4-2023"/>
    <d v="2024-01-08T00:00:00"/>
    <d v="2024-01-08T00:00:00"/>
    <n v="9"/>
    <n v="9"/>
    <s v="No"/>
    <d v="2023-01-10T00:00:00"/>
    <x v="3"/>
    <x v="7"/>
    <s v="Marseille"/>
    <s v="Europe - France - Marseille"/>
    <s v="Consumer"/>
    <x v="2"/>
    <x v="4"/>
    <x v="6"/>
    <x v="437"/>
    <n v="861.1"/>
    <n v="1224.72"/>
    <n v="1224.72"/>
    <s v="Medium"/>
    <n v="0.17399999999999999"/>
    <n v="0.17399999999999999"/>
    <s v="No"/>
    <n v="24"/>
    <n v="24278.849280000002"/>
    <n v="20666.400000000001"/>
    <n v="3612.4492800000007"/>
    <n v="0.14878997098827909"/>
    <n v="0.17399999999999999"/>
    <n v="24"/>
    <n v="861.1"/>
    <n v="24278.849280000002"/>
    <n v="3612.4492800000007"/>
  </r>
  <r>
    <s v="ORD-2023-156396"/>
    <d v="2023-02-21T00:00:00"/>
    <x v="361"/>
    <s v="Q1-2023"/>
    <d v="2023-03-12T00:00:00"/>
    <d v="2023-03-12T00:00:00"/>
    <n v="19"/>
    <n v="19"/>
    <s v="No"/>
    <d v="2023-01-20T00:00:00"/>
    <x v="0"/>
    <x v="0"/>
    <s v="Nakuru"/>
    <s v="Africa - Kenya - Nakuru"/>
    <s v="Corporate"/>
    <x v="1"/>
    <x v="9"/>
    <x v="2"/>
    <x v="438"/>
    <n v="352.65"/>
    <n v="485.86"/>
    <n v="485.86"/>
    <s v="Low"/>
    <n v="4.1000000000000002E-2"/>
    <n v="4.1000000000000002E-2"/>
    <s v="No"/>
    <n v="6"/>
    <n v="2795.6384399999997"/>
    <n v="2115.8999999999996"/>
    <n v="679.73844000000008"/>
    <n v="0.24314247159943908"/>
    <n v="4.1000000000000002E-2"/>
    <n v="6"/>
    <n v="352.65"/>
    <n v="2795.6384399999997"/>
    <n v="679.73844000000008"/>
  </r>
  <r>
    <s v="ORD-2023-184577"/>
    <d v="2023-05-17T00:00:00"/>
    <x v="362"/>
    <s v="Q2-2023"/>
    <d v="2023-06-03T00:00:00"/>
    <d v="2023-06-03T00:00:00"/>
    <n v="17"/>
    <n v="17"/>
    <s v="No"/>
    <d v="2023-01-12T00:00:00"/>
    <x v="1"/>
    <x v="9"/>
    <s v="Beijing"/>
    <s v="Asia - China - Beijing"/>
    <s v="Non-Profit"/>
    <x v="3"/>
    <x v="12"/>
    <x v="1"/>
    <x v="439"/>
    <n v="979.59"/>
    <n v="2210.94"/>
    <n v="2210.94"/>
    <s v="High"/>
    <n v="0.15"/>
    <n v="0.15"/>
    <s v="No"/>
    <n v="11"/>
    <n v="20672.289000000001"/>
    <n v="10775.49"/>
    <n v="9896.7990000000009"/>
    <n v="0.47874712858358359"/>
    <n v="0.15"/>
    <n v="11"/>
    <n v="979.59"/>
    <n v="20672.289000000001"/>
    <n v="9896.7990000000009"/>
  </r>
  <r>
    <s v="ORD-2024-446030"/>
    <d v="2024-03-23T00:00:00"/>
    <x v="363"/>
    <s v="Q1-2024"/>
    <d v="2024-03-26T00:00:00"/>
    <d v="2024-03-26T00:00:00"/>
    <n v="3"/>
    <n v="3"/>
    <s v="Yes"/>
    <d v="2023-01-29T00:00:00"/>
    <x v="1"/>
    <x v="4"/>
    <s v="Bengaluru"/>
    <s v="Asia - India - Bengaluru"/>
    <s v="Education"/>
    <x v="4"/>
    <x v="3"/>
    <x v="3"/>
    <x v="440"/>
    <n v="382.21"/>
    <n v="571.89"/>
    <n v="571.89"/>
    <s v="Low"/>
    <n v="0.14799999999999999"/>
    <n v="0.14799999999999999"/>
    <s v="No"/>
    <n v="26"/>
    <n v="12668.50728"/>
    <n v="9937.4599999999991"/>
    <n v="2731.0472800000007"/>
    <n v="0.2155776698578809"/>
    <n v="0.14799999999999999"/>
    <n v="26"/>
    <n v="382.21"/>
    <n v="12668.50728"/>
    <n v="2731.0472800000007"/>
  </r>
  <r>
    <s v="ORD-2023-842820"/>
    <d v="2023-09-20T00:00:00"/>
    <x v="364"/>
    <s v="Q3-2023"/>
    <d v="2023-09-28T00:00:00"/>
    <d v="2023-09-28T00:00:00"/>
    <n v="8"/>
    <n v="8"/>
    <s v="No"/>
    <d v="2023-01-29T00:00:00"/>
    <x v="1"/>
    <x v="4"/>
    <s v="Delhi"/>
    <s v="Asia - India - Delhi"/>
    <s v="Corporate"/>
    <x v="0"/>
    <x v="5"/>
    <x v="6"/>
    <x v="441"/>
    <n v="1362.06"/>
    <n v="3398.37"/>
    <n v="3398.37"/>
    <s v="High"/>
    <n v="0.157"/>
    <n v="0.157"/>
    <s v="No"/>
    <n v="11"/>
    <n v="31513.085009999999"/>
    <n v="14982.66"/>
    <n v="16530.425009999999"/>
    <n v="0.52455749745714919"/>
    <n v="0.157"/>
    <n v="11"/>
    <n v="1362.06"/>
    <n v="31513.085009999999"/>
    <n v="16530.425009999999"/>
  </r>
  <r>
    <s v="ORD-2024-745424"/>
    <d v="2024-08-22T00:00:00"/>
    <x v="365"/>
    <s v="Q3-2024"/>
    <d v="2024-09-04T00:00:00"/>
    <d v="2024-09-04T00:00:00"/>
    <n v="13"/>
    <n v="13"/>
    <s v="No"/>
    <d v="2023-01-22T00:00:00"/>
    <x v="3"/>
    <x v="6"/>
    <s v="Frankfurt"/>
    <s v="Europe - Germany - Frankfurt"/>
    <s v="Non-Profit"/>
    <x v="0"/>
    <x v="4"/>
    <x v="1"/>
    <x v="442"/>
    <n v="90.04"/>
    <n v="194.62"/>
    <n v="194.62"/>
    <s v="Low"/>
    <n v="4.2999999999999997E-2"/>
    <n v="4.2999999999999997E-2"/>
    <s v="No"/>
    <n v="32"/>
    <n v="5960.04288"/>
    <n v="2881.28"/>
    <n v="3078.7628799999998"/>
    <n v="0.51656723650954672"/>
    <n v="4.2999999999999997E-2"/>
    <n v="32"/>
    <n v="90.04"/>
    <n v="5960.04288"/>
    <n v="3078.7628799999998"/>
  </r>
  <r>
    <s v="ORD-2024-510520"/>
    <d v="2024-09-25T00:00:00"/>
    <x v="366"/>
    <s v="Q3-2024"/>
    <d v="2024-10-03T00:00:00"/>
    <d v="2024-10-03T00:00:00"/>
    <n v="8"/>
    <n v="8"/>
    <s v="No"/>
    <d v="2023-01-02T00:00:00"/>
    <x v="2"/>
    <x v="3"/>
    <s v="Toronto"/>
    <s v="Americas - Canada - Toronto"/>
    <s v="Consumer"/>
    <x v="1"/>
    <x v="6"/>
    <x v="1"/>
    <x v="443"/>
    <n v="558.19000000000005"/>
    <n v="1031.6400000000001"/>
    <n v="1031.6400000000001"/>
    <s v="Medium"/>
    <n v="0"/>
    <n v="0"/>
    <s v="No"/>
    <n v="21"/>
    <n v="21664.440000000002"/>
    <n v="11721.990000000002"/>
    <n v="9942.4500000000007"/>
    <n v="0.45892947152107322"/>
    <n v="0"/>
    <n v="21"/>
    <n v="558.19000000000005"/>
    <n v="21664.440000000002"/>
    <n v="9942.4500000000007"/>
  </r>
  <r>
    <s v="ORD-2023-769774"/>
    <d v="2023-06-13T00:00:00"/>
    <x v="367"/>
    <s v="Q2-2023"/>
    <d v="2023-06-24T00:00:00"/>
    <d v="2023-06-24T00:00:00"/>
    <n v="11"/>
    <n v="11"/>
    <s v="No"/>
    <d v="2023-01-02T00:00:00"/>
    <x v="2"/>
    <x v="3"/>
    <s v="Toronto"/>
    <s v="Americas - Canada - Toronto"/>
    <s v="Corporate"/>
    <x v="1"/>
    <x v="0"/>
    <x v="1"/>
    <x v="444"/>
    <n v="247.07"/>
    <n v="495.19"/>
    <n v="495.19"/>
    <s v="Low"/>
    <n v="2.8000000000000001E-2"/>
    <n v="2.8000000000000001E-2"/>
    <s v="No"/>
    <n v="4"/>
    <n v="1925.29872"/>
    <n v="988.28"/>
    <n v="937.01872000000003"/>
    <n v="0.48668744764968214"/>
    <n v="2.8000000000000001E-2"/>
    <n v="4"/>
    <n v="247.07"/>
    <n v="1925.29872"/>
    <n v="937.01872000000003"/>
  </r>
  <r>
    <s v="ORD-2023-580751"/>
    <d v="2023-12-24T00:00:00"/>
    <x v="240"/>
    <s v="Q4-2023"/>
    <d v="2024-01-13T00:00:00"/>
    <d v="2024-01-13T00:00:00"/>
    <n v="20"/>
    <n v="20"/>
    <s v="No"/>
    <d v="2023-03-03T00:00:00"/>
    <x v="1"/>
    <x v="2"/>
    <s v="Nagoya"/>
    <s v="Asia - Japan - Nagoya"/>
    <s v="Education"/>
    <x v="4"/>
    <x v="5"/>
    <x v="4"/>
    <x v="445"/>
    <n v="625.37"/>
    <n v="1319.04"/>
    <n v="1319.04"/>
    <s v="Medium"/>
    <n v="7.3999999999999996E-2"/>
    <n v="7.3999999999999996E-2"/>
    <s v="No"/>
    <n v="8"/>
    <n v="9771.4483199999995"/>
    <n v="5002.96"/>
    <n v="4768.4883199999995"/>
    <n v="0.48800220436513547"/>
    <n v="7.3999999999999996E-2"/>
    <n v="8"/>
    <n v="625.37"/>
    <n v="9771.4483199999995"/>
    <n v="4768.4883199999995"/>
  </r>
  <r>
    <s v="ORD-2025-473192"/>
    <d v="2025-03-30T00:00:00"/>
    <x v="258"/>
    <s v="Q1-2025"/>
    <d v="2025-04-29T00:00:00"/>
    <d v="2025-04-29T00:00:00"/>
    <n v="30"/>
    <n v="30"/>
    <s v="No"/>
    <d v="2023-01-07T00:00:00"/>
    <x v="0"/>
    <x v="11"/>
    <s v="Durban"/>
    <s v="Africa - South Africa - Durban"/>
    <s v="Consumer"/>
    <x v="2"/>
    <x v="1"/>
    <x v="5"/>
    <x v="446"/>
    <n v="194.6"/>
    <n v="314.87"/>
    <n v="314.87"/>
    <s v="Low"/>
    <n v="0.29299999999999998"/>
    <n v="0.29299999999999998"/>
    <s v="Yes"/>
    <n v="25"/>
    <n v="5565.3272500000003"/>
    <n v="4865"/>
    <n v="700.32725000000028"/>
    <n v="0.1258375686712763"/>
    <n v="0.25"/>
    <n v="25"/>
    <n v="194.6"/>
    <n v="5903.8125"/>
    <n v="1038.8125"/>
  </r>
  <r>
    <s v="ORD-2024-886939"/>
    <d v="2024-06-03T00:00:00"/>
    <x v="368"/>
    <s v="Q2-2024"/>
    <d v="2024-06-24T00:00:00"/>
    <d v="2024-06-24T00:00:00"/>
    <n v="21"/>
    <n v="21"/>
    <s v="No"/>
    <d v="2023-01-02T00:00:00"/>
    <x v="2"/>
    <x v="3"/>
    <s v="Toronto"/>
    <s v="Americas - Canada - Toronto"/>
    <s v="Small Business"/>
    <x v="4"/>
    <x v="3"/>
    <x v="5"/>
    <x v="447"/>
    <n v="1205.5"/>
    <n v="2210.17"/>
    <n v="2210.17"/>
    <s v="High"/>
    <n v="0.104"/>
    <n v="0.104"/>
    <s v="No"/>
    <n v="23"/>
    <n v="45547.183360000003"/>
    <n v="27726.5"/>
    <n v="17820.683360000003"/>
    <n v="0.39125763758314652"/>
    <n v="0.104"/>
    <n v="23"/>
    <n v="1205.5"/>
    <n v="45547.183360000003"/>
    <n v="17820.683360000003"/>
  </r>
  <r>
    <s v="ORD-2024-566589"/>
    <d v="2024-06-11T00:00:00"/>
    <x v="369"/>
    <s v="Q2-2024"/>
    <d v="2024-07-09T00:00:00"/>
    <d v="2024-07-09T00:00:00"/>
    <n v="28"/>
    <n v="28"/>
    <s v="No"/>
    <d v="2023-01-15T00:00:00"/>
    <x v="0"/>
    <x v="1"/>
    <s v="Port Harcourt"/>
    <s v="Africa - Nigeria - Port Harcourt"/>
    <s v="Corporate"/>
    <x v="2"/>
    <x v="2"/>
    <x v="3"/>
    <x v="448"/>
    <n v="895.54"/>
    <n v="1045"/>
    <n v="1045"/>
    <s v="Medium"/>
    <n v="0.216"/>
    <n v="0.216"/>
    <s v="Yes"/>
    <n v="15"/>
    <n v="12289.2"/>
    <n v="13433.099999999999"/>
    <n v="-1143.8999999999978"/>
    <n v="-9.3081730299775234E-2"/>
    <n v="0.216"/>
    <n v="15"/>
    <n v="895.54"/>
    <n v="12289.2"/>
    <n v="-1143.8999999999978"/>
  </r>
  <r>
    <s v="ORD-2023-109927"/>
    <d v="2023-07-22T00:00:00"/>
    <x v="370"/>
    <s v="Q3-2023"/>
    <d v="2023-07-21T00:00:00"/>
    <d v="2023-07-31T00:00:00"/>
    <n v="-1"/>
    <n v="9"/>
    <s v="No"/>
    <d v="2023-01-29T00:00:00"/>
    <x v="1"/>
    <x v="4"/>
    <s v="Delhi"/>
    <s v="Asia - India - Delhi"/>
    <s v="Small Business"/>
    <x v="3"/>
    <x v="6"/>
    <x v="1"/>
    <x v="449"/>
    <n v="946.99"/>
    <n v="2132.19"/>
    <n v="2132.19"/>
    <s v="High"/>
    <n v="0.16500000000000001"/>
    <n v="0.16500000000000001"/>
    <s v="No"/>
    <n v="7"/>
    <n v="12462.65055"/>
    <n v="6628.93"/>
    <n v="5833.72055"/>
    <n v="0.46809629513362228"/>
    <n v="0.16500000000000001"/>
    <n v="7"/>
    <n v="946.99"/>
    <n v="12462.65055"/>
    <n v="5833.72055"/>
  </r>
  <r>
    <s v="ORD-2023-780206"/>
    <d v="2023-01-19T00:00:00"/>
    <x v="371"/>
    <s v="Q1-2023"/>
    <d v="2023-02-03T00:00:00"/>
    <d v="2023-02-03T00:00:00"/>
    <n v="15"/>
    <n v="15"/>
    <s v="No"/>
    <d v="2023-01-19T00:00:00"/>
    <x v="3"/>
    <x v="8"/>
    <s v="London"/>
    <s v="Europe - United Kingdom - London"/>
    <s v="Enterprise"/>
    <x v="3"/>
    <x v="3"/>
    <x v="6"/>
    <x v="450"/>
    <n v="873.06"/>
    <n v="2101.5500000000002"/>
    <n v="2101.5500000000002"/>
    <s v="High"/>
    <n v="6.6000000000000003E-2"/>
    <n v="6.6000000000000003E-2"/>
    <s v="No"/>
    <n v="10"/>
    <n v="19628.476999999999"/>
    <n v="8730.5999999999985"/>
    <n v="10897.877"/>
    <n v="0.55520746719167269"/>
    <n v="6.6000000000000003E-2"/>
    <n v="10"/>
    <n v="873.06"/>
    <n v="19628.476999999999"/>
    <n v="10897.877"/>
  </r>
  <r>
    <s v="ORD-2024-851993"/>
    <d v="2024-05-01T00:00:00"/>
    <x v="372"/>
    <s v="Q2-2024"/>
    <d v="2024-05-16T00:00:00"/>
    <d v="2024-05-16T00:00:00"/>
    <n v="15"/>
    <n v="15"/>
    <s v="No"/>
    <d v="2023-01-29T00:00:00"/>
    <x v="1"/>
    <x v="4"/>
    <s v="Bengaluru"/>
    <s v="Asia - India - Bengaluru"/>
    <s v="Small Business"/>
    <x v="0"/>
    <x v="4"/>
    <x v="0"/>
    <x v="451"/>
    <n v="901.19"/>
    <n v="2125.44"/>
    <n v="2125.44"/>
    <s v="High"/>
    <n v="7.0999999999999994E-2"/>
    <n v="7.0999999999999994E-2"/>
    <s v="No"/>
    <n v="12"/>
    <n v="23694.405119999999"/>
    <n v="10814.28"/>
    <n v="12880.125119999999"/>
    <n v="0.54359352154100415"/>
    <n v="7.0999999999999994E-2"/>
    <n v="12"/>
    <n v="901.19"/>
    <n v="23694.405119999999"/>
    <n v="12880.125119999999"/>
  </r>
  <r>
    <s v="ORD-2025-417942"/>
    <d v="2025-06-09T00:00:00"/>
    <x v="56"/>
    <s v="Q2-2025"/>
    <d v="2025-06-24T00:00:00"/>
    <d v="2025-06-24T00:00:00"/>
    <n v="15"/>
    <n v="15"/>
    <s v="No"/>
    <d v="2023-03-03T00:00:00"/>
    <x v="1"/>
    <x v="2"/>
    <s v="Nagoya"/>
    <s v="Asia - Japan - Nagoya"/>
    <s v="Corporate"/>
    <x v="4"/>
    <x v="5"/>
    <x v="3"/>
    <x v="452"/>
    <n v="400.39"/>
    <n v="712.75"/>
    <n v="712.75"/>
    <s v="Low"/>
    <n v="0.115"/>
    <n v="0.115"/>
    <s v="No"/>
    <n v="19"/>
    <n v="11984.891250000001"/>
    <n v="7607.41"/>
    <n v="4377.4812500000007"/>
    <n v="0.36524997671547504"/>
    <n v="0.115"/>
    <n v="19"/>
    <n v="400.39"/>
    <n v="11984.891250000001"/>
    <n v="4377.4812500000007"/>
  </r>
  <r>
    <s v="ORD-2023-172095"/>
    <d v="2023-05-24T00:00:00"/>
    <x v="373"/>
    <s v="Q2-2023"/>
    <d v="2023-06-21T00:00:00"/>
    <d v="2023-06-21T00:00:00"/>
    <n v="28"/>
    <n v="28"/>
    <s v="No"/>
    <d v="2023-01-13T00:00:00"/>
    <x v="2"/>
    <x v="10"/>
    <s v="Austin"/>
    <s v="Americas - USA - Austin"/>
    <s v="Small Business"/>
    <x v="2"/>
    <x v="3"/>
    <x v="5"/>
    <x v="453"/>
    <n v="813.97"/>
    <n v="1568.83"/>
    <n v="1568.83"/>
    <s v="Medium"/>
    <n v="1.7000000000000001E-2"/>
    <n v="1.7000000000000001E-2"/>
    <s v="No"/>
    <n v="15"/>
    <n v="23132.398349999996"/>
    <n v="12209.550000000001"/>
    <n v="10922.848349999995"/>
    <n v="0.4721883215364911"/>
    <n v="1.7000000000000001E-2"/>
    <n v="15"/>
    <n v="813.97"/>
    <n v="23132.398349999996"/>
    <n v="10922.848349999995"/>
  </r>
  <r>
    <s v="ORD-2024-257550"/>
    <d v="2024-12-27T00:00:00"/>
    <x v="6"/>
    <s v="Q4-2024"/>
    <d v="2024-12-29T00:00:00"/>
    <d v="2024-12-29T00:00:00"/>
    <n v="2"/>
    <n v="2"/>
    <s v="Yes"/>
    <d v="2023-01-02T00:00:00"/>
    <x v="2"/>
    <x v="3"/>
    <s v="Vancouver"/>
    <s v="Americas - Canada - Vancouver"/>
    <s v="Enterprise"/>
    <x v="2"/>
    <x v="0"/>
    <x v="6"/>
    <x v="454"/>
    <n v="1146.72"/>
    <n v="2074.34"/>
    <n v="2074.34"/>
    <s v="High"/>
    <n v="0.111"/>
    <n v="0.111"/>
    <s v="No"/>
    <n v="8"/>
    <n v="14752.706080000002"/>
    <n v="9173.76"/>
    <n v="5578.9460800000015"/>
    <n v="0.37816425337472737"/>
    <n v="0.111"/>
    <n v="8"/>
    <n v="1146.72"/>
    <n v="14752.706080000002"/>
    <n v="5578.9460800000015"/>
  </r>
  <r>
    <s v="ORD-2023-581799"/>
    <d v="2023-12-05T00:00:00"/>
    <x v="374"/>
    <s v="Q4-2023"/>
    <d v="2023-12-12T00:00:00"/>
    <d v="2023-12-12T00:00:00"/>
    <n v="7"/>
    <n v="7"/>
    <s v="Yes"/>
    <d v="2023-01-29T00:00:00"/>
    <x v="2"/>
    <x v="5"/>
    <s v="Brasília"/>
    <s v="Americas - Brazil - Brasília"/>
    <s v="Corporate"/>
    <x v="4"/>
    <x v="9"/>
    <x v="3"/>
    <x v="455"/>
    <n v="307.43"/>
    <n v="495.19"/>
    <n v="495.19"/>
    <s v="Low"/>
    <n v="0"/>
    <n v="0"/>
    <s v="No"/>
    <n v="42"/>
    <n v="20797.98"/>
    <n v="12912.06"/>
    <n v="7885.92"/>
    <n v="0.37916759223732305"/>
    <n v="0"/>
    <n v="42"/>
    <n v="307.43"/>
    <n v="20797.98"/>
    <n v="7885.92"/>
  </r>
  <r>
    <s v="ORD-2023-880296"/>
    <d v="2023-05-02T00:00:00"/>
    <x v="129"/>
    <s v="Q2-2023"/>
    <d v="2023-05-19T00:00:00"/>
    <d v="2023-05-19T00:00:00"/>
    <n v="17"/>
    <n v="17"/>
    <s v="No"/>
    <d v="2023-01-12T00:00:00"/>
    <x v="1"/>
    <x v="9"/>
    <s v="Shanghai"/>
    <s v="Asia - China - Shanghai"/>
    <s v="Non-Profit"/>
    <x v="4"/>
    <x v="1"/>
    <x v="5"/>
    <x v="456"/>
    <n v="714.28"/>
    <n v="757.59"/>
    <n v="757.59"/>
    <s v="Low"/>
    <n v="0.13600000000000001"/>
    <n v="0.13600000000000001"/>
    <s v="No"/>
    <n v="12"/>
    <n v="7854.6931199999999"/>
    <n v="8571.36"/>
    <n v="-716.66688000000067"/>
    <n v="-9.1240595787910383E-2"/>
    <n v="0.13600000000000001"/>
    <n v="12"/>
    <n v="714.28"/>
    <n v="7854.6931199999999"/>
    <n v="-716.66688000000067"/>
  </r>
  <r>
    <s v="ORD-2023-191563"/>
    <d v="2023-11-30T00:00:00"/>
    <x v="134"/>
    <s v="Q4-2023"/>
    <d v="2023-12-10T00:00:00"/>
    <d v="2023-12-10T00:00:00"/>
    <n v="10"/>
    <n v="10"/>
    <s v="No"/>
    <d v="2023-01-22T00:00:00"/>
    <x v="3"/>
    <x v="6"/>
    <s v="Munich"/>
    <s v="Europe - Germany - Munich"/>
    <s v="Small Business"/>
    <x v="4"/>
    <x v="9"/>
    <x v="4"/>
    <x v="457"/>
    <n v="174.74"/>
    <n v="415.96"/>
    <n v="415.96"/>
    <s v="Low"/>
    <n v="0.125"/>
    <n v="0.125"/>
    <s v="No"/>
    <n v="21"/>
    <n v="7643.2649999999994"/>
    <n v="3669.54"/>
    <n v="3973.7249999999995"/>
    <n v="0.51989889137691803"/>
    <n v="0.125"/>
    <n v="21"/>
    <n v="174.74"/>
    <n v="7643.2649999999994"/>
    <n v="3973.7249999999995"/>
  </r>
  <r>
    <s v="ORD-2024-202166"/>
    <d v="2024-05-05T00:00:00"/>
    <x v="375"/>
    <s v="Q2-2024"/>
    <d v="2024-05-18T00:00:00"/>
    <d v="2024-05-18T00:00:00"/>
    <n v="13"/>
    <n v="13"/>
    <s v="No"/>
    <d v="2023-01-10T00:00:00"/>
    <x v="3"/>
    <x v="7"/>
    <s v="Marseille"/>
    <s v="Europe - France - Marseille"/>
    <s v="Corporate"/>
    <x v="2"/>
    <x v="8"/>
    <x v="0"/>
    <x v="458"/>
    <n v="1264.04"/>
    <n v="1870.89"/>
    <n v="1870.89"/>
    <s v="High"/>
    <n v="0"/>
    <n v="0"/>
    <s v="No"/>
    <n v="13"/>
    <n v="24321.57"/>
    <n v="16432.52"/>
    <n v="7889.0499999999993"/>
    <n v="0.32436433996653996"/>
    <n v="0"/>
    <n v="13"/>
    <n v="1264.04"/>
    <n v="24321.57"/>
    <n v="7889.0499999999993"/>
  </r>
  <r>
    <s v="ORD-2023-539967"/>
    <d v="2023-07-09T00:00:00"/>
    <x v="376"/>
    <s v="Q3-2023"/>
    <d v="2023-07-19T00:00:00"/>
    <d v="2023-07-19T00:00:00"/>
    <n v="10"/>
    <n v="10"/>
    <s v="No"/>
    <d v="2023-03-03T00:00:00"/>
    <x v="1"/>
    <x v="2"/>
    <s v="Tokyo"/>
    <s v="Asia - Japan - Tokyo"/>
    <s v="Enterprise"/>
    <x v="3"/>
    <x v="13"/>
    <x v="0"/>
    <x v="459"/>
    <n v="141.26"/>
    <n v="206.88"/>
    <n v="206.88"/>
    <s v="Low"/>
    <n v="0.107"/>
    <n v="0.107"/>
    <s v="No"/>
    <n v="9"/>
    <n v="1662.6945600000001"/>
    <n v="1271.3399999999999"/>
    <n v="391.35456000000022"/>
    <n v="0.23537369365062469"/>
    <n v="0.107"/>
    <n v="9"/>
    <n v="141.26"/>
    <n v="1662.6945600000001"/>
    <n v="391.35456000000022"/>
  </r>
  <r>
    <s v="ORD-2023-704111"/>
    <d v="2023-05-17T00:00:00"/>
    <x v="362"/>
    <s v="Q2-2023"/>
    <d v="2023-06-15T00:00:00"/>
    <d v="2023-06-15T00:00:00"/>
    <n v="29"/>
    <n v="29"/>
    <s v="No"/>
    <d v="2023-01-07T00:00:00"/>
    <x v="0"/>
    <x v="11"/>
    <s v="Durban"/>
    <s v="Africa - South Africa - Durban"/>
    <s v="Enterprise"/>
    <x v="0"/>
    <x v="11"/>
    <x v="6"/>
    <x v="460"/>
    <n v="40.89"/>
    <n v="62.82"/>
    <n v="62.82"/>
    <s v="Low"/>
    <n v="0.129"/>
    <n v="0.129"/>
    <s v="No"/>
    <n v="17"/>
    <n v="930.17574000000002"/>
    <n v="695.13"/>
    <n v="235.04574000000002"/>
    <n v="0.25268960465470752"/>
    <n v="0.129"/>
    <n v="17"/>
    <n v="40.89"/>
    <n v="930.17574000000002"/>
    <n v="235.04574000000002"/>
  </r>
  <r>
    <s v="ORD-2024-356812"/>
    <d v="2024-03-07T00:00:00"/>
    <x v="34"/>
    <s v="Q1-2024"/>
    <d v="2024-04-03T00:00:00"/>
    <d v="2024-04-03T00:00:00"/>
    <n v="27"/>
    <n v="27"/>
    <s v="No"/>
    <d v="2023-01-22T00:00:00"/>
    <x v="3"/>
    <x v="6"/>
    <s v="Frankfurt"/>
    <s v="Europe - Germany - Frankfurt"/>
    <s v="Corporate"/>
    <x v="4"/>
    <x v="12"/>
    <x v="1"/>
    <x v="461"/>
    <n v="738.16"/>
    <n v="956.49"/>
    <n v="956.49"/>
    <s v="Medium"/>
    <n v="0.152"/>
    <n v="0.152"/>
    <s v="No"/>
    <n v="5"/>
    <n v="4055.5175999999997"/>
    <n v="3690.7999999999997"/>
    <n v="364.71759999999995"/>
    <n v="8.9931208780847108E-2"/>
    <n v="0.152"/>
    <n v="5"/>
    <n v="738.16"/>
    <n v="4055.5175999999997"/>
    <n v="364.71759999999995"/>
  </r>
  <r>
    <s v="ORD-2025-306251"/>
    <d v="2025-04-10T00:00:00"/>
    <x v="377"/>
    <s v="Q2-2025"/>
    <d v="2025-04-19T00:00:00"/>
    <d v="2025-04-19T00:00:00"/>
    <n v="9"/>
    <n v="9"/>
    <s v="No"/>
    <d v="2023-01-07T00:00:00"/>
    <x v="0"/>
    <x v="11"/>
    <s v="Durban"/>
    <s v="Africa - South Africa - Durban"/>
    <s v="Enterprise"/>
    <x v="3"/>
    <x v="3"/>
    <x v="2"/>
    <x v="462"/>
    <n v="113.74"/>
    <n v="165.7"/>
    <n v="165.7"/>
    <s v="Low"/>
    <n v="0.124"/>
    <n v="0.124"/>
    <s v="No"/>
    <n v="13"/>
    <n v="1886.9915999999998"/>
    <n v="1478.62"/>
    <n v="408.37159999999994"/>
    <n v="0.21641410592394794"/>
    <n v="0.124"/>
    <n v="13"/>
    <n v="113.74"/>
    <n v="1886.9915999999998"/>
    <n v="408.37159999999994"/>
  </r>
  <r>
    <s v="ORD-2025-496178"/>
    <d v="2025-07-27T00:00:00"/>
    <x v="378"/>
    <s v="Q3-2025"/>
    <d v="2025-08-15T00:00:00"/>
    <d v="2025-08-15T00:00:00"/>
    <n v="19"/>
    <n v="19"/>
    <s v="No"/>
    <d v="2023-03-03T00:00:00"/>
    <x v="1"/>
    <x v="2"/>
    <s v="Tokyo"/>
    <s v="Asia - Japan - Tokyo"/>
    <s v="Small Business"/>
    <x v="2"/>
    <x v="1"/>
    <x v="0"/>
    <x v="463"/>
    <n v="275.43"/>
    <n v="608.36"/>
    <n v="608.36"/>
    <s v="Low"/>
    <n v="0.25700000000000001"/>
    <n v="0.25700000000000001"/>
    <s v="Yes"/>
    <n v="4"/>
    <n v="1808.04592"/>
    <n v="1101.72"/>
    <n v="706.32592"/>
    <n v="0.39065706915231446"/>
    <n v="0.25"/>
    <n v="4"/>
    <n v="275.43"/>
    <n v="1825.08"/>
    <n v="723.3599999999999"/>
  </r>
  <r>
    <s v="ORD-2024-508213"/>
    <d v="2024-11-22T00:00:00"/>
    <x v="379"/>
    <s v="Q4-2024"/>
    <d v="2024-12-15T00:00:00"/>
    <d v="2024-12-15T00:00:00"/>
    <n v="23"/>
    <n v="23"/>
    <s v="No"/>
    <d v="2023-01-20T00:00:00"/>
    <x v="0"/>
    <x v="0"/>
    <s v="Mombasa"/>
    <s v="Africa - Kenya - Mombasa"/>
    <s v="Non-Profit"/>
    <x v="3"/>
    <x v="0"/>
    <x v="0"/>
    <x v="464"/>
    <n v="1335.76"/>
    <n v="2665.91"/>
    <n v="2665.91"/>
    <s v="High"/>
    <n v="0.21099999999999999"/>
    <n v="0.21099999999999999"/>
    <s v="Yes"/>
    <n v="40"/>
    <n v="84136.119600000005"/>
    <n v="53430.400000000001"/>
    <n v="30705.719600000004"/>
    <n v="0.36495288522909253"/>
    <n v="0.21099999999999999"/>
    <n v="40"/>
    <n v="1335.76"/>
    <n v="84136.119600000005"/>
    <n v="30705.719600000004"/>
  </r>
  <r>
    <s v="ORD-2024-787018"/>
    <d v="2024-06-23T00:00:00"/>
    <x v="304"/>
    <s v="Q2-2024"/>
    <d v="2024-06-28T00:00:00"/>
    <d v="2024-06-28T00:00:00"/>
    <n v="5"/>
    <n v="5"/>
    <s v="Yes"/>
    <d v="2023-01-15T00:00:00"/>
    <x v="0"/>
    <x v="1"/>
    <s v="Port Harcourt"/>
    <s v="Africa - Nigeria - Port Harcourt"/>
    <s v="Non-Profit"/>
    <x v="4"/>
    <x v="12"/>
    <x v="6"/>
    <x v="465"/>
    <n v="242.31"/>
    <n v="587.95000000000005"/>
    <n v="587.95000000000005"/>
    <s v="Low"/>
    <n v="0.22900000000000001"/>
    <n v="0.22900000000000001"/>
    <s v="Yes"/>
    <n v="6"/>
    <n v="2719.8567000000003"/>
    <n v="1453.8600000000001"/>
    <n v="1265.9967000000001"/>
    <n v="0.46546448568411714"/>
    <n v="0.22900000000000001"/>
    <n v="6"/>
    <n v="242.31"/>
    <n v="2719.8567000000003"/>
    <n v="1265.9967000000001"/>
  </r>
  <r>
    <s v="ORD-2023-728177"/>
    <d v="2023-12-18T00:00:00"/>
    <x v="380"/>
    <s v="Q4-2023"/>
    <d v="2024-01-14T00:00:00"/>
    <d v="2024-01-14T00:00:00"/>
    <n v="27"/>
    <n v="27"/>
    <s v="No"/>
    <d v="2023-01-29T00:00:00"/>
    <x v="1"/>
    <x v="4"/>
    <s v="Mumbai"/>
    <s v="Asia - India - Mumbai"/>
    <s v="Consumer"/>
    <x v="3"/>
    <x v="14"/>
    <x v="2"/>
    <x v="466"/>
    <n v="1408.3"/>
    <n v="2193.13"/>
    <n v="2193.13"/>
    <s v="High"/>
    <n v="7.0999999999999994E-2"/>
    <n v="7.0999999999999994E-2"/>
    <s v="No"/>
    <n v="7"/>
    <n v="14261.92439"/>
    <n v="9858.1"/>
    <n v="4403.8243899999998"/>
    <n v="0.30878191957656281"/>
    <n v="7.0999999999999994E-2"/>
    <n v="7"/>
    <n v="1408.3"/>
    <n v="14261.92439"/>
    <n v="4403.8243899999998"/>
  </r>
  <r>
    <s v="ORD-2025-795385"/>
    <d v="2025-06-01T00:00:00"/>
    <x v="262"/>
    <s v="Q2-2025"/>
    <d v="2025-06-05T00:00:00"/>
    <d v="2025-06-05T00:00:00"/>
    <n v="4"/>
    <n v="4"/>
    <s v="Yes"/>
    <d v="2023-01-22T00:00:00"/>
    <x v="3"/>
    <x v="6"/>
    <s v="Munich"/>
    <s v="Europe - Germany - Munich"/>
    <s v="Enterprise"/>
    <x v="4"/>
    <x v="12"/>
    <x v="0"/>
    <x v="467"/>
    <n v="1171.42"/>
    <n v="2187.8000000000002"/>
    <n v="2187.8000000000002"/>
    <s v="High"/>
    <n v="0.23"/>
    <n v="0.23"/>
    <s v="Yes"/>
    <n v="15"/>
    <n v="25269.09"/>
    <n v="17571.300000000003"/>
    <n v="7697.7899999999972"/>
    <n v="0.30463265594447592"/>
    <n v="0.23"/>
    <n v="15"/>
    <n v="1171.42"/>
    <n v="25269.09"/>
    <n v="7697.7899999999972"/>
  </r>
  <r>
    <s v="ORD-2025-947929"/>
    <d v="2025-03-23T00:00:00"/>
    <x v="381"/>
    <s v="Q1-2025"/>
    <d v="2025-04-02T00:00:00"/>
    <d v="2025-04-02T00:00:00"/>
    <n v="10"/>
    <n v="10"/>
    <s v="No"/>
    <d v="2023-01-22T00:00:00"/>
    <x v="3"/>
    <x v="6"/>
    <s v="Berlin"/>
    <s v="Europe - Germany - Berlin"/>
    <s v="Enterprise"/>
    <x v="1"/>
    <x v="6"/>
    <x v="1"/>
    <x v="468"/>
    <n v="663.61"/>
    <n v="1002.11"/>
    <n v="1002.11"/>
    <s v="Medium"/>
    <n v="4.5999999999999999E-2"/>
    <n v="4.5999999999999999E-2"/>
    <s v="No"/>
    <n v="17"/>
    <n v="16252.219979999998"/>
    <n v="11281.37"/>
    <n v="4970.8499799999972"/>
    <n v="0.30585667595670812"/>
    <n v="4.5999999999999999E-2"/>
    <n v="17"/>
    <n v="663.61"/>
    <n v="16252.219979999998"/>
    <n v="4970.8499799999972"/>
  </r>
  <r>
    <s v="ORD-2023-931633"/>
    <d v="2023-05-14T00:00:00"/>
    <x v="382"/>
    <s v="Q2-2023"/>
    <d v="2023-05-22T00:00:00"/>
    <d v="2023-05-22T00:00:00"/>
    <n v="8"/>
    <n v="8"/>
    <s v="No"/>
    <d v="2023-01-20T00:00:00"/>
    <x v="0"/>
    <x v="0"/>
    <s v="Mombasa"/>
    <s v="Africa - Kenya - Mombasa"/>
    <s v="Small Business"/>
    <x v="3"/>
    <x v="9"/>
    <x v="1"/>
    <x v="469"/>
    <n v="432.01"/>
    <n v="913.78"/>
    <n v="913.78"/>
    <s v="Medium"/>
    <n v="4.9000000000000002E-2"/>
    <n v="4.9000000000000002E-2"/>
    <s v="No"/>
    <n v="12"/>
    <n v="10428.057360000001"/>
    <n v="5184.12"/>
    <n v="5243.9373600000008"/>
    <n v="0.50286809699711899"/>
    <n v="4.9000000000000002E-2"/>
    <n v="12"/>
    <n v="432.01"/>
    <n v="10428.057360000001"/>
    <n v="5243.9373600000008"/>
  </r>
  <r>
    <s v="ORD-2023-243704"/>
    <d v="2023-08-29T00:00:00"/>
    <x v="345"/>
    <s v="Q3-2023"/>
    <d v="2023-09-19T00:00:00"/>
    <d v="2023-09-19T00:00:00"/>
    <n v="21"/>
    <n v="21"/>
    <s v="No"/>
    <d v="2023-01-10T00:00:00"/>
    <x v="3"/>
    <x v="7"/>
    <s v="Lyon"/>
    <s v="Europe - France - Lyon"/>
    <s v="Small Business"/>
    <x v="4"/>
    <x v="5"/>
    <x v="1"/>
    <x v="470"/>
    <n v="784.46"/>
    <n v="1843.51"/>
    <n v="1843.51"/>
    <s v="High"/>
    <n v="0.13800000000000001"/>
    <n v="0.13800000000000001"/>
    <s v="No"/>
    <n v="23"/>
    <n v="36549.429260000004"/>
    <n v="18042.580000000002"/>
    <n v="18506.849260000003"/>
    <n v="0.50635125184441798"/>
    <n v="0.13800000000000001"/>
    <n v="23"/>
    <n v="784.46"/>
    <n v="36549.429260000004"/>
    <n v="18506.849260000003"/>
  </r>
  <r>
    <s v="ORD-2025-779659"/>
    <d v="2025-07-03T00:00:00"/>
    <x v="350"/>
    <s v="Q3-2025"/>
    <d v="2025-07-23T00:00:00"/>
    <d v="2025-07-23T00:00:00"/>
    <n v="20"/>
    <n v="20"/>
    <s v="No"/>
    <d v="2023-01-12T00:00:00"/>
    <x v="1"/>
    <x v="9"/>
    <s v="Beijing"/>
    <s v="Asia - China - Beijing"/>
    <s v="Small Business"/>
    <x v="1"/>
    <x v="12"/>
    <x v="0"/>
    <x v="471"/>
    <n v="647.36"/>
    <n v="1383.6"/>
    <n v="1383.6"/>
    <s v="Medium"/>
    <n v="7.3999999999999996E-2"/>
    <n v="7.3999999999999996E-2"/>
    <s v="No"/>
    <n v="12"/>
    <n v="15374.563199999999"/>
    <n v="7768.32"/>
    <n v="7606.243199999999"/>
    <n v="0.49472906000997802"/>
    <n v="7.3999999999999996E-2"/>
    <n v="12"/>
    <n v="647.36"/>
    <n v="15374.563199999999"/>
    <n v="7606.243199999999"/>
  </r>
  <r>
    <s v="ORD-2024-647571"/>
    <d v="2024-02-06T00:00:00"/>
    <x v="383"/>
    <s v="Q1-2024"/>
    <d v="2024-02-28T00:00:00"/>
    <d v="2024-02-28T00:00:00"/>
    <n v="22"/>
    <n v="22"/>
    <s v="No"/>
    <d v="2023-01-20T00:00:00"/>
    <x v="0"/>
    <x v="0"/>
    <s v="Kisumu"/>
    <s v="Africa - Kenya - Kisumu"/>
    <s v="Non-Profit"/>
    <x v="1"/>
    <x v="11"/>
    <x v="5"/>
    <x v="472"/>
    <n v="834.93"/>
    <n v="1588.53"/>
    <n v="1588.53"/>
    <s v="Medium"/>
    <n v="0.126"/>
    <n v="0.126"/>
    <s v="No"/>
    <n v="6"/>
    <n v="8330.2513199999994"/>
    <n v="5009.58"/>
    <n v="3320.6713199999995"/>
    <n v="0.39862798761274343"/>
    <n v="0.126"/>
    <n v="6"/>
    <n v="834.93"/>
    <n v="8330.2513199999994"/>
    <n v="3320.6713199999995"/>
  </r>
  <r>
    <s v="ORD-2025-683043"/>
    <d v="2025-08-13T00:00:00"/>
    <x v="384"/>
    <s v="Q3-2025"/>
    <d v="2025-09-03T00:00:00"/>
    <d v="2025-09-03T00:00:00"/>
    <n v="21"/>
    <n v="21"/>
    <s v="No"/>
    <d v="2023-01-10T00:00:00"/>
    <x v="3"/>
    <x v="7"/>
    <s v="Paris"/>
    <s v="Europe - France - Paris"/>
    <s v="Education"/>
    <x v="0"/>
    <x v="2"/>
    <x v="3"/>
    <x v="473"/>
    <n v="603.47"/>
    <n v="1344.05"/>
    <n v="1344.05"/>
    <s v="Medium"/>
    <n v="0.20499999999999999"/>
    <n v="0.20499999999999999"/>
    <s v="Yes"/>
    <n v="18"/>
    <n v="19233.355499999998"/>
    <n v="10862.460000000001"/>
    <n v="8370.8954999999969"/>
    <n v="0.43522803392262976"/>
    <n v="0.20499999999999999"/>
    <n v="18"/>
    <n v="603.47"/>
    <n v="19233.355499999998"/>
    <n v="8370.8954999999969"/>
  </r>
  <r>
    <s v="ORD-2023-588455"/>
    <d v="2023-05-23T00:00:00"/>
    <x v="207"/>
    <s v="Q2-2023"/>
    <d v="2023-05-25T00:00:00"/>
    <d v="2023-05-25T00:00:00"/>
    <n v="2"/>
    <n v="2"/>
    <s v="Yes"/>
    <d v="2023-01-29T00:00:00"/>
    <x v="2"/>
    <x v="5"/>
    <s v="Rio de Janeiro"/>
    <s v="Americas - Brazil - Rio de Janeiro"/>
    <s v="Enterprise"/>
    <x v="0"/>
    <x v="12"/>
    <x v="1"/>
    <x v="474"/>
    <n v="690.49"/>
    <n v="1290.29"/>
    <n v="1290.29"/>
    <s v="Medium"/>
    <n v="4.2000000000000003E-2"/>
    <n v="4.2000000000000003E-2"/>
    <s v="No"/>
    <n v="22"/>
    <n v="27194.152039999997"/>
    <n v="15190.78"/>
    <n v="12003.372039999997"/>
    <n v="0.44139534199647718"/>
    <n v="4.2000000000000003E-2"/>
    <n v="22"/>
    <n v="690.49"/>
    <n v="27194.152039999997"/>
    <n v="12003.372039999997"/>
  </r>
  <r>
    <s v="ORD-2024-641220"/>
    <d v="2024-05-10T00:00:00"/>
    <x v="385"/>
    <s v="Q2-2024"/>
    <d v="2024-05-16T00:00:00"/>
    <d v="2024-05-16T00:00:00"/>
    <n v="6"/>
    <n v="6"/>
    <s v="Yes"/>
    <d v="2023-01-19T00:00:00"/>
    <x v="3"/>
    <x v="8"/>
    <s v="Birmingham"/>
    <s v="Europe - United Kingdom - Birmingham"/>
    <s v="Non-Profit"/>
    <x v="4"/>
    <x v="3"/>
    <x v="4"/>
    <x v="475"/>
    <n v="210.76"/>
    <n v="221.58"/>
    <n v="221.58"/>
    <s v="Low"/>
    <n v="8.8999999999999996E-2"/>
    <n v="8.8999999999999996E-2"/>
    <s v="No"/>
    <n v="5"/>
    <n v="1009.2969000000002"/>
    <n v="1053.8"/>
    <n v="-44.50309999999979"/>
    <n v="-4.4093170205912434E-2"/>
    <n v="8.8999999999999996E-2"/>
    <n v="5"/>
    <n v="210.76"/>
    <n v="1009.2969000000002"/>
    <n v="-44.50309999999979"/>
  </r>
  <r>
    <s v="ORD-2023-799597"/>
    <d v="2023-03-14T00:00:00"/>
    <x v="211"/>
    <s v="Q1-2023"/>
    <d v="2023-03-18T00:00:00"/>
    <d v="2023-03-18T00:00:00"/>
    <n v="4"/>
    <n v="4"/>
    <s v="Yes"/>
    <d v="2023-01-22T00:00:00"/>
    <x v="3"/>
    <x v="6"/>
    <s v="Frankfurt"/>
    <s v="Europe - Germany - Frankfurt"/>
    <s v="Enterprise"/>
    <x v="4"/>
    <x v="8"/>
    <x v="0"/>
    <x v="476"/>
    <n v="472.33"/>
    <n v="360.34"/>
    <n v="360.34"/>
    <s v="Low"/>
    <n v="0.16500000000000001"/>
    <n v="0.16500000000000001"/>
    <s v="No"/>
    <n v="14"/>
    <n v="4212.3745999999992"/>
    <n v="6612.62"/>
    <n v="-2400.2454000000007"/>
    <n v="-0.56980815523861561"/>
    <n v="0.16500000000000001"/>
    <n v="14"/>
    <n v="472.33"/>
    <n v="4212.3745999999992"/>
    <n v="-2400.2454000000007"/>
  </r>
  <r>
    <s v="ORD-2023-569862"/>
    <d v="2023-07-16T00:00:00"/>
    <x v="386"/>
    <s v="Q3-2023"/>
    <d v="2023-08-13T00:00:00"/>
    <d v="2023-08-13T00:00:00"/>
    <n v="28"/>
    <n v="28"/>
    <s v="No"/>
    <d v="2023-01-19T00:00:00"/>
    <x v="3"/>
    <x v="8"/>
    <s v="Manchester"/>
    <s v="Europe - United Kingdom - Manchester"/>
    <s v="Non-Profit"/>
    <x v="1"/>
    <x v="1"/>
    <x v="4"/>
    <x v="477"/>
    <n v="1039.03"/>
    <n v="2545.81"/>
    <n v="2545.81"/>
    <s v="High"/>
    <n v="0.216"/>
    <n v="0.216"/>
    <s v="Yes"/>
    <n v="21"/>
    <n v="41914.215840000004"/>
    <n v="21819.63"/>
    <n v="20094.585840000003"/>
    <n v="0.47942172929364774"/>
    <n v="0.216"/>
    <n v="21"/>
    <n v="1039.03"/>
    <n v="41914.215840000004"/>
    <n v="20094.585840000003"/>
  </r>
  <r>
    <s v="ORD-2023-609394"/>
    <d v="2023-04-16T00:00:00"/>
    <x v="387"/>
    <s v="Q2-2023"/>
    <d v="2023-04-19T00:00:00"/>
    <d v="2023-04-19T00:00:00"/>
    <n v="3"/>
    <n v="3"/>
    <s v="Yes"/>
    <d v="2023-01-22T00:00:00"/>
    <x v="3"/>
    <x v="6"/>
    <s v="Munich"/>
    <s v="Europe - Germany - Munich"/>
    <s v="Corporate"/>
    <x v="4"/>
    <x v="5"/>
    <x v="6"/>
    <x v="478"/>
    <n v="553.61"/>
    <n v="699.47"/>
    <n v="699.47"/>
    <s v="Low"/>
    <n v="0.02"/>
    <n v="0.02"/>
    <s v="No"/>
    <n v="33"/>
    <n v="22620.859800000002"/>
    <n v="18269.13"/>
    <n v="4351.729800000001"/>
    <n v="0.19237685209472014"/>
    <n v="0.02"/>
    <n v="33"/>
    <n v="553.61"/>
    <n v="22620.859800000002"/>
    <n v="4351.729800000001"/>
  </r>
  <r>
    <s v="ORD-2024-105586"/>
    <d v="2024-01-02T00:00:00"/>
    <x v="279"/>
    <s v="Q1-2024"/>
    <d v="2024-01-15T00:00:00"/>
    <d v="2024-01-15T00:00:00"/>
    <n v="13"/>
    <n v="13"/>
    <s v="No"/>
    <d v="2023-03-03T00:00:00"/>
    <x v="1"/>
    <x v="2"/>
    <s v="Nagoya"/>
    <s v="Asia - Japan - Nagoya"/>
    <s v="Small Business"/>
    <x v="2"/>
    <x v="3"/>
    <x v="2"/>
    <x v="479"/>
    <n v="1219.06"/>
    <n v="2738.69"/>
    <n v="2738.69"/>
    <s v="High"/>
    <n v="7.5999999999999998E-2"/>
    <n v="7.5999999999999998E-2"/>
    <s v="No"/>
    <n v="16"/>
    <n v="40488.792960000006"/>
    <n v="19504.96"/>
    <n v="20983.832960000007"/>
    <n v="0.51826274447673737"/>
    <n v="7.5999999999999998E-2"/>
    <n v="16"/>
    <n v="1219.06"/>
    <n v="40488.792960000006"/>
    <n v="20983.832960000007"/>
  </r>
  <r>
    <s v="ORD-2024-207792"/>
    <d v="2024-09-03T00:00:00"/>
    <x v="209"/>
    <s v="Q3-2024"/>
    <d v="2024-09-07T00:00:00"/>
    <d v="2024-09-07T00:00:00"/>
    <n v="4"/>
    <n v="4"/>
    <s v="Yes"/>
    <d v="2023-03-03T00:00:00"/>
    <x v="1"/>
    <x v="2"/>
    <s v="Tokyo"/>
    <s v="Asia - Japan - Tokyo"/>
    <s v="Small Business"/>
    <x v="3"/>
    <x v="13"/>
    <x v="1"/>
    <x v="480"/>
    <n v="43.23"/>
    <n v="94.78"/>
    <n v="94.78"/>
    <s v="Low"/>
    <n v="9.0999999999999998E-2"/>
    <n v="9.0999999999999998E-2"/>
    <s v="No"/>
    <n v="55"/>
    <n v="4738.5261"/>
    <n v="2377.6499999999996"/>
    <n v="2360.8761000000004"/>
    <n v="0.49823005090127082"/>
    <n v="9.0999999999999998E-2"/>
    <n v="55"/>
    <n v="43.23"/>
    <n v="4738.5261"/>
    <n v="2360.8761000000004"/>
  </r>
  <r>
    <s v="ORD-2025-417336"/>
    <d v="2025-08-30T00:00:00"/>
    <x v="388"/>
    <s v="Q3-2025"/>
    <d v="2025-09-03T00:00:00"/>
    <d v="2025-09-03T00:00:00"/>
    <n v="4"/>
    <n v="4"/>
    <s v="Yes"/>
    <d v="2023-01-10T00:00:00"/>
    <x v="3"/>
    <x v="7"/>
    <s v="Marseille"/>
    <s v="Europe - France - Marseille"/>
    <s v="Small Business"/>
    <x v="2"/>
    <x v="1"/>
    <x v="4"/>
    <x v="481"/>
    <n v="1286.56"/>
    <n v="2777.35"/>
    <n v="2777.35"/>
    <s v="High"/>
    <n v="0.13200000000000001"/>
    <n v="0.13200000000000001"/>
    <s v="No"/>
    <n v="15"/>
    <n v="36161.097000000002"/>
    <n v="19298.399999999998"/>
    <n v="16862.697000000004"/>
    <n v="0.46632150014696744"/>
    <n v="0.13200000000000001"/>
    <n v="15"/>
    <n v="1286.56"/>
    <n v="36161.097000000002"/>
    <n v="16862.697000000004"/>
  </r>
  <r>
    <s v="ORD-2025-252117"/>
    <d v="2025-04-28T00:00:00"/>
    <x v="86"/>
    <s v="Q2-2025"/>
    <d v="2025-05-19T00:00:00"/>
    <d v="2025-05-19T00:00:00"/>
    <n v="21"/>
    <n v="21"/>
    <s v="No"/>
    <d v="2023-01-22T00:00:00"/>
    <x v="3"/>
    <x v="6"/>
    <s v="Berlin"/>
    <s v="Europe - Germany - Berlin"/>
    <s v="Corporate"/>
    <x v="3"/>
    <x v="5"/>
    <x v="3"/>
    <x v="482"/>
    <n v="350.76"/>
    <n v="492.18"/>
    <n v="492.18"/>
    <s v="Low"/>
    <n v="5.2999999999999999E-2"/>
    <n v="5.2999999999999999E-2"/>
    <s v="No"/>
    <n v="11"/>
    <n v="5127.0390600000001"/>
    <n v="3858.3599999999997"/>
    <n v="1268.6790600000004"/>
    <n v="0.24744868239798437"/>
    <n v="5.2999999999999999E-2"/>
    <n v="11"/>
    <n v="350.76"/>
    <n v="5127.0390600000001"/>
    <n v="1268.6790600000004"/>
  </r>
  <r>
    <s v="ORD-2023-867175"/>
    <d v="2023-08-10T00:00:00"/>
    <x v="389"/>
    <s v="Q3-2023"/>
    <d v="2023-08-15T00:00:00"/>
    <d v="2023-08-15T00:00:00"/>
    <n v="5"/>
    <n v="5"/>
    <s v="Yes"/>
    <d v="2023-01-29T00:00:00"/>
    <x v="2"/>
    <x v="5"/>
    <s v="São Paulo"/>
    <s v="Americas - Brazil - São Paulo"/>
    <s v="Education"/>
    <x v="4"/>
    <x v="3"/>
    <x v="2"/>
    <x v="483"/>
    <n v="1307.52"/>
    <n v="1921.65"/>
    <n v="1921.65"/>
    <s v="High"/>
    <n v="0.123"/>
    <n v="0.123"/>
    <s v="No"/>
    <n v="13"/>
    <n v="21908.731650000002"/>
    <n v="16997.759999999998"/>
    <n v="4910.9716500000031"/>
    <n v="0.22415590863289445"/>
    <n v="0.123"/>
    <n v="13"/>
    <n v="1307.52"/>
    <n v="21908.731650000002"/>
    <n v="4910.9716500000031"/>
  </r>
  <r>
    <s v="ORD-2024-382152"/>
    <d v="2024-12-08T00:00:00"/>
    <x v="390"/>
    <s v="Q4-2024"/>
    <d v="2024-12-08T00:00:00"/>
    <d v="2024-12-08T00:00:00"/>
    <n v="0"/>
    <n v="0"/>
    <s v="Yes"/>
    <d v="2023-01-10T00:00:00"/>
    <x v="3"/>
    <x v="7"/>
    <s v="Lyon"/>
    <s v="Europe - France - Lyon"/>
    <s v="Enterprise"/>
    <x v="0"/>
    <x v="10"/>
    <x v="0"/>
    <x v="484"/>
    <n v="257.44"/>
    <n v="290.33"/>
    <n v="290.33"/>
    <s v="Low"/>
    <n v="9.1999999999999998E-2"/>
    <n v="9.1999999999999998E-2"/>
    <s v="No"/>
    <n v="23"/>
    <n v="6063.2517199999993"/>
    <n v="5921.12"/>
    <n v="142.1317199999994"/>
    <n v="2.3441500792581216E-2"/>
    <n v="9.1999999999999998E-2"/>
    <n v="23"/>
    <n v="257.44"/>
    <n v="6063.2517199999993"/>
    <n v="142.1317199999994"/>
  </r>
  <r>
    <s v="ORD-2023-597666"/>
    <d v="2023-10-25T00:00:00"/>
    <x v="391"/>
    <s v="Q4-2023"/>
    <d v="2023-11-24T00:00:00"/>
    <d v="2023-11-24T00:00:00"/>
    <n v="30"/>
    <n v="30"/>
    <s v="No"/>
    <d v="2023-01-10T00:00:00"/>
    <x v="3"/>
    <x v="7"/>
    <s v="Paris"/>
    <s v="Europe - France - Paris"/>
    <s v="Enterprise"/>
    <x v="3"/>
    <x v="0"/>
    <x v="3"/>
    <x v="485"/>
    <n v="287.85000000000002"/>
    <n v="602.91999999999996"/>
    <n v="602.91999999999996"/>
    <s v="Low"/>
    <n v="0.222"/>
    <n v="0.222"/>
    <s v="Yes"/>
    <n v="11"/>
    <n v="5159.7893599999998"/>
    <n v="3166.3500000000004"/>
    <n v="1993.4393599999994"/>
    <n v="0.38634122847216373"/>
    <n v="0.222"/>
    <n v="11"/>
    <n v="287.85000000000002"/>
    <n v="5159.7893599999998"/>
    <n v="1993.4393599999994"/>
  </r>
  <r>
    <s v="ORD-2024-371409"/>
    <d v="2024-11-17T00:00:00"/>
    <x v="392"/>
    <s v="Q4-2024"/>
    <d v="2024-11-28T00:00:00"/>
    <d v="2024-11-28T00:00:00"/>
    <n v="11"/>
    <n v="11"/>
    <s v="No"/>
    <d v="2023-01-02T00:00:00"/>
    <x v="2"/>
    <x v="3"/>
    <s v="Vancouver"/>
    <s v="Americas - Canada - Vancouver"/>
    <s v="Consumer"/>
    <x v="3"/>
    <x v="8"/>
    <x v="1"/>
    <x v="486"/>
    <n v="1008.16"/>
    <n v="2077.5"/>
    <n v="2077.5"/>
    <s v="High"/>
    <n v="7.3999999999999996E-2"/>
    <n v="7.3999999999999996E-2"/>
    <s v="No"/>
    <n v="15"/>
    <n v="28856.475000000002"/>
    <n v="15122.4"/>
    <n v="13734.075000000003"/>
    <n v="0.47594430712691005"/>
    <n v="7.3999999999999996E-2"/>
    <n v="15"/>
    <n v="1008.16"/>
    <n v="28856.475000000002"/>
    <n v="13734.075000000003"/>
  </r>
  <r>
    <s v="ORD-2024-973420"/>
    <d v="2024-05-12T00:00:00"/>
    <x v="393"/>
    <s v="Q2-2024"/>
    <d v="2024-05-24T00:00:00"/>
    <d v="2024-05-24T00:00:00"/>
    <n v="12"/>
    <n v="12"/>
    <s v="No"/>
    <d v="2023-01-19T00:00:00"/>
    <x v="3"/>
    <x v="8"/>
    <s v="Manchester"/>
    <s v="Europe - United Kingdom - Manchester"/>
    <s v="Education"/>
    <x v="2"/>
    <x v="11"/>
    <x v="1"/>
    <x v="487"/>
    <n v="111.02"/>
    <n v="172.88"/>
    <n v="172.88"/>
    <s v="Low"/>
    <n v="0.19700000000000001"/>
    <n v="0.19700000000000001"/>
    <s v="No"/>
    <n v="29"/>
    <n v="4025.8565599999993"/>
    <n v="3219.58"/>
    <n v="806.27655999999934"/>
    <n v="0.20027453735212053"/>
    <n v="0.19700000000000001"/>
    <n v="29"/>
    <n v="111.02"/>
    <n v="4025.8565599999993"/>
    <n v="806.27655999999934"/>
  </r>
  <r>
    <s v="ORD-2025-254721"/>
    <d v="2025-05-15T00:00:00"/>
    <x v="394"/>
    <s v="Q2-2025"/>
    <d v="2025-06-05T00:00:00"/>
    <d v="2025-06-05T00:00:00"/>
    <n v="21"/>
    <n v="21"/>
    <s v="No"/>
    <d v="2023-03-03T00:00:00"/>
    <x v="1"/>
    <x v="2"/>
    <s v="Osaka"/>
    <s v="Asia - Japan - Osaka"/>
    <s v="Enterprise"/>
    <x v="4"/>
    <x v="10"/>
    <x v="3"/>
    <x v="488"/>
    <n v="1466.5"/>
    <n v="2778.74"/>
    <n v="2778.74"/>
    <s v="High"/>
    <n v="0.13500000000000001"/>
    <n v="0.13500000000000001"/>
    <s v="No"/>
    <n v="4"/>
    <n v="9614.4403999999995"/>
    <n v="5866"/>
    <n v="3748.4403999999995"/>
    <n v="0.38987608680792279"/>
    <n v="0.13500000000000001"/>
    <n v="4"/>
    <n v="1466.5"/>
    <n v="9614.4403999999995"/>
    <n v="3748.4403999999995"/>
  </r>
  <r>
    <s v="ORD-2024-247032"/>
    <d v="2024-04-21T00:00:00"/>
    <x v="395"/>
    <s v="Q2-2024"/>
    <d v="2024-05-19T00:00:00"/>
    <d v="2024-05-19T00:00:00"/>
    <n v="28"/>
    <n v="28"/>
    <s v="No"/>
    <d v="2023-01-15T00:00:00"/>
    <x v="0"/>
    <x v="1"/>
    <s v="Lagos"/>
    <s v="Africa - Nigeria - Lagos"/>
    <s v="Corporate"/>
    <x v="3"/>
    <x v="8"/>
    <x v="6"/>
    <x v="489"/>
    <n v="187.22"/>
    <n v="309.47000000000003"/>
    <n v="309.47000000000003"/>
    <s v="Low"/>
    <n v="0"/>
    <n v="0"/>
    <s v="No"/>
    <n v="5"/>
    <n v="1547.3500000000001"/>
    <n v="936.1"/>
    <n v="611.25000000000011"/>
    <n v="0.39503021294471197"/>
    <n v="0"/>
    <n v="5"/>
    <n v="187.22"/>
    <n v="1547.3500000000001"/>
    <n v="611.25000000000011"/>
  </r>
  <r>
    <s v="ORD-2024-792353"/>
    <d v="2024-08-19T00:00:00"/>
    <x v="396"/>
    <s v="Q3-2024"/>
    <d v="2024-09-07T00:00:00"/>
    <d v="2024-09-07T00:00:00"/>
    <n v="19"/>
    <n v="19"/>
    <s v="No"/>
    <d v="2023-01-10T00:00:00"/>
    <x v="3"/>
    <x v="7"/>
    <s v="Lyon"/>
    <s v="Europe - France - Lyon"/>
    <s v="Corporate"/>
    <x v="4"/>
    <x v="1"/>
    <x v="0"/>
    <x v="490"/>
    <n v="297.58999999999997"/>
    <n v="666.41"/>
    <n v="666.41"/>
    <s v="Low"/>
    <n v="0"/>
    <n v="0"/>
    <s v="No"/>
    <n v="10"/>
    <n v="6664.0999999999995"/>
    <n v="2975.8999999999996"/>
    <n v="3688.2"/>
    <n v="0.55344307558409989"/>
    <n v="0"/>
    <n v="10"/>
    <n v="297.58999999999997"/>
    <n v="6664.0999999999995"/>
    <n v="3688.2"/>
  </r>
  <r>
    <s v="ORD-2025-703623"/>
    <d v="2025-07-23T00:00:00"/>
    <x v="319"/>
    <s v="Q3-2025"/>
    <d v="2025-08-19T00:00:00"/>
    <d v="2025-08-19T00:00:00"/>
    <n v="27"/>
    <n v="27"/>
    <s v="No"/>
    <d v="2023-03-03T00:00:00"/>
    <x v="1"/>
    <x v="2"/>
    <s v="Nagoya"/>
    <s v="Asia - Japan - Nagoya"/>
    <s v="Consumer"/>
    <x v="2"/>
    <x v="5"/>
    <x v="6"/>
    <x v="491"/>
    <n v="896.09"/>
    <n v="744.27"/>
    <n v="744.27"/>
    <s v="Low"/>
    <n v="8.3000000000000004E-2"/>
    <n v="8.3000000000000004E-2"/>
    <s v="No"/>
    <n v="11"/>
    <n v="7507.4514899999995"/>
    <n v="9856.99"/>
    <n v="-2349.5385100000003"/>
    <n v="-0.31296086469950679"/>
    <n v="8.3000000000000004E-2"/>
    <n v="11"/>
    <n v="896.09"/>
    <n v="7507.4514899999995"/>
    <n v="-2349.5385100000003"/>
  </r>
  <r>
    <s v="ORD-2024-516704"/>
    <d v="2024-03-01T00:00:00"/>
    <x v="397"/>
    <s v="Q1-2024"/>
    <d v="2024-02-29T00:00:00"/>
    <d v="2024-03-14T00:00:00"/>
    <n v="-1"/>
    <n v="13"/>
    <s v="No"/>
    <d v="2023-01-29T00:00:00"/>
    <x v="2"/>
    <x v="5"/>
    <s v="São Paulo"/>
    <s v="Americas - Brazil - São Paulo"/>
    <s v="Non-Profit"/>
    <x v="4"/>
    <x v="2"/>
    <x v="3"/>
    <x v="492"/>
    <n v="5.34"/>
    <n v="12.69"/>
    <n v="12.69"/>
    <s v="Low"/>
    <n v="0.13200000000000001"/>
    <n v="0.13200000000000001"/>
    <s v="No"/>
    <n v="10"/>
    <n v="110.14919999999999"/>
    <n v="53.4"/>
    <n v="56.749199999999995"/>
    <n v="0.51520301554618642"/>
    <n v="0.13200000000000001"/>
    <n v="10"/>
    <n v="5.34"/>
    <n v="110.14919999999999"/>
    <n v="56.749199999999995"/>
  </r>
  <r>
    <s v="ORD-2024-578646"/>
    <d v="2024-05-27T00:00:00"/>
    <x v="398"/>
    <s v="Q2-2024"/>
    <d v="2024-06-17T00:00:00"/>
    <d v="2024-06-17T00:00:00"/>
    <n v="21"/>
    <n v="21"/>
    <s v="No"/>
    <d v="2023-01-29T00:00:00"/>
    <x v="1"/>
    <x v="4"/>
    <s v="Delhi"/>
    <s v="Asia - India - Delhi"/>
    <s v="Small Business"/>
    <x v="1"/>
    <x v="10"/>
    <x v="6"/>
    <x v="493"/>
    <n v="465.02"/>
    <n v="651.55999999999995"/>
    <n v="651.55999999999995"/>
    <s v="Low"/>
    <n v="4.2000000000000003E-2"/>
    <n v="4.2000000000000003E-2"/>
    <s v="No"/>
    <n v="19"/>
    <n v="11859.695119999998"/>
    <n v="8835.3799999999992"/>
    <n v="3024.3151199999993"/>
    <n v="0.25500783025187918"/>
    <n v="4.2000000000000003E-2"/>
    <n v="19"/>
    <n v="465.02"/>
    <n v="11859.695119999998"/>
    <n v="3024.3151199999993"/>
  </r>
  <r>
    <s v="ORD-2024-433936"/>
    <d v="2024-08-04T00:00:00"/>
    <x v="399"/>
    <s v="Q3-2024"/>
    <d v="2024-08-17T00:00:00"/>
    <d v="2024-08-17T00:00:00"/>
    <n v="13"/>
    <n v="13"/>
    <s v="No"/>
    <d v="2023-01-13T00:00:00"/>
    <x v="2"/>
    <x v="10"/>
    <s v="Austin"/>
    <s v="Americas - USA - Austin"/>
    <s v="Consumer"/>
    <x v="0"/>
    <x v="14"/>
    <x v="5"/>
    <x v="494"/>
    <n v="352.79"/>
    <n v="754.22"/>
    <n v="754.22"/>
    <s v="Low"/>
    <n v="0.113"/>
    <n v="0.113"/>
    <s v="No"/>
    <n v="7"/>
    <n v="4682.9519799999998"/>
    <n v="2469.5300000000002"/>
    <n v="2213.4219799999996"/>
    <n v="0.47265528014233443"/>
    <n v="0.113"/>
    <n v="7"/>
    <n v="352.79"/>
    <n v="4682.9519799999998"/>
    <n v="2213.4219799999996"/>
  </r>
  <r>
    <s v="ORD-2023-434071"/>
    <d v="2023-06-20T00:00:00"/>
    <x v="264"/>
    <s v="Q2-2023"/>
    <d v="2023-07-04T00:00:00"/>
    <d v="2023-07-04T00:00:00"/>
    <n v="14"/>
    <n v="14"/>
    <s v="No"/>
    <d v="2023-01-29T00:00:00"/>
    <x v="2"/>
    <x v="5"/>
    <s v="Brasília"/>
    <s v="Americas - Brazil - Brasília"/>
    <s v="Non-Profit"/>
    <x v="4"/>
    <x v="0"/>
    <x v="2"/>
    <x v="495"/>
    <n v="1292.8599999999999"/>
    <n v="2981.01"/>
    <n v="2981.01"/>
    <s v="High"/>
    <n v="0.14199999999999999"/>
    <n v="0.14199999999999999"/>
    <s v="No"/>
    <n v="12"/>
    <n v="30692.47896"/>
    <n v="15514.32"/>
    <n v="15178.158960000001"/>
    <n v="0.49452372288927687"/>
    <n v="0.14199999999999999"/>
    <n v="12"/>
    <n v="1292.8599999999999"/>
    <n v="30692.47896"/>
    <n v="15178.158960000001"/>
  </r>
  <r>
    <s v="ORD-2024-728474"/>
    <d v="2024-09-09T00:00:00"/>
    <x v="191"/>
    <s v="Q3-2024"/>
    <d v="2024-09-13T00:00:00"/>
    <d v="2024-09-13T00:00:00"/>
    <n v="4"/>
    <n v="4"/>
    <s v="Yes"/>
    <d v="2023-01-19T00:00:00"/>
    <x v="3"/>
    <x v="8"/>
    <s v="London"/>
    <s v="Europe - United Kingdom - London"/>
    <s v="Consumer"/>
    <x v="2"/>
    <x v="9"/>
    <x v="2"/>
    <x v="496"/>
    <n v="1133.08"/>
    <n v="976.17"/>
    <n v="976.17"/>
    <s v="Medium"/>
    <n v="4.2000000000000003E-2"/>
    <n v="4.2000000000000003E-2"/>
    <s v="No"/>
    <n v="27"/>
    <n v="25249.613219999999"/>
    <n v="30593.159999999996"/>
    <n v="-5343.5467799999969"/>
    <n v="-0.21162885678452373"/>
    <n v="4.2000000000000003E-2"/>
    <n v="27"/>
    <n v="1133.08"/>
    <n v="25249.613219999999"/>
    <n v="-5343.5467799999969"/>
  </r>
  <r>
    <s v="ORD-2023-406606"/>
    <d v="2023-10-25T00:00:00"/>
    <x v="391"/>
    <s v="Q4-2023"/>
    <d v="2023-10-28T00:00:00"/>
    <d v="2023-10-28T00:00:00"/>
    <n v="3"/>
    <n v="3"/>
    <s v="Yes"/>
    <d v="2023-01-29T00:00:00"/>
    <x v="2"/>
    <x v="5"/>
    <s v="Brasília"/>
    <s v="Americas - Brazil - Brasília"/>
    <s v="Corporate"/>
    <x v="3"/>
    <x v="4"/>
    <x v="6"/>
    <x v="497"/>
    <n v="509.31"/>
    <n v="1145.9000000000001"/>
    <n v="1145.9000000000001"/>
    <s v="Medium"/>
    <n v="5.7000000000000002E-2"/>
    <n v="5.7000000000000002E-2"/>
    <s v="No"/>
    <n v="8"/>
    <n v="8644.6696000000011"/>
    <n v="4074.48"/>
    <n v="4570.1896000000015"/>
    <n v="0.52867140231709964"/>
    <n v="5.7000000000000002E-2"/>
    <n v="8"/>
    <n v="509.31"/>
    <n v="8644.6696000000011"/>
    <n v="4570.1896000000015"/>
  </r>
  <r>
    <s v="ORD-2025-823055"/>
    <d v="2025-09-08T00:00:00"/>
    <x v="17"/>
    <s v="Q3-2025"/>
    <d v="2025-10-05T00:00:00"/>
    <d v="2025-10-05T00:00:00"/>
    <n v="27"/>
    <n v="27"/>
    <s v="No"/>
    <d v="2023-01-29T00:00:00"/>
    <x v="2"/>
    <x v="5"/>
    <s v="Rio de Janeiro"/>
    <s v="Americas - Brazil - Rio de Janeiro"/>
    <s v="Education"/>
    <x v="1"/>
    <x v="0"/>
    <x v="5"/>
    <x v="498"/>
    <n v="660.78"/>
    <n v="1630.39"/>
    <n v="1630.39"/>
    <s v="Medium"/>
    <n v="0.218"/>
    <n v="0.218"/>
    <s v="Yes"/>
    <n v="13"/>
    <n v="16574.544740000001"/>
    <n v="8590.14"/>
    <n v="7984.4047400000018"/>
    <n v="0.48172694123724097"/>
    <n v="0.218"/>
    <n v="13"/>
    <n v="660.78"/>
    <n v="16574.544740000001"/>
    <n v="7984.4047400000018"/>
  </r>
  <r>
    <s v="ORD-2023-573656"/>
    <d v="2023-05-02T00:00:00"/>
    <x v="129"/>
    <s v="Q2-2023"/>
    <d v="2023-05-16T00:00:00"/>
    <d v="2023-05-16T00:00:00"/>
    <n v="14"/>
    <n v="14"/>
    <s v="No"/>
    <d v="2023-01-29T00:00:00"/>
    <x v="1"/>
    <x v="4"/>
    <s v="Bengaluru"/>
    <s v="Asia - India - Bengaluru"/>
    <s v="Non-Profit"/>
    <x v="0"/>
    <x v="4"/>
    <x v="5"/>
    <x v="499"/>
    <n v="475.37"/>
    <n v="963.73"/>
    <n v="963.73"/>
    <s v="Medium"/>
    <n v="4.1000000000000002E-2"/>
    <n v="4.1000000000000002E-2"/>
    <s v="No"/>
    <n v="22"/>
    <n v="20332.775539999999"/>
    <n v="10458.14"/>
    <n v="9874.6355399999993"/>
    <n v="0.48565113604750881"/>
    <n v="4.1000000000000002E-2"/>
    <n v="22"/>
    <n v="475.37"/>
    <n v="20332.775539999999"/>
    <n v="9874.6355399999993"/>
  </r>
  <r>
    <s v="ORD-2024-567435"/>
    <d v="2024-04-26T00:00:00"/>
    <x v="400"/>
    <s v="Q2-2024"/>
    <d v="2024-04-24T00:00:00"/>
    <d v="2024-05-10T00:00:00"/>
    <n v="-2"/>
    <n v="14"/>
    <s v="No"/>
    <d v="2023-01-19T00:00:00"/>
    <x v="3"/>
    <x v="8"/>
    <s v="London"/>
    <s v="Europe - United Kingdom - London"/>
    <s v="Non-Profit"/>
    <x v="3"/>
    <x v="13"/>
    <x v="3"/>
    <x v="500"/>
    <n v="1232.77"/>
    <n v="891.73"/>
    <n v="891.73"/>
    <s v="Medium"/>
    <n v="0.16700000000000001"/>
    <n v="0.16700000000000001"/>
    <s v="No"/>
    <n v="10"/>
    <n v="7428.1108999999988"/>
    <n v="12327.7"/>
    <n v="-4899.589100000002"/>
    <n v="-0.65960096260813805"/>
    <n v="0.16700000000000001"/>
    <n v="10"/>
    <n v="1232.77"/>
    <n v="7428.1108999999988"/>
    <n v="-4899.589100000002"/>
  </r>
  <r>
    <s v="ORD-2023-744942"/>
    <d v="2023-02-23T00:00:00"/>
    <x v="29"/>
    <s v="Q1-2023"/>
    <d v="2023-03-18T00:00:00"/>
    <d v="2023-03-18T00:00:00"/>
    <n v="23"/>
    <n v="23"/>
    <s v="No"/>
    <d v="2023-01-12T00:00:00"/>
    <x v="1"/>
    <x v="9"/>
    <s v="Beijing"/>
    <s v="Asia - China - Beijing"/>
    <s v="Education"/>
    <x v="3"/>
    <x v="11"/>
    <x v="1"/>
    <x v="501"/>
    <n v="770.11"/>
    <n v="1667.82"/>
    <n v="1667.82"/>
    <s v="High"/>
    <n v="6.9000000000000006E-2"/>
    <n v="6.9000000000000006E-2"/>
    <s v="No"/>
    <n v="7"/>
    <n v="10869.182940000001"/>
    <n v="5390.77"/>
    <n v="5478.4129400000002"/>
    <n v="0.50403171703355287"/>
    <n v="6.9000000000000006E-2"/>
    <n v="7"/>
    <n v="770.11"/>
    <n v="10869.182940000001"/>
    <n v="5478.4129400000002"/>
  </r>
  <r>
    <s v="ORD-2025-331237"/>
    <d v="2025-03-24T00:00:00"/>
    <x v="401"/>
    <s v="Q1-2025"/>
    <d v="2025-03-25T00:00:00"/>
    <d v="2025-03-25T00:00:00"/>
    <n v="1"/>
    <n v="1"/>
    <s v="Yes"/>
    <d v="2023-01-12T00:00:00"/>
    <x v="1"/>
    <x v="9"/>
    <s v="Beijing"/>
    <s v="Asia - China - Beijing"/>
    <s v="Non-Profit"/>
    <x v="1"/>
    <x v="3"/>
    <x v="2"/>
    <x v="502"/>
    <n v="1133.03"/>
    <n v="1921.51"/>
    <n v="1921.51"/>
    <s v="High"/>
    <n v="0.10100000000000001"/>
    <n v="0.10100000000000001"/>
    <s v="No"/>
    <n v="5"/>
    <n v="8637.1874499999994"/>
    <n v="5665.15"/>
    <n v="2972.0374499999998"/>
    <n v="0.3440978289755654"/>
    <n v="0.10100000000000001"/>
    <n v="5"/>
    <n v="1133.03"/>
    <n v="8637.1874499999994"/>
    <n v="2972.0374499999998"/>
  </r>
  <r>
    <s v="ORD-2025-680118"/>
    <d v="2025-03-10T00:00:00"/>
    <x v="402"/>
    <s v="Q1-2025"/>
    <d v="2025-03-27T00:00:00"/>
    <d v="2025-03-27T00:00:00"/>
    <n v="17"/>
    <n v="17"/>
    <s v="No"/>
    <d v="2023-01-29T00:00:00"/>
    <x v="2"/>
    <x v="5"/>
    <s v="Rio de Janeiro"/>
    <s v="Americas - Brazil - Rio de Janeiro"/>
    <s v="Enterprise"/>
    <x v="4"/>
    <x v="9"/>
    <x v="2"/>
    <x v="503"/>
    <n v="996.73"/>
    <n v="1217.43"/>
    <n v="1217.43"/>
    <s v="Medium"/>
    <n v="7.0000000000000007E-2"/>
    <n v="7.0000000000000007E-2"/>
    <s v="No"/>
    <n v="9"/>
    <n v="10189.8891"/>
    <n v="8970.57"/>
    <n v="1219.3191000000006"/>
    <n v="0.11965970267527255"/>
    <n v="7.0000000000000007E-2"/>
    <n v="9"/>
    <n v="996.73"/>
    <n v="10189.8891"/>
    <n v="1219.3191000000006"/>
  </r>
  <r>
    <s v="ORD-2024-310809"/>
    <d v="2024-04-05T00:00:00"/>
    <x v="403"/>
    <s v="Q2-2024"/>
    <d v="2024-04-09T00:00:00"/>
    <d v="2024-04-09T00:00:00"/>
    <n v="4"/>
    <n v="4"/>
    <s v="Yes"/>
    <d v="2023-01-15T00:00:00"/>
    <x v="0"/>
    <x v="1"/>
    <s v="Lagos"/>
    <s v="Africa - Nigeria - Lagos"/>
    <s v="Non-Profit"/>
    <x v="4"/>
    <x v="11"/>
    <x v="0"/>
    <x v="504"/>
    <n v="395.07"/>
    <n v="970.27"/>
    <n v="970.27"/>
    <s v="Medium"/>
    <n v="0.123"/>
    <n v="0.123"/>
    <s v="No"/>
    <n v="38"/>
    <n v="32335.21802"/>
    <n v="15012.66"/>
    <n v="17322.55802"/>
    <n v="0.53571799049833657"/>
    <n v="0.123"/>
    <n v="38"/>
    <n v="395.07"/>
    <n v="32335.21802"/>
    <n v="17322.55802"/>
  </r>
  <r>
    <s v="ORD-2025-474368"/>
    <d v="2025-04-27T00:00:00"/>
    <x v="60"/>
    <s v="Q2-2025"/>
    <d v="2025-05-17T00:00:00"/>
    <d v="2025-05-17T00:00:00"/>
    <n v="20"/>
    <n v="20"/>
    <s v="No"/>
    <d v="2023-01-13T00:00:00"/>
    <x v="2"/>
    <x v="10"/>
    <s v="Austin"/>
    <s v="Americas - USA - Austin"/>
    <s v="Corporate"/>
    <x v="4"/>
    <x v="13"/>
    <x v="3"/>
    <x v="505"/>
    <n v="932.26"/>
    <n v="1624.67"/>
    <n v="1624.67"/>
    <s v="Medium"/>
    <n v="0.23499999999999999"/>
    <n v="0.23499999999999999"/>
    <s v="Yes"/>
    <n v="28"/>
    <n v="34800.431400000001"/>
    <n v="26103.279999999999"/>
    <n v="8697.1514000000025"/>
    <n v="0.24991504559337163"/>
    <n v="0.23499999999999999"/>
    <n v="28"/>
    <n v="932.26"/>
    <n v="34800.431400000001"/>
    <n v="8697.1514000000025"/>
  </r>
  <r>
    <s v="ORD-2024-732543"/>
    <d v="2024-10-24T00:00:00"/>
    <x v="404"/>
    <s v="Q4-2024"/>
    <d v="2024-10-28T00:00:00"/>
    <d v="2024-10-28T00:00:00"/>
    <n v="4"/>
    <n v="4"/>
    <s v="Yes"/>
    <d v="2023-01-12T00:00:00"/>
    <x v="1"/>
    <x v="9"/>
    <s v="Shanghai"/>
    <s v="Asia - China - Shanghai"/>
    <s v="Small Business"/>
    <x v="3"/>
    <x v="2"/>
    <x v="2"/>
    <x v="506"/>
    <n v="1331.77"/>
    <n v="2606.11"/>
    <n v="2606.11"/>
    <s v="High"/>
    <n v="0.02"/>
    <n v="0.02"/>
    <s v="No"/>
    <n v="6"/>
    <n v="15323.926799999999"/>
    <n v="7990.62"/>
    <n v="7333.3067999999994"/>
    <n v="0.47855271665745619"/>
    <n v="0.02"/>
    <n v="6"/>
    <n v="1331.77"/>
    <n v="15323.926799999999"/>
    <n v="7333.3067999999994"/>
  </r>
  <r>
    <s v="ORD-2023-867166"/>
    <d v="2023-04-13T00:00:00"/>
    <x v="290"/>
    <s v="Q2-2023"/>
    <d v="2023-04-20T00:00:00"/>
    <d v="2023-04-20T00:00:00"/>
    <n v="7"/>
    <n v="7"/>
    <s v="Yes"/>
    <d v="2023-01-10T00:00:00"/>
    <x v="3"/>
    <x v="7"/>
    <s v="Lyon"/>
    <s v="Europe - France - Lyon"/>
    <s v="Small Business"/>
    <x v="1"/>
    <x v="8"/>
    <x v="4"/>
    <x v="507"/>
    <n v="227.02"/>
    <n v="434.72"/>
    <n v="434.72"/>
    <s v="Low"/>
    <n v="9.8000000000000004E-2"/>
    <n v="9.8000000000000004E-2"/>
    <s v="No"/>
    <n v="10"/>
    <n v="3921.1744000000008"/>
    <n v="2270.2000000000003"/>
    <n v="1650.9744000000005"/>
    <n v="0.42104079838938052"/>
    <n v="9.8000000000000004E-2"/>
    <n v="10"/>
    <n v="227.02"/>
    <n v="3921.1744000000008"/>
    <n v="1650.9744000000005"/>
  </r>
  <r>
    <s v="ORD-2024-776337"/>
    <d v="2024-11-12T00:00:00"/>
    <x v="405"/>
    <s v="Q4-2024"/>
    <d v="2024-11-21T00:00:00"/>
    <d v="2024-11-21T00:00:00"/>
    <n v="9"/>
    <n v="9"/>
    <s v="No"/>
    <d v="2023-01-29T00:00:00"/>
    <x v="1"/>
    <x v="4"/>
    <s v="Mumbai"/>
    <s v="Asia - India - Mumbai"/>
    <s v="Corporate"/>
    <x v="4"/>
    <x v="10"/>
    <x v="4"/>
    <x v="508"/>
    <n v="903.41"/>
    <n v="1860.41"/>
    <n v="1860.41"/>
    <s v="High"/>
    <n v="0.108"/>
    <n v="0.108"/>
    <s v="No"/>
    <n v="5"/>
    <n v="8297.4286000000011"/>
    <n v="4517.05"/>
    <n v="3780.3786000000009"/>
    <n v="0.455608451996803"/>
    <n v="0.108"/>
    <n v="5"/>
    <n v="903.41"/>
    <n v="8297.4286000000011"/>
    <n v="3780.3786000000009"/>
  </r>
  <r>
    <s v="ORD-2023-913592"/>
    <d v="2023-05-10T00:00:00"/>
    <x v="406"/>
    <s v="Q2-2023"/>
    <d v="2023-05-14T00:00:00"/>
    <d v="2023-05-14T00:00:00"/>
    <n v="4"/>
    <n v="4"/>
    <s v="Yes"/>
    <d v="2023-01-29T00:00:00"/>
    <x v="1"/>
    <x v="4"/>
    <s v="Delhi"/>
    <s v="Asia - India - Delhi"/>
    <s v="Non-Profit"/>
    <x v="3"/>
    <x v="0"/>
    <x v="5"/>
    <x v="509"/>
    <n v="622.6"/>
    <n v="833.69"/>
    <n v="833.69"/>
    <s v="Medium"/>
    <n v="0.20899999999999999"/>
    <n v="0.20899999999999999"/>
    <s v="Yes"/>
    <n v="14"/>
    <n v="9232.2830599999998"/>
    <n v="8716.4"/>
    <n v="515.88306000000011"/>
    <n v="5.5878167582959715E-2"/>
    <n v="0.20899999999999999"/>
    <n v="14"/>
    <n v="622.6"/>
    <n v="9232.2830599999998"/>
    <n v="515.88306000000011"/>
  </r>
  <r>
    <s v="ORD-2024-961501"/>
    <d v="2024-03-02T00:00:00"/>
    <x v="263"/>
    <s v="Q1-2024"/>
    <d v="2024-03-23T00:00:00"/>
    <d v="2024-03-23T00:00:00"/>
    <n v="21"/>
    <n v="21"/>
    <s v="No"/>
    <d v="2023-01-13T00:00:00"/>
    <x v="2"/>
    <x v="10"/>
    <s v="Chicago"/>
    <s v="Americas - USA - Chicago"/>
    <s v="Small Business"/>
    <x v="1"/>
    <x v="9"/>
    <x v="0"/>
    <x v="510"/>
    <n v="225.01"/>
    <n v="333.48"/>
    <n v="333.48"/>
    <s v="Low"/>
    <n v="0.11899999999999999"/>
    <n v="0.11899999999999999"/>
    <s v="No"/>
    <n v="12"/>
    <n v="3525.5505600000001"/>
    <n v="2700.12"/>
    <n v="825.43056000000024"/>
    <n v="0.23412813004729685"/>
    <n v="0.11899999999999999"/>
    <n v="12"/>
    <n v="225.01"/>
    <n v="3525.5505600000001"/>
    <n v="825.43056000000024"/>
  </r>
  <r>
    <s v="ORD-2024-964950"/>
    <d v="2024-10-10T00:00:00"/>
    <x v="407"/>
    <s v="Q4-2024"/>
    <d v="2024-10-11T00:00:00"/>
    <d v="2024-10-11T00:00:00"/>
    <n v="1"/>
    <n v="1"/>
    <s v="Yes"/>
    <d v="2023-01-19T00:00:00"/>
    <x v="3"/>
    <x v="8"/>
    <s v="Manchester"/>
    <s v="Europe - United Kingdom - Manchester"/>
    <s v="Non-Profit"/>
    <x v="3"/>
    <x v="4"/>
    <x v="0"/>
    <x v="511"/>
    <n v="1389.46"/>
    <n v="1784.7"/>
    <n v="1784.7"/>
    <s v="High"/>
    <n v="0.14599999999999999"/>
    <n v="0.14599999999999999"/>
    <s v="No"/>
    <n v="33"/>
    <n v="50296.415399999998"/>
    <n v="45852.18"/>
    <n v="4444.2353999999978"/>
    <n v="8.8360877503011831E-2"/>
    <n v="0.14599999999999999"/>
    <n v="33"/>
    <n v="1389.46"/>
    <n v="50296.415399999998"/>
    <n v="4444.2353999999978"/>
  </r>
  <r>
    <s v="ORD-2023-349264"/>
    <d v="2023-06-01T00:00:00"/>
    <x v="408"/>
    <s v="Q2-2023"/>
    <d v="2023-06-08T00:00:00"/>
    <d v="2023-06-08T00:00:00"/>
    <n v="7"/>
    <n v="7"/>
    <s v="Yes"/>
    <d v="2023-01-22T00:00:00"/>
    <x v="3"/>
    <x v="6"/>
    <s v="Frankfurt"/>
    <s v="Europe - Germany - Frankfurt"/>
    <s v="Consumer"/>
    <x v="1"/>
    <x v="8"/>
    <x v="3"/>
    <x v="512"/>
    <n v="804.17"/>
    <n v="1072.29"/>
    <n v="1072.29"/>
    <s v="Medium"/>
    <n v="3.2000000000000001E-2"/>
    <n v="3.2000000000000001E-2"/>
    <s v="No"/>
    <n v="5"/>
    <n v="5189.8836000000001"/>
    <n v="4020.85"/>
    <n v="1169.0336000000002"/>
    <n v="0.2252523736755869"/>
    <n v="3.2000000000000001E-2"/>
    <n v="5"/>
    <n v="804.17"/>
    <n v="5189.8836000000001"/>
    <n v="1169.0336000000002"/>
  </r>
  <r>
    <s v="ORD-2025-137394"/>
    <d v="2025-01-04T00:00:00"/>
    <x v="409"/>
    <s v="Q1-2025"/>
    <d v="2025-01-05T00:00:00"/>
    <d v="2025-01-05T00:00:00"/>
    <n v="1"/>
    <n v="1"/>
    <s v="Yes"/>
    <d v="2023-01-29T00:00:00"/>
    <x v="1"/>
    <x v="4"/>
    <s v="Delhi"/>
    <s v="Asia - India - Delhi"/>
    <s v="Education"/>
    <x v="0"/>
    <x v="2"/>
    <x v="0"/>
    <x v="513"/>
    <n v="1428.33"/>
    <n v="3028.05"/>
    <n v="3028.05"/>
    <s v="High"/>
    <n v="0"/>
    <n v="0"/>
    <s v="No"/>
    <n v="11"/>
    <n v="33308.550000000003"/>
    <n v="15711.63"/>
    <n v="17596.920000000006"/>
    <n v="0.52830039134096207"/>
    <n v="0"/>
    <n v="11"/>
    <n v="1428.33"/>
    <n v="33308.550000000003"/>
    <n v="17596.920000000006"/>
  </r>
  <r>
    <s v="ORD-2025-635337"/>
    <d v="2025-08-05T00:00:00"/>
    <x v="117"/>
    <s v="Q3-2025"/>
    <d v="2025-08-28T00:00:00"/>
    <d v="2025-08-28T00:00:00"/>
    <n v="23"/>
    <n v="23"/>
    <s v="No"/>
    <d v="2023-01-29T00:00:00"/>
    <x v="1"/>
    <x v="4"/>
    <s v="Mumbai"/>
    <s v="Asia - India - Mumbai"/>
    <s v="Non-Profit"/>
    <x v="3"/>
    <x v="13"/>
    <x v="4"/>
    <x v="514"/>
    <n v="638.54"/>
    <n v="987.24"/>
    <n v="987.24"/>
    <s v="Medium"/>
    <n v="0"/>
    <n v="0"/>
    <s v="No"/>
    <n v="11"/>
    <n v="10859.64"/>
    <n v="7023.94"/>
    <n v="3835.7"/>
    <n v="0.35320692030306716"/>
    <n v="0"/>
    <n v="11"/>
    <n v="638.54"/>
    <n v="10859.64"/>
    <n v="3835.7"/>
  </r>
  <r>
    <s v="ORD-2023-568013"/>
    <d v="2023-09-30T00:00:00"/>
    <x v="323"/>
    <s v="Q3-2023"/>
    <d v="2023-10-30T00:00:00"/>
    <d v="2023-10-30T00:00:00"/>
    <n v="30"/>
    <n v="30"/>
    <s v="No"/>
    <d v="2023-03-03T00:00:00"/>
    <x v="1"/>
    <x v="2"/>
    <s v="Tokyo"/>
    <s v="Asia - Japan - Tokyo"/>
    <s v="Enterprise"/>
    <x v="1"/>
    <x v="14"/>
    <x v="1"/>
    <x v="515"/>
    <n v="649.13"/>
    <n v="975.43"/>
    <n v="975.43"/>
    <s v="Medium"/>
    <n v="0.157"/>
    <n v="0.157"/>
    <s v="No"/>
    <n v="27"/>
    <n v="22201.762229999997"/>
    <n v="17526.509999999998"/>
    <n v="4675.2522299999982"/>
    <n v="0.21058023149543473"/>
    <n v="0.157"/>
    <n v="27"/>
    <n v="649.13"/>
    <n v="22201.762229999997"/>
    <n v="4675.2522299999982"/>
  </r>
  <r>
    <s v="ORD-2025-828263"/>
    <d v="2025-05-17T00:00:00"/>
    <x v="253"/>
    <s v="Q2-2025"/>
    <d v="2025-05-30T00:00:00"/>
    <d v="2025-05-30T00:00:00"/>
    <n v="13"/>
    <n v="13"/>
    <s v="No"/>
    <d v="2023-01-15T00:00:00"/>
    <x v="0"/>
    <x v="1"/>
    <s v="Lagos"/>
    <s v="Africa - Nigeria - Lagos"/>
    <s v="Consumer"/>
    <x v="3"/>
    <x v="9"/>
    <x v="6"/>
    <x v="516"/>
    <n v="66.400000000000006"/>
    <n v="141.43"/>
    <n v="141.43"/>
    <s v="Low"/>
    <n v="0.107"/>
    <n v="0.107"/>
    <s v="No"/>
    <n v="8"/>
    <n v="1010.3759200000001"/>
    <n v="531.20000000000005"/>
    <n v="479.17592000000002"/>
    <n v="0.47425508715607551"/>
    <n v="0.107"/>
    <n v="8"/>
    <n v="66.400000000000006"/>
    <n v="1010.3759200000001"/>
    <n v="479.17592000000002"/>
  </r>
  <r>
    <s v="ORD-2024-402240"/>
    <d v="2024-05-01T00:00:00"/>
    <x v="372"/>
    <s v="Q2-2024"/>
    <d v="2024-05-26T00:00:00"/>
    <d v="2024-05-26T00:00:00"/>
    <n v="25"/>
    <n v="25"/>
    <s v="No"/>
    <d v="2023-01-22T00:00:00"/>
    <x v="3"/>
    <x v="6"/>
    <s v="Berlin"/>
    <s v="Europe - Germany - Berlin"/>
    <s v="Non-Profit"/>
    <x v="0"/>
    <x v="5"/>
    <x v="2"/>
    <x v="517"/>
    <n v="930.71"/>
    <n v="1625.42"/>
    <n v="1625.42"/>
    <s v="Medium"/>
    <n v="0.13800000000000001"/>
    <n v="0.13800000000000001"/>
    <s v="No"/>
    <n v="7"/>
    <n v="9807.7842799999999"/>
    <n v="6514.97"/>
    <n v="3292.8142799999996"/>
    <n v="0.33573477821231196"/>
    <n v="0.13800000000000001"/>
    <n v="7"/>
    <n v="930.71"/>
    <n v="9807.7842799999999"/>
    <n v="3292.8142799999996"/>
  </r>
  <r>
    <s v="ORD-2023-125739"/>
    <d v="2023-05-01T00:00:00"/>
    <x v="410"/>
    <s v="Q2-2023"/>
    <d v="2023-05-18T00:00:00"/>
    <d v="2023-05-18T00:00:00"/>
    <n v="17"/>
    <n v="17"/>
    <s v="No"/>
    <d v="2023-01-15T00:00:00"/>
    <x v="0"/>
    <x v="1"/>
    <s v="Port Harcourt"/>
    <s v="Africa - Nigeria - Port Harcourt"/>
    <s v="Corporate"/>
    <x v="4"/>
    <x v="9"/>
    <x v="0"/>
    <x v="518"/>
    <n v="327.97"/>
    <n v="299.94"/>
    <n v="299.94"/>
    <s v="Low"/>
    <n v="4.9000000000000002E-2"/>
    <n v="4.9000000000000002E-2"/>
    <s v="No"/>
    <n v="3"/>
    <n v="855.72881999999993"/>
    <n v="983.91000000000008"/>
    <n v="-128.18118000000015"/>
    <n v="-0.14979182306843442"/>
    <n v="4.9000000000000002E-2"/>
    <n v="3"/>
    <n v="327.97"/>
    <n v="855.72881999999993"/>
    <n v="-128.18118000000015"/>
  </r>
  <r>
    <s v="ORD-2024-892879"/>
    <d v="2024-07-09T00:00:00"/>
    <x v="411"/>
    <s v="Q3-2024"/>
    <d v="2024-08-08T00:00:00"/>
    <d v="2024-08-08T00:00:00"/>
    <n v="30"/>
    <n v="30"/>
    <s v="No"/>
    <d v="2023-01-10T00:00:00"/>
    <x v="3"/>
    <x v="7"/>
    <s v="Marseille"/>
    <s v="Europe - France - Marseille"/>
    <s v="Corporate"/>
    <x v="4"/>
    <x v="1"/>
    <x v="0"/>
    <x v="519"/>
    <n v="1062.3800000000001"/>
    <n v="1503.96"/>
    <n v="1503.96"/>
    <s v="Medium"/>
    <n v="0.18"/>
    <n v="0.18"/>
    <s v="No"/>
    <n v="6"/>
    <n v="7399.4832000000006"/>
    <n v="6374.2800000000007"/>
    <n v="1025.2031999999999"/>
    <n v="0.13855064905073369"/>
    <n v="0.18"/>
    <n v="6"/>
    <n v="1062.3800000000001"/>
    <n v="7399.4832000000006"/>
    <n v="1025.2031999999999"/>
  </r>
  <r>
    <s v="ORD-2023-472050"/>
    <d v="2023-05-10T00:00:00"/>
    <x v="406"/>
    <s v="Q2-2023"/>
    <d v="2023-05-27T00:00:00"/>
    <d v="2023-05-27T00:00:00"/>
    <n v="17"/>
    <n v="17"/>
    <s v="No"/>
    <d v="2023-01-29T00:00:00"/>
    <x v="1"/>
    <x v="4"/>
    <s v="Mumbai"/>
    <s v="Asia - India - Mumbai"/>
    <s v="Consumer"/>
    <x v="0"/>
    <x v="12"/>
    <x v="4"/>
    <x v="520"/>
    <n v="1286.1600000000001"/>
    <n v="3101.11"/>
    <n v="3101.11"/>
    <s v="High"/>
    <n v="0.1"/>
    <n v="0.1"/>
    <s v="No"/>
    <n v="23"/>
    <n v="64192.976999999999"/>
    <n v="29581.68"/>
    <n v="34611.296999999999"/>
    <n v="0.53917575749758417"/>
    <n v="0.1"/>
    <n v="23"/>
    <n v="1286.1600000000001"/>
    <n v="64192.976999999999"/>
    <n v="34611.296999999999"/>
  </r>
  <r>
    <s v="ORD-2024-468615"/>
    <d v="2024-07-09T00:00:00"/>
    <x v="411"/>
    <s v="Q3-2024"/>
    <d v="2024-07-12T00:00:00"/>
    <d v="2024-07-12T00:00:00"/>
    <n v="3"/>
    <n v="3"/>
    <s v="Yes"/>
    <d v="2023-01-12T00:00:00"/>
    <x v="1"/>
    <x v="9"/>
    <s v="Shanghai"/>
    <s v="Asia - China - Shanghai"/>
    <s v="Small Business"/>
    <x v="0"/>
    <x v="14"/>
    <x v="6"/>
    <x v="521"/>
    <n v="748.39"/>
    <n v="979.42"/>
    <n v="979.42"/>
    <s v="Medium"/>
    <n v="0"/>
    <n v="0"/>
    <s v="No"/>
    <n v="23"/>
    <n v="22526.66"/>
    <n v="17212.97"/>
    <n v="5313.6899999999987"/>
    <n v="0.23588450307324738"/>
    <n v="0"/>
    <n v="23"/>
    <n v="748.39"/>
    <n v="22526.66"/>
    <n v="5313.6899999999987"/>
  </r>
  <r>
    <s v="ORD-2024-833375"/>
    <d v="2024-04-24T00:00:00"/>
    <x v="412"/>
    <s v="Q2-2024"/>
    <d v="2024-05-10T00:00:00"/>
    <d v="2024-05-10T00:00:00"/>
    <n v="16"/>
    <n v="16"/>
    <s v="No"/>
    <d v="2023-01-20T00:00:00"/>
    <x v="0"/>
    <x v="0"/>
    <s v="Kisumu"/>
    <s v="Africa - Kenya - Kisumu"/>
    <s v="Non-Profit"/>
    <x v="1"/>
    <x v="13"/>
    <x v="5"/>
    <x v="522"/>
    <n v="513.30999999999995"/>
    <n v="1186.26"/>
    <n v="1186.26"/>
    <s v="Medium"/>
    <n v="9.4E-2"/>
    <n v="9.4E-2"/>
    <s v="No"/>
    <n v="15"/>
    <n v="16121.273400000002"/>
    <n v="7699.65"/>
    <n v="8421.6234000000022"/>
    <n v="0.52239194702820446"/>
    <n v="9.4E-2"/>
    <n v="15"/>
    <n v="513.30999999999995"/>
    <n v="16121.273400000002"/>
    <n v="8421.6234000000022"/>
  </r>
  <r>
    <s v="ORD-2024-206311"/>
    <d v="2024-01-13T00:00:00"/>
    <x v="94"/>
    <s v="Q1-2024"/>
    <d v="2024-01-15T00:00:00"/>
    <d v="2024-01-15T00:00:00"/>
    <n v="2"/>
    <n v="2"/>
    <s v="Yes"/>
    <d v="2023-01-13T00:00:00"/>
    <x v="2"/>
    <x v="10"/>
    <s v="San Francisco"/>
    <s v="Americas - USA - San Francisco"/>
    <s v="Non-Profit"/>
    <x v="4"/>
    <x v="6"/>
    <x v="0"/>
    <x v="523"/>
    <n v="1061.3699999999999"/>
    <n v="1938.33"/>
    <n v="1938.33"/>
    <s v="High"/>
    <n v="0.17"/>
    <n v="0.17"/>
    <s v="No"/>
    <n v="4"/>
    <n v="6435.2555999999995"/>
    <n v="4245.4799999999996"/>
    <n v="2189.7755999999999"/>
    <n v="0.34027795259600879"/>
    <n v="0.17"/>
    <n v="4"/>
    <n v="1061.3699999999999"/>
    <n v="6435.2555999999995"/>
    <n v="2189.7755999999999"/>
  </r>
  <r>
    <s v="ORD-2024-364080"/>
    <d v="2024-04-16T00:00:00"/>
    <x v="413"/>
    <s v="Q2-2024"/>
    <d v="2024-04-27T00:00:00"/>
    <d v="2024-04-27T00:00:00"/>
    <n v="11"/>
    <n v="11"/>
    <s v="No"/>
    <d v="2023-01-20T00:00:00"/>
    <x v="0"/>
    <x v="0"/>
    <s v="Nakuru"/>
    <s v="Africa - Kenya - Nakuru"/>
    <s v="Enterprise"/>
    <x v="1"/>
    <x v="14"/>
    <x v="1"/>
    <x v="524"/>
    <n v="401.3"/>
    <n v="826.47"/>
    <n v="826.47"/>
    <s v="Medium"/>
    <n v="0.22500000000000001"/>
    <n v="0.22500000000000001"/>
    <s v="Yes"/>
    <n v="13"/>
    <n v="8326.6852500000005"/>
    <n v="5216.9000000000005"/>
    <n v="3109.7852499999999"/>
    <n v="0.37347217489696755"/>
    <n v="0.22500000000000001"/>
    <n v="13"/>
    <n v="401.3"/>
    <n v="8326.6852500000005"/>
    <n v="3109.7852499999999"/>
  </r>
  <r>
    <s v="ORD-2025-460466"/>
    <d v="2025-02-07T00:00:00"/>
    <x v="414"/>
    <s v="Q1-2025"/>
    <d v="2025-02-16T00:00:00"/>
    <d v="2025-02-16T00:00:00"/>
    <n v="9"/>
    <n v="9"/>
    <s v="No"/>
    <d v="2023-01-15T00:00:00"/>
    <x v="0"/>
    <x v="1"/>
    <s v="Lagos"/>
    <s v="Africa - Nigeria - Lagos"/>
    <s v="Small Business"/>
    <x v="3"/>
    <x v="0"/>
    <x v="1"/>
    <x v="525"/>
    <n v="90.68"/>
    <n v="118.17"/>
    <n v="118.17"/>
    <s v="Low"/>
    <n v="0.13500000000000001"/>
    <n v="0.13500000000000001"/>
    <s v="No"/>
    <n v="21"/>
    <n v="2146.5580500000001"/>
    <n v="1904.2800000000002"/>
    <n v="242.27804999999989"/>
    <n v="0.11286815653552899"/>
    <n v="0.13500000000000001"/>
    <n v="21"/>
    <n v="90.68"/>
    <n v="2146.5580500000001"/>
    <n v="242.27804999999989"/>
  </r>
  <r>
    <s v="ORD-2023-700699"/>
    <d v="2023-01-12T00:00:00"/>
    <x v="415"/>
    <s v="Q1-2023"/>
    <d v="2023-01-26T00:00:00"/>
    <d v="2023-01-26T00:00:00"/>
    <n v="14"/>
    <n v="14"/>
    <s v="No"/>
    <d v="2023-01-12T00:00:00"/>
    <x v="1"/>
    <x v="9"/>
    <s v="Shenzhen"/>
    <s v="Asia - China - Shenzhen"/>
    <s v="Non-Profit"/>
    <x v="0"/>
    <x v="12"/>
    <x v="1"/>
    <x v="526"/>
    <n v="1083.0899999999999"/>
    <n v="1425.87"/>
    <n v="1425.87"/>
    <s v="Medium"/>
    <n v="0"/>
    <n v="0"/>
    <s v="No"/>
    <n v="8"/>
    <n v="11406.96"/>
    <n v="8664.7199999999993"/>
    <n v="2742.24"/>
    <n v="0.24040059752992909"/>
    <n v="0"/>
    <n v="8"/>
    <n v="1083.0899999999999"/>
    <n v="11406.96"/>
    <n v="2742.24"/>
  </r>
  <r>
    <s v="ORD-2024-713332"/>
    <d v="2024-06-05T00:00:00"/>
    <x v="416"/>
    <s v="Q2-2024"/>
    <d v="2024-06-23T00:00:00"/>
    <d v="2024-06-23T00:00:00"/>
    <n v="18"/>
    <n v="18"/>
    <s v="No"/>
    <d v="2023-01-20T00:00:00"/>
    <x v="0"/>
    <x v="0"/>
    <s v="Nairobi"/>
    <s v="Africa - Kenya - Nairobi"/>
    <s v="Consumer"/>
    <x v="3"/>
    <x v="14"/>
    <x v="4"/>
    <x v="527"/>
    <n v="1208.74"/>
    <n v="1594.78"/>
    <n v="1594.78"/>
    <s v="Medium"/>
    <n v="5.8999999999999997E-2"/>
    <n v="5.8999999999999997E-2"/>
    <s v="No"/>
    <n v="39"/>
    <n v="58526.83122"/>
    <n v="47140.86"/>
    <n v="11385.971219999999"/>
    <n v="0.1945427589817838"/>
    <n v="5.8999999999999997E-2"/>
    <n v="39"/>
    <n v="1208.74"/>
    <n v="58526.83122"/>
    <n v="11385.971219999999"/>
  </r>
  <r>
    <s v="ORD-2023-640022"/>
    <d v="2023-08-24T00:00:00"/>
    <x v="417"/>
    <s v="Q3-2023"/>
    <d v="2023-09-20T00:00:00"/>
    <d v="2023-09-20T00:00:00"/>
    <n v="27"/>
    <n v="27"/>
    <s v="No"/>
    <d v="2023-01-07T00:00:00"/>
    <x v="0"/>
    <x v="11"/>
    <s v="Durban"/>
    <s v="Africa - South Africa - Durban"/>
    <s v="Small Business"/>
    <x v="2"/>
    <x v="12"/>
    <x v="1"/>
    <x v="528"/>
    <n v="1399.64"/>
    <n v="3342.11"/>
    <n v="3342.11"/>
    <s v="High"/>
    <n v="0"/>
    <n v="0"/>
    <s v="No"/>
    <n v="10"/>
    <n v="33421.1"/>
    <n v="13996.400000000001"/>
    <n v="19424.699999999997"/>
    <n v="0.58121067229983447"/>
    <n v="0"/>
    <n v="10"/>
    <n v="1399.64"/>
    <n v="33421.1"/>
    <n v="19424.699999999997"/>
  </r>
  <r>
    <s v="ORD-2024-532184"/>
    <d v="2024-01-25T00:00:00"/>
    <x v="247"/>
    <s v="Q1-2024"/>
    <d v="2024-02-08T00:00:00"/>
    <d v="2024-02-08T00:00:00"/>
    <n v="14"/>
    <n v="14"/>
    <s v="No"/>
    <d v="2023-03-03T00:00:00"/>
    <x v="1"/>
    <x v="2"/>
    <s v="Osaka"/>
    <s v="Asia - Japan - Osaka"/>
    <s v="Consumer"/>
    <x v="2"/>
    <x v="2"/>
    <x v="2"/>
    <x v="529"/>
    <n v="937.16"/>
    <n v="1069.77"/>
    <n v="1069.77"/>
    <s v="Medium"/>
    <n v="3.7999999999999999E-2"/>
    <n v="3.7999999999999999E-2"/>
    <s v="No"/>
    <n v="9"/>
    <n v="9262.0686600000008"/>
    <n v="8434.44"/>
    <n v="827.62866000000031"/>
    <n v="8.9356783066645962E-2"/>
    <n v="3.7999999999999999E-2"/>
    <n v="9"/>
    <n v="937.16"/>
    <n v="9262.0686600000008"/>
    <n v="827.62866000000031"/>
  </r>
  <r>
    <s v="ORD-2025-926547"/>
    <d v="2025-03-11T00:00:00"/>
    <x v="418"/>
    <s v="Q1-2025"/>
    <d v="2025-03-26T00:00:00"/>
    <d v="2025-03-26T00:00:00"/>
    <n v="15"/>
    <n v="15"/>
    <s v="No"/>
    <d v="2023-01-22T00:00:00"/>
    <x v="3"/>
    <x v="6"/>
    <s v="Berlin"/>
    <s v="Europe - Germany - Berlin"/>
    <s v="Small Business"/>
    <x v="1"/>
    <x v="2"/>
    <x v="3"/>
    <x v="530"/>
    <n v="116.97"/>
    <n v="140.82"/>
    <n v="140.82"/>
    <s v="Low"/>
    <n v="0.122"/>
    <n v="0.122"/>
    <s v="No"/>
    <n v="5"/>
    <n v="618.19979999999987"/>
    <n v="584.85"/>
    <n v="33.349799999999846"/>
    <n v="5.3946636669891926E-2"/>
    <n v="0.122"/>
    <n v="5"/>
    <n v="116.97"/>
    <n v="618.19979999999987"/>
    <n v="33.349799999999846"/>
  </r>
  <r>
    <s v="ORD-2025-778145"/>
    <d v="2025-04-22T00:00:00"/>
    <x v="222"/>
    <s v="Q2-2025"/>
    <d v="2025-05-12T00:00:00"/>
    <d v="2025-05-12T00:00:00"/>
    <n v="20"/>
    <n v="20"/>
    <s v="No"/>
    <d v="2023-01-10T00:00:00"/>
    <x v="3"/>
    <x v="7"/>
    <s v="Lyon"/>
    <s v="Europe - France - Lyon"/>
    <s v="Enterprise"/>
    <x v="2"/>
    <x v="11"/>
    <x v="5"/>
    <x v="531"/>
    <n v="59.51"/>
    <n v="67.040000000000006"/>
    <n v="67.040000000000006"/>
    <s v="Low"/>
    <n v="0.114"/>
    <n v="0.114"/>
    <s v="No"/>
    <n v="9"/>
    <n v="534.57695999999999"/>
    <n v="535.59"/>
    <n v="-1.0130400000000463"/>
    <n v="-1.8950311663264469E-3"/>
    <n v="0.114"/>
    <n v="9"/>
    <n v="59.51"/>
    <n v="534.57695999999999"/>
    <n v="-1.0130400000000463"/>
  </r>
  <r>
    <s v="ORD-2023-525643"/>
    <d v="2023-08-17T00:00:00"/>
    <x v="419"/>
    <s v="Q3-2023"/>
    <d v="2023-09-03T00:00:00"/>
    <d v="2023-09-03T00:00:00"/>
    <n v="17"/>
    <n v="17"/>
    <s v="No"/>
    <d v="2023-01-07T00:00:00"/>
    <x v="0"/>
    <x v="11"/>
    <s v="Durban"/>
    <s v="Africa - South Africa - Durban"/>
    <s v="Enterprise"/>
    <x v="0"/>
    <x v="8"/>
    <x v="3"/>
    <x v="532"/>
    <n v="676.37"/>
    <n v="1276.67"/>
    <n v="1276.67"/>
    <s v="Medium"/>
    <n v="6.6000000000000003E-2"/>
    <n v="6.6000000000000003E-2"/>
    <s v="No"/>
    <n v="10"/>
    <n v="11924.0978"/>
    <n v="6763.7"/>
    <n v="5160.3977999999997"/>
    <n v="0.4327705027712872"/>
    <n v="6.6000000000000003E-2"/>
    <n v="10"/>
    <n v="676.37"/>
    <n v="11924.0978"/>
    <n v="5160.3977999999997"/>
  </r>
  <r>
    <s v="ORD-2025-312803"/>
    <d v="2025-06-24T00:00:00"/>
    <x v="35"/>
    <s v="Q2-2025"/>
    <d v="2025-07-14T00:00:00"/>
    <d v="2025-07-14T00:00:00"/>
    <n v="20"/>
    <n v="20"/>
    <s v="No"/>
    <d v="2023-01-07T00:00:00"/>
    <x v="0"/>
    <x v="11"/>
    <s v="Johannesburg"/>
    <s v="Africa - South Africa - Johannesburg"/>
    <s v="Enterprise"/>
    <x v="2"/>
    <x v="1"/>
    <x v="4"/>
    <x v="533"/>
    <n v="1151.06"/>
    <n v="2821.36"/>
    <n v="2821.36"/>
    <s v="High"/>
    <n v="0.248"/>
    <n v="0.248"/>
    <s v="Yes"/>
    <n v="20"/>
    <n v="42433.254400000005"/>
    <n v="23021.199999999997"/>
    <n v="19412.054400000008"/>
    <n v="0.45747267501594235"/>
    <n v="0.248"/>
    <n v="20"/>
    <n v="1151.06"/>
    <n v="42433.254400000005"/>
    <n v="19412.054400000008"/>
  </r>
  <r>
    <s v="ORD-2025-149156"/>
    <d v="2025-01-10T00:00:00"/>
    <x v="420"/>
    <s v="Q1-2025"/>
    <d v="2025-02-06T00:00:00"/>
    <d v="2025-02-06T00:00:00"/>
    <n v="27"/>
    <n v="27"/>
    <s v="No"/>
    <d v="2023-01-29T00:00:00"/>
    <x v="2"/>
    <x v="5"/>
    <s v="Brasília"/>
    <s v="Americas - Brazil - Brasília"/>
    <s v="Non-Profit"/>
    <x v="0"/>
    <x v="5"/>
    <x v="4"/>
    <x v="534"/>
    <n v="725.62"/>
    <n v="1559.19"/>
    <n v="1559.19"/>
    <s v="Medium"/>
    <n v="0.19"/>
    <n v="0.19"/>
    <s v="No"/>
    <n v="12"/>
    <n v="15155.326800000001"/>
    <n v="8707.44"/>
    <n v="6447.8868000000002"/>
    <n v="0.42545349797405885"/>
    <n v="0.19"/>
    <n v="12"/>
    <n v="725.62"/>
    <n v="15155.326800000001"/>
    <n v="6447.8868000000002"/>
  </r>
  <r>
    <s v="ORD-2023-215819"/>
    <d v="2023-07-01T00:00:00"/>
    <x v="306"/>
    <s v="Q3-2023"/>
    <d v="2023-07-11T00:00:00"/>
    <d v="2023-07-11T00:00:00"/>
    <n v="10"/>
    <n v="10"/>
    <s v="No"/>
    <d v="2023-01-10T00:00:00"/>
    <x v="3"/>
    <x v="7"/>
    <s v="Paris"/>
    <s v="Europe - France - Paris"/>
    <s v="Corporate"/>
    <x v="4"/>
    <x v="9"/>
    <x v="2"/>
    <x v="535"/>
    <n v="479.5"/>
    <n v="656.66"/>
    <n v="656.66"/>
    <s v="Low"/>
    <n v="0.14899999999999999"/>
    <n v="0.14899999999999999"/>
    <s v="No"/>
    <n v="14"/>
    <n v="7823.4472399999995"/>
    <n v="6713"/>
    <n v="1110.4472399999995"/>
    <n v="0.14193835606412289"/>
    <n v="0.14899999999999999"/>
    <n v="14"/>
    <n v="479.5"/>
    <n v="7823.4472399999995"/>
    <n v="1110.4472399999995"/>
  </r>
  <r>
    <s v="ORD-2024-353078"/>
    <d v="2024-08-16T00:00:00"/>
    <x v="421"/>
    <s v="Q3-2024"/>
    <d v="2024-08-26T00:00:00"/>
    <d v="2024-08-26T00:00:00"/>
    <n v="10"/>
    <n v="10"/>
    <s v="No"/>
    <d v="2023-01-13T00:00:00"/>
    <x v="2"/>
    <x v="10"/>
    <s v="Chicago"/>
    <s v="Americas - USA - Chicago"/>
    <s v="Corporate"/>
    <x v="3"/>
    <x v="4"/>
    <x v="4"/>
    <x v="387"/>
    <n v="1291.7"/>
    <n v="2657.84"/>
    <n v="2657.84"/>
    <s v="High"/>
    <n v="8.6999999999999994E-2"/>
    <n v="8.6999999999999994E-2"/>
    <s v="No"/>
    <n v="21"/>
    <n v="50958.766320000002"/>
    <n v="27125.7"/>
    <n v="23833.066320000002"/>
    <n v="0.46769315745083367"/>
    <n v="8.6999999999999994E-2"/>
    <n v="21"/>
    <n v="1291.7"/>
    <n v="50958.766320000002"/>
    <n v="23833.066320000002"/>
  </r>
  <r>
    <s v="ORD-2023-621393"/>
    <d v="2023-07-07T00:00:00"/>
    <x v="422"/>
    <s v="Q3-2023"/>
    <d v="2023-07-13T00:00:00"/>
    <d v="2023-07-13T00:00:00"/>
    <n v="6"/>
    <n v="6"/>
    <s v="Yes"/>
    <d v="2023-01-07T00:00:00"/>
    <x v="0"/>
    <x v="11"/>
    <s v="Cape Town"/>
    <s v="Africa - South Africa - Cape Town"/>
    <s v="Small Business"/>
    <x v="2"/>
    <x v="5"/>
    <x v="6"/>
    <x v="536"/>
    <n v="612.59"/>
    <n v="1424.74"/>
    <n v="1424.74"/>
    <s v="Medium"/>
    <n v="4.3999999999999997E-2"/>
    <n v="4.3999999999999997E-2"/>
    <s v="No"/>
    <n v="15"/>
    <n v="20430.771599999996"/>
    <n v="9188.85"/>
    <n v="11241.921599999996"/>
    <n v="0.55024459281802152"/>
    <n v="4.3999999999999997E-2"/>
    <n v="15"/>
    <n v="612.59"/>
    <n v="20430.771599999996"/>
    <n v="11241.921599999996"/>
  </r>
  <r>
    <s v="ORD-2023-974506"/>
    <d v="2023-12-28T00:00:00"/>
    <x v="423"/>
    <s v="Q4-2023"/>
    <d v="2024-01-01T00:00:00"/>
    <d v="2024-01-01T00:00:00"/>
    <n v="4"/>
    <n v="4"/>
    <s v="Yes"/>
    <d v="2023-01-07T00:00:00"/>
    <x v="0"/>
    <x v="11"/>
    <s v="Cape Town"/>
    <s v="Africa - South Africa - Cape Town"/>
    <s v="Education"/>
    <x v="3"/>
    <x v="8"/>
    <x v="1"/>
    <x v="537"/>
    <n v="1141.8"/>
    <n v="2318.7399999999998"/>
    <n v="2318.7399999999998"/>
    <s v="High"/>
    <n v="0.107"/>
    <n v="0.107"/>
    <s v="No"/>
    <n v="32"/>
    <n v="66260.314239999992"/>
    <n v="36537.599999999999"/>
    <n v="29722.714239999994"/>
    <n v="0.44857490612468304"/>
    <n v="0.107"/>
    <n v="32"/>
    <n v="1141.8"/>
    <n v="66260.314239999992"/>
    <n v="29722.714239999994"/>
  </r>
  <r>
    <s v="ORD-2023-811823"/>
    <d v="2023-01-26T00:00:00"/>
    <x v="424"/>
    <s v="Q1-2023"/>
    <d v="2023-02-15T00:00:00"/>
    <d v="2023-02-15T00:00:00"/>
    <n v="20"/>
    <n v="20"/>
    <s v="No"/>
    <d v="2023-01-22T00:00:00"/>
    <x v="3"/>
    <x v="6"/>
    <s v="Berlin"/>
    <s v="Europe - Germany - Berlin"/>
    <s v="Small Business"/>
    <x v="1"/>
    <x v="7"/>
    <x v="2"/>
    <x v="538"/>
    <n v="492.62"/>
    <n v="366.7"/>
    <n v="366.7"/>
    <s v="Low"/>
    <n v="8.8999999999999996E-2"/>
    <n v="8.8999999999999996E-2"/>
    <s v="No"/>
    <n v="10"/>
    <n v="3340.6370000000002"/>
    <n v="4926.2"/>
    <n v="-1585.5629999999996"/>
    <n v="-0.47462894052840809"/>
    <n v="8.8999999999999996E-2"/>
    <n v="10"/>
    <n v="492.62"/>
    <n v="3340.6370000000002"/>
    <n v="-1585.5629999999996"/>
  </r>
  <r>
    <s v="ORD-2023-286720"/>
    <d v="2023-07-08T00:00:00"/>
    <x v="425"/>
    <s v="Q3-2023"/>
    <d v="2023-07-09T00:00:00"/>
    <d v="2023-07-09T00:00:00"/>
    <n v="1"/>
    <n v="1"/>
    <s v="Yes"/>
    <d v="2023-01-20T00:00:00"/>
    <x v="0"/>
    <x v="0"/>
    <s v="Nairobi"/>
    <s v="Africa - Kenya - Nairobi"/>
    <s v="Consumer"/>
    <x v="1"/>
    <x v="14"/>
    <x v="4"/>
    <x v="539"/>
    <n v="1258.72"/>
    <n v="2797.41"/>
    <n v="2797.41"/>
    <s v="High"/>
    <n v="0"/>
    <n v="0"/>
    <s v="No"/>
    <n v="7"/>
    <n v="19581.87"/>
    <n v="8811.0400000000009"/>
    <n v="10770.829999999998"/>
    <n v="0.55004093071805704"/>
    <n v="0"/>
    <n v="7"/>
    <n v="1258.72"/>
    <n v="19581.87"/>
    <n v="10770.829999999998"/>
  </r>
  <r>
    <s v="ORD-2024-626925"/>
    <d v="2024-06-07T00:00:00"/>
    <x v="116"/>
    <s v="Q2-2024"/>
    <d v="2024-06-09T00:00:00"/>
    <d v="2024-06-09T00:00:00"/>
    <n v="2"/>
    <n v="2"/>
    <s v="Yes"/>
    <d v="2023-01-12T00:00:00"/>
    <x v="1"/>
    <x v="9"/>
    <s v="Shanghai"/>
    <s v="Asia - China - Shanghai"/>
    <s v="Corporate"/>
    <x v="0"/>
    <x v="7"/>
    <x v="5"/>
    <x v="540"/>
    <n v="1370.28"/>
    <n v="2209.66"/>
    <n v="2209.66"/>
    <s v="High"/>
    <n v="0.13300000000000001"/>
    <n v="0.13300000000000001"/>
    <s v="No"/>
    <n v="16"/>
    <n v="30652.403519999996"/>
    <n v="21924.48"/>
    <n v="8727.9235199999966"/>
    <n v="0.28473863442079589"/>
    <n v="0.13300000000000001"/>
    <n v="16"/>
    <n v="1370.28"/>
    <n v="30652.403519999996"/>
    <n v="8727.9235199999966"/>
  </r>
  <r>
    <s v="ORD-2023-960380"/>
    <d v="2023-02-11T00:00:00"/>
    <x v="426"/>
    <s v="Q1-2023"/>
    <d v="2023-02-12T00:00:00"/>
    <d v="2023-02-12T00:00:00"/>
    <n v="1"/>
    <n v="1"/>
    <s v="Yes"/>
    <d v="2023-01-15T00:00:00"/>
    <x v="0"/>
    <x v="1"/>
    <s v="Port Harcourt"/>
    <s v="Africa - Nigeria - Port Harcourt"/>
    <s v="Non-Profit"/>
    <x v="4"/>
    <x v="14"/>
    <x v="6"/>
    <x v="541"/>
    <n v="944.61"/>
    <n v="839.04"/>
    <n v="839.04"/>
    <s v="Medium"/>
    <n v="5.8999999999999997E-2"/>
    <n v="5.8999999999999997E-2"/>
    <s v="No"/>
    <n v="6"/>
    <n v="4737.2198399999997"/>
    <n v="5667.66"/>
    <n v="-930.44016000000011"/>
    <n v="-0.19641059343363726"/>
    <n v="5.8999999999999997E-2"/>
    <n v="6"/>
    <n v="944.61"/>
    <n v="4737.2198399999997"/>
    <n v="-930.44016000000011"/>
  </r>
  <r>
    <s v="ORD-2023-453699"/>
    <d v="2023-07-01T00:00:00"/>
    <x v="306"/>
    <s v="Q3-2023"/>
    <d v="2023-07-08T00:00:00"/>
    <d v="2023-07-08T00:00:00"/>
    <n v="7"/>
    <n v="7"/>
    <s v="Yes"/>
    <d v="2023-01-22T00:00:00"/>
    <x v="3"/>
    <x v="6"/>
    <s v="Frankfurt"/>
    <s v="Europe - Germany - Frankfurt"/>
    <s v="Small Business"/>
    <x v="3"/>
    <x v="13"/>
    <x v="4"/>
    <x v="542"/>
    <n v="460.21"/>
    <n v="1139.1500000000001"/>
    <n v="1139.1500000000001"/>
    <s v="Medium"/>
    <n v="0.115"/>
    <n v="0.115"/>
    <s v="No"/>
    <n v="14"/>
    <n v="14114.068500000001"/>
    <n v="6442.94"/>
    <n v="7671.1285000000016"/>
    <n v="0.54350937151821255"/>
    <n v="0.115"/>
    <n v="14"/>
    <n v="460.21"/>
    <n v="14114.068500000001"/>
    <n v="7671.1285000000016"/>
  </r>
  <r>
    <s v="ORD-2025-960931"/>
    <d v="2025-08-20T00:00:00"/>
    <x v="427"/>
    <s v="Q3-2025"/>
    <d v="2025-08-26T00:00:00"/>
    <d v="2025-08-26T00:00:00"/>
    <n v="6"/>
    <n v="6"/>
    <s v="Yes"/>
    <d v="2023-01-13T00:00:00"/>
    <x v="2"/>
    <x v="10"/>
    <s v="New York"/>
    <s v="Americas - USA - New York"/>
    <s v="Corporate"/>
    <x v="0"/>
    <x v="12"/>
    <x v="2"/>
    <x v="543"/>
    <n v="1304.95"/>
    <n v="1712.03"/>
    <n v="1712.03"/>
    <s v="High"/>
    <n v="0.21199999999999999"/>
    <n v="0.21199999999999999"/>
    <s v="Yes"/>
    <n v="8"/>
    <n v="10792.637119999999"/>
    <n v="10439.6"/>
    <n v="353.03711999999905"/>
    <n v="3.2710922833287949E-2"/>
    <n v="0.21199999999999999"/>
    <n v="8"/>
    <n v="1304.95"/>
    <n v="10792.637119999999"/>
    <n v="353.03711999999905"/>
  </r>
  <r>
    <s v="ORD-2024-419248"/>
    <d v="2024-03-04T00:00:00"/>
    <x v="428"/>
    <s v="Q1-2024"/>
    <d v="2024-03-16T00:00:00"/>
    <d v="2024-03-16T00:00:00"/>
    <n v="12"/>
    <n v="12"/>
    <s v="No"/>
    <d v="2023-01-07T00:00:00"/>
    <x v="0"/>
    <x v="11"/>
    <s v="Johannesburg"/>
    <s v="Africa - South Africa - Johannesburg"/>
    <s v="Enterprise"/>
    <x v="3"/>
    <x v="12"/>
    <x v="5"/>
    <x v="544"/>
    <n v="441.08"/>
    <n v="1054.29"/>
    <n v="1054.29"/>
    <s v="Medium"/>
    <n v="0.23699999999999999"/>
    <n v="0.23699999999999999"/>
    <s v="Yes"/>
    <n v="6"/>
    <n v="4826.5396199999996"/>
    <n v="2646.48"/>
    <n v="2180.0596199999995"/>
    <n v="0.45168169985932899"/>
    <n v="0.23699999999999999"/>
    <n v="6"/>
    <n v="441.08"/>
    <n v="4826.5396199999996"/>
    <n v="2180.0596199999995"/>
  </r>
  <r>
    <s v="ORD-2023-488227"/>
    <d v="2023-09-08T00:00:00"/>
    <x v="429"/>
    <s v="Q3-2023"/>
    <d v="2023-10-02T00:00:00"/>
    <d v="2023-10-02T00:00:00"/>
    <n v="24"/>
    <n v="24"/>
    <s v="No"/>
    <d v="2023-01-02T00:00:00"/>
    <x v="2"/>
    <x v="3"/>
    <s v="Toronto"/>
    <s v="Americas - Canada - Toronto"/>
    <s v="Education"/>
    <x v="4"/>
    <x v="8"/>
    <x v="6"/>
    <x v="545"/>
    <n v="1299.03"/>
    <n v="2451.2199999999998"/>
    <n v="2451.2199999999998"/>
    <s v="High"/>
    <n v="0.20799999999999999"/>
    <n v="0.20799999999999999"/>
    <s v="Yes"/>
    <n v="8"/>
    <n v="15530.929919999999"/>
    <n v="10392.24"/>
    <n v="5138.6899199999989"/>
    <n v="0.3308681416032041"/>
    <n v="0.20799999999999999"/>
    <n v="8"/>
    <n v="1299.03"/>
    <n v="15530.929919999999"/>
    <n v="5138.6899199999989"/>
  </r>
  <r>
    <s v="ORD-2023-472078"/>
    <d v="2023-02-28T00:00:00"/>
    <x v="2"/>
    <s v="Q1-2023"/>
    <d v="2023-03-06T00:00:00"/>
    <d v="2023-03-06T00:00:00"/>
    <n v="6"/>
    <n v="6"/>
    <s v="Yes"/>
    <d v="2023-01-22T00:00:00"/>
    <x v="3"/>
    <x v="6"/>
    <s v="Frankfurt"/>
    <s v="Europe - Germany - Frankfurt"/>
    <s v="Small Business"/>
    <x v="2"/>
    <x v="14"/>
    <x v="1"/>
    <x v="546"/>
    <n v="880.02"/>
    <n v="1251.21"/>
    <n v="1251.21"/>
    <s v="Medium"/>
    <n v="0.123"/>
    <n v="0.123"/>
    <s v="No"/>
    <n v="29"/>
    <n v="31822.023930000003"/>
    <n v="25520.579999999998"/>
    <n v="6301.4439300000049"/>
    <n v="0.19802146915172672"/>
    <n v="0.123"/>
    <n v="29"/>
    <n v="880.02"/>
    <n v="31822.023930000003"/>
    <n v="6301.4439300000049"/>
  </r>
  <r>
    <s v="ORD-2024-202877"/>
    <d v="2024-07-13T00:00:00"/>
    <x v="293"/>
    <s v="Q3-2024"/>
    <d v="2024-08-03T00:00:00"/>
    <d v="2024-08-03T00:00:00"/>
    <n v="21"/>
    <n v="21"/>
    <s v="No"/>
    <d v="2023-01-29T00:00:00"/>
    <x v="2"/>
    <x v="5"/>
    <s v="Rio de Janeiro"/>
    <s v="Americas - Brazil - Rio de Janeiro"/>
    <s v="Corporate"/>
    <x v="2"/>
    <x v="12"/>
    <x v="5"/>
    <x v="547"/>
    <n v="702.98"/>
    <n v="1104.8"/>
    <n v="1104.8"/>
    <s v="Medium"/>
    <n v="0.17499999999999999"/>
    <n v="0.17499999999999999"/>
    <s v="No"/>
    <n v="12"/>
    <n v="10937.519999999999"/>
    <n v="8435.76"/>
    <n v="2501.7599999999984"/>
    <n v="0.22873192460448061"/>
    <n v="0.17499999999999999"/>
    <n v="12"/>
    <n v="702.98"/>
    <n v="10937.519999999999"/>
    <n v="2501.7599999999984"/>
  </r>
  <r>
    <s v="ORD-2024-140633"/>
    <d v="2024-12-07T00:00:00"/>
    <x v="430"/>
    <s v="Q4-2024"/>
    <d v="2024-12-26T00:00:00"/>
    <d v="2024-12-26T00:00:00"/>
    <n v="19"/>
    <n v="19"/>
    <s v="No"/>
    <d v="2023-01-19T00:00:00"/>
    <x v="3"/>
    <x v="8"/>
    <s v="London"/>
    <s v="Europe - United Kingdom - London"/>
    <s v="Enterprise"/>
    <x v="1"/>
    <x v="14"/>
    <x v="2"/>
    <x v="548"/>
    <n v="1035.24"/>
    <n v="2383.41"/>
    <n v="2383.41"/>
    <s v="High"/>
    <n v="0.17"/>
    <n v="0.17"/>
    <s v="No"/>
    <n v="15"/>
    <n v="29673.454499999993"/>
    <n v="15528.6"/>
    <n v="14144.854499999992"/>
    <n v="0.47668378145860962"/>
    <n v="0.17"/>
    <n v="15"/>
    <n v="1035.24"/>
    <n v="29673.454499999993"/>
    <n v="14144.854499999992"/>
  </r>
  <r>
    <s v="ORD-2025-419532"/>
    <d v="2025-08-06T00:00:00"/>
    <x v="431"/>
    <s v="Q3-2025"/>
    <d v="2025-08-23T00:00:00"/>
    <d v="2025-08-23T00:00:00"/>
    <n v="17"/>
    <n v="17"/>
    <s v="No"/>
    <d v="2023-01-29T00:00:00"/>
    <x v="2"/>
    <x v="5"/>
    <s v="Brasília"/>
    <s v="Americas - Brazil - Brasília"/>
    <s v="Consumer"/>
    <x v="3"/>
    <x v="8"/>
    <x v="5"/>
    <x v="549"/>
    <n v="86.64"/>
    <n v="213.06"/>
    <n v="213.06"/>
    <s v="Low"/>
    <n v="0.21199999999999999"/>
    <n v="0.21199999999999999"/>
    <s v="Yes"/>
    <n v="11"/>
    <n v="1846.8040799999999"/>
    <n v="953.04"/>
    <n v="893.76407999999992"/>
    <n v="0.48395175735154322"/>
    <n v="0.21199999999999999"/>
    <n v="11"/>
    <n v="86.64"/>
    <n v="1846.8040799999999"/>
    <n v="893.76407999999992"/>
  </r>
  <r>
    <s v="ORD-2023-139236"/>
    <d v="2023-03-03T00:00:00"/>
    <x v="432"/>
    <s v="Q1-2023"/>
    <d v="2023-03-20T00:00:00"/>
    <d v="2023-03-20T00:00:00"/>
    <n v="17"/>
    <n v="17"/>
    <s v="No"/>
    <d v="2023-03-03T00:00:00"/>
    <x v="1"/>
    <x v="2"/>
    <s v="Nagoya"/>
    <s v="Asia - Japan - Nagoya"/>
    <s v="Small Business"/>
    <x v="1"/>
    <x v="14"/>
    <x v="2"/>
    <x v="550"/>
    <n v="1171.17"/>
    <n v="2030.64"/>
    <n v="2030.64"/>
    <s v="High"/>
    <n v="0.157"/>
    <n v="0.157"/>
    <s v="No"/>
    <n v="11"/>
    <n v="18830.12472"/>
    <n v="12882.87"/>
    <n v="5947.254719999999"/>
    <n v="0.31583724528830415"/>
    <n v="0.157"/>
    <n v="11"/>
    <n v="1171.17"/>
    <n v="18830.12472"/>
    <n v="5947.254719999999"/>
  </r>
  <r>
    <s v="ORD-2025-337268"/>
    <d v="2025-02-16T00:00:00"/>
    <x v="433"/>
    <s v="Q1-2025"/>
    <d v="2025-03-17T00:00:00"/>
    <d v="2025-03-17T00:00:00"/>
    <n v="29"/>
    <n v="29"/>
    <s v="No"/>
    <d v="2023-01-22T00:00:00"/>
    <x v="3"/>
    <x v="6"/>
    <s v="Munich"/>
    <s v="Europe - Germany - Munich"/>
    <s v="Consumer"/>
    <x v="0"/>
    <x v="4"/>
    <x v="6"/>
    <x v="551"/>
    <n v="730.42"/>
    <n v="956.7"/>
    <n v="956.7"/>
    <s v="Medium"/>
    <n v="4.2000000000000003E-2"/>
    <n v="4.2000000000000003E-2"/>
    <s v="No"/>
    <n v="22"/>
    <n v="20163.409200000002"/>
    <n v="16069.24"/>
    <n v="4094.1692000000021"/>
    <n v="0.20304945256975698"/>
    <n v="4.2000000000000003E-2"/>
    <n v="22"/>
    <n v="730.42"/>
    <n v="20163.409200000002"/>
    <n v="4094.1692000000021"/>
  </r>
  <r>
    <s v="ORD-2025-332931"/>
    <d v="2025-02-15T00:00:00"/>
    <x v="146"/>
    <s v="Q1-2025"/>
    <d v="2025-03-01T00:00:00"/>
    <d v="2025-03-01T00:00:00"/>
    <n v="14"/>
    <n v="14"/>
    <s v="No"/>
    <d v="2023-01-20T00:00:00"/>
    <x v="0"/>
    <x v="0"/>
    <s v="Mombasa"/>
    <s v="Africa - Kenya - Mombasa"/>
    <s v="Education"/>
    <x v="4"/>
    <x v="4"/>
    <x v="6"/>
    <x v="552"/>
    <n v="1162.8599999999999"/>
    <n v="1447.68"/>
    <n v="1447.68"/>
    <s v="Medium"/>
    <n v="8.6999999999999994E-2"/>
    <n v="8.6999999999999994E-2"/>
    <s v="No"/>
    <n v="12"/>
    <n v="15860.782080000001"/>
    <n v="13954.32"/>
    <n v="1906.4620800000012"/>
    <n v="0.12019975247021369"/>
    <n v="8.6999999999999994E-2"/>
    <n v="12"/>
    <n v="1162.8599999999999"/>
    <n v="15860.782080000001"/>
    <n v="1906.4620800000012"/>
  </r>
  <r>
    <s v="ORD-2024-536442"/>
    <d v="2024-08-31T00:00:00"/>
    <x v="434"/>
    <s v="Q3-2024"/>
    <d v="2024-09-26T00:00:00"/>
    <d v="2024-09-26T00:00:00"/>
    <n v="26"/>
    <n v="26"/>
    <s v="No"/>
    <d v="2023-03-03T00:00:00"/>
    <x v="1"/>
    <x v="2"/>
    <s v="Tokyo"/>
    <s v="Asia - Japan - Tokyo"/>
    <s v="Education"/>
    <x v="1"/>
    <x v="2"/>
    <x v="3"/>
    <x v="553"/>
    <n v="1189.03"/>
    <n v="2949.62"/>
    <n v="2949.62"/>
    <s v="High"/>
    <n v="0.125"/>
    <n v="0.125"/>
    <s v="No"/>
    <n v="13"/>
    <n v="33551.927499999998"/>
    <n v="15457.39"/>
    <n v="18094.537499999999"/>
    <n v="0.53929949330034765"/>
    <n v="0.125"/>
    <n v="13"/>
    <n v="1189.03"/>
    <n v="33551.927499999998"/>
    <n v="18094.537499999999"/>
  </r>
  <r>
    <s v="ORD-2023-957692"/>
    <d v="2023-05-07T00:00:00"/>
    <x v="239"/>
    <s v="Q2-2023"/>
    <d v="2023-05-20T00:00:00"/>
    <d v="2023-05-20T00:00:00"/>
    <n v="13"/>
    <n v="13"/>
    <s v="No"/>
    <d v="2023-01-29T00:00:00"/>
    <x v="1"/>
    <x v="4"/>
    <s v="Mumbai"/>
    <s v="Asia - India - Mumbai"/>
    <s v="Enterprise"/>
    <x v="0"/>
    <x v="14"/>
    <x v="6"/>
    <x v="554"/>
    <n v="1443.28"/>
    <n v="2580.5700000000002"/>
    <n v="2580.5700000000002"/>
    <s v="High"/>
    <n v="0"/>
    <n v="0"/>
    <s v="No"/>
    <n v="18"/>
    <n v="46450.26"/>
    <n v="25979.040000000001"/>
    <n v="20471.22"/>
    <n v="0.4407127107577008"/>
    <n v="0"/>
    <n v="18"/>
    <n v="1443.28"/>
    <n v="46450.26"/>
    <n v="20471.22"/>
  </r>
  <r>
    <s v="ORD-2025-874124"/>
    <d v="2025-05-14T00:00:00"/>
    <x v="78"/>
    <s v="Q2-2025"/>
    <d v="2025-05-12T00:00:00"/>
    <d v="2025-05-20T00:00:00"/>
    <n v="-2"/>
    <n v="6"/>
    <s v="Yes"/>
    <d v="2023-01-02T00:00:00"/>
    <x v="2"/>
    <x v="3"/>
    <s v="Vancouver"/>
    <s v="Americas - Canada - Vancouver"/>
    <s v="Non-Profit"/>
    <x v="3"/>
    <x v="9"/>
    <x v="1"/>
    <x v="555"/>
    <n v="883.5"/>
    <n v="1978.91"/>
    <n v="1978.91"/>
    <s v="High"/>
    <n v="5.3999999999999999E-2"/>
    <n v="5.3999999999999999E-2"/>
    <s v="No"/>
    <n v="27"/>
    <n v="50545.319219999998"/>
    <n v="23854.5"/>
    <n v="26690.819219999998"/>
    <n v="0.52805718970390547"/>
    <n v="5.3999999999999999E-2"/>
    <n v="27"/>
    <n v="883.5"/>
    <n v="50545.319219999998"/>
    <n v="26690.819219999998"/>
  </r>
  <r>
    <s v="ORD-2024-687073"/>
    <d v="2024-03-11T00:00:00"/>
    <x v="0"/>
    <s v="Q1-2024"/>
    <d v="2024-03-29T00:00:00"/>
    <d v="2024-03-29T00:00:00"/>
    <n v="18"/>
    <n v="18"/>
    <s v="No"/>
    <d v="2023-01-13T00:00:00"/>
    <x v="2"/>
    <x v="10"/>
    <s v="New York"/>
    <s v="Americas - USA - New York"/>
    <s v="Corporate"/>
    <x v="0"/>
    <x v="12"/>
    <x v="5"/>
    <x v="556"/>
    <n v="710.98"/>
    <n v="1481.45"/>
    <n v="1481.45"/>
    <s v="Medium"/>
    <n v="0.21099999999999999"/>
    <n v="0.21099999999999999"/>
    <s v="Yes"/>
    <n v="9"/>
    <n v="10519.776450000001"/>
    <n v="6398.82"/>
    <n v="4120.9564500000015"/>
    <n v="0.39173422264120461"/>
    <n v="0.21099999999999999"/>
    <n v="9"/>
    <n v="710.98"/>
    <n v="10519.776450000001"/>
    <n v="4120.9564500000015"/>
  </r>
  <r>
    <s v="ORD-2024-555229"/>
    <d v="2024-05-18T00:00:00"/>
    <x v="22"/>
    <s v="Q2-2024"/>
    <d v="2024-05-22T00:00:00"/>
    <d v="2024-05-22T00:00:00"/>
    <n v="4"/>
    <n v="4"/>
    <s v="Yes"/>
    <d v="2023-01-20T00:00:00"/>
    <x v="0"/>
    <x v="0"/>
    <s v="Nairobi"/>
    <s v="Africa - Kenya - Nairobi"/>
    <s v="Corporate"/>
    <x v="4"/>
    <x v="10"/>
    <x v="6"/>
    <x v="557"/>
    <n v="857.42"/>
    <n v="1658.92"/>
    <n v="1658.92"/>
    <s v="High"/>
    <n v="0.122"/>
    <n v="0.122"/>
    <s v="No"/>
    <n v="9"/>
    <n v="13108.78584"/>
    <n v="7716.78"/>
    <n v="5392.0058400000007"/>
    <n v="0.41132763215544305"/>
    <n v="0.122"/>
    <n v="9"/>
    <n v="857.42"/>
    <n v="13108.78584"/>
    <n v="5392.0058400000007"/>
  </r>
  <r>
    <s v="ORD-2024-872291"/>
    <d v="2024-01-08T00:00:00"/>
    <x v="435"/>
    <s v="Q1-2024"/>
    <d v="2024-01-12T00:00:00"/>
    <d v="2024-01-12T00:00:00"/>
    <n v="4"/>
    <n v="4"/>
    <s v="Yes"/>
    <d v="2023-01-29T00:00:00"/>
    <x v="1"/>
    <x v="4"/>
    <s v="Bengaluru"/>
    <s v="Asia - India - Bengaluru"/>
    <s v="Corporate"/>
    <x v="4"/>
    <x v="6"/>
    <x v="1"/>
    <x v="558"/>
    <n v="802.32"/>
    <n v="602.34"/>
    <n v="602.34"/>
    <s v="Low"/>
    <n v="0.12"/>
    <n v="0.12"/>
    <s v="No"/>
    <n v="25"/>
    <n v="13251.48"/>
    <n v="20058"/>
    <n v="-6806.52"/>
    <n v="-0.51364224977134632"/>
    <n v="0.12"/>
    <n v="25"/>
    <n v="802.32"/>
    <n v="13251.48"/>
    <n v="-6806.52"/>
  </r>
  <r>
    <s v="ORD-2024-250862"/>
    <d v="2024-10-25T00:00:00"/>
    <x v="40"/>
    <s v="Q4-2024"/>
    <d v="2024-11-05T00:00:00"/>
    <d v="2024-11-05T00:00:00"/>
    <n v="11"/>
    <n v="11"/>
    <s v="No"/>
    <d v="2023-01-13T00:00:00"/>
    <x v="2"/>
    <x v="10"/>
    <s v="New York"/>
    <s v="Americas - USA - New York"/>
    <s v="Corporate"/>
    <x v="3"/>
    <x v="13"/>
    <x v="0"/>
    <x v="559"/>
    <n v="446.66"/>
    <n v="527.64"/>
    <n v="527.64"/>
    <s v="Low"/>
    <n v="0.14499999999999999"/>
    <n v="0.14499999999999999"/>
    <s v="No"/>
    <n v="15"/>
    <n v="6766.9829999999993"/>
    <n v="6699.9000000000005"/>
    <n v="67.082999999998719"/>
    <n v="9.9132804087137105E-3"/>
    <n v="0.14499999999999999"/>
    <n v="15"/>
    <n v="446.66"/>
    <n v="6766.9829999999993"/>
    <n v="67.082999999998719"/>
  </r>
  <r>
    <s v="ORD-2024-331226"/>
    <d v="2024-11-30T00:00:00"/>
    <x v="25"/>
    <s v="Q4-2024"/>
    <d v="2024-12-19T00:00:00"/>
    <d v="2024-12-19T00:00:00"/>
    <n v="19"/>
    <n v="19"/>
    <s v="No"/>
    <d v="2023-01-20T00:00:00"/>
    <x v="0"/>
    <x v="0"/>
    <s v="Kisumu"/>
    <s v="Africa - Kenya - Kisumu"/>
    <s v="Corporate"/>
    <x v="1"/>
    <x v="4"/>
    <x v="3"/>
    <x v="560"/>
    <n v="1195.98"/>
    <n v="1841.9"/>
    <n v="1841.9"/>
    <s v="High"/>
    <n v="5.5E-2"/>
    <n v="5.5E-2"/>
    <s v="No"/>
    <n v="19"/>
    <n v="33071.3145"/>
    <n v="22723.62"/>
    <n v="10347.694500000001"/>
    <n v="0.31289032977506842"/>
    <n v="5.5E-2"/>
    <n v="19"/>
    <n v="1195.98"/>
    <n v="33071.3145"/>
    <n v="10347.694500000001"/>
  </r>
  <r>
    <s v="ORD-2023-356427"/>
    <d v="2023-04-13T00:00:00"/>
    <x v="290"/>
    <s v="Q2-2023"/>
    <d v="2023-05-02T00:00:00"/>
    <d v="2023-05-02T00:00:00"/>
    <n v="19"/>
    <n v="19"/>
    <s v="No"/>
    <d v="2023-01-02T00:00:00"/>
    <x v="2"/>
    <x v="3"/>
    <s v="Montreal"/>
    <s v="Americas - Canada - Montreal"/>
    <s v="Consumer"/>
    <x v="3"/>
    <x v="6"/>
    <x v="5"/>
    <x v="561"/>
    <n v="671.05"/>
    <n v="1645.48"/>
    <n v="1645.48"/>
    <s v="High"/>
    <n v="0.13700000000000001"/>
    <n v="0.13700000000000001"/>
    <s v="No"/>
    <n v="6"/>
    <n v="8520.2954399999999"/>
    <n v="4026.2999999999997"/>
    <n v="4493.9954400000006"/>
    <n v="0.52744596377517172"/>
    <n v="0.13700000000000001"/>
    <n v="6"/>
    <n v="671.05"/>
    <n v="8520.2954399999999"/>
    <n v="4493.9954400000006"/>
  </r>
  <r>
    <s v="ORD-2025-659650"/>
    <d v="2025-02-04T00:00:00"/>
    <x v="185"/>
    <s v="Q1-2025"/>
    <d v="2025-02-08T00:00:00"/>
    <d v="2025-02-08T00:00:00"/>
    <n v="4"/>
    <n v="4"/>
    <s v="Yes"/>
    <d v="2023-01-19T00:00:00"/>
    <x v="3"/>
    <x v="8"/>
    <s v="Manchester"/>
    <s v="Europe - United Kingdom - Manchester"/>
    <s v="Enterprise"/>
    <x v="2"/>
    <x v="4"/>
    <x v="2"/>
    <x v="562"/>
    <n v="586.21"/>
    <n v="727.22"/>
    <n v="727.22"/>
    <s v="Low"/>
    <n v="6.8000000000000005E-2"/>
    <n v="6.8000000000000005E-2"/>
    <s v="No"/>
    <n v="15"/>
    <n v="10166.535600000001"/>
    <n v="8793.1500000000015"/>
    <n v="1373.3855999999996"/>
    <n v="0.13508884973559721"/>
    <n v="6.8000000000000005E-2"/>
    <n v="15"/>
    <n v="586.21"/>
    <n v="10166.535600000001"/>
    <n v="1373.3855999999996"/>
  </r>
  <r>
    <s v="ORD-2024-207669"/>
    <d v="2024-01-24T00:00:00"/>
    <x v="436"/>
    <s v="Q1-2024"/>
    <d v="2024-02-04T00:00:00"/>
    <d v="2024-02-04T00:00:00"/>
    <n v="11"/>
    <n v="11"/>
    <s v="No"/>
    <d v="2023-01-19T00:00:00"/>
    <x v="3"/>
    <x v="8"/>
    <s v="Manchester"/>
    <s v="Europe - United Kingdom - Manchester"/>
    <s v="Consumer"/>
    <x v="0"/>
    <x v="5"/>
    <x v="4"/>
    <x v="563"/>
    <n v="525.34"/>
    <n v="1233.79"/>
    <n v="1233.79"/>
    <s v="Medium"/>
    <n v="0.14299999999999999"/>
    <n v="0.14299999999999999"/>
    <s v="No"/>
    <n v="4"/>
    <n v="4229.4321199999995"/>
    <n v="2101.36"/>
    <n v="2128.0721199999994"/>
    <n v="0.50315788494082736"/>
    <n v="0.14299999999999999"/>
    <n v="4"/>
    <n v="525.34"/>
    <n v="4229.4321199999995"/>
    <n v="2128.0721199999994"/>
  </r>
  <r>
    <s v="ORD-2024-979401"/>
    <d v="2024-02-08T00:00:00"/>
    <x v="437"/>
    <s v="Q1-2024"/>
    <d v="2024-02-09T00:00:00"/>
    <d v="2024-02-09T00:00:00"/>
    <n v="1"/>
    <n v="1"/>
    <s v="Yes"/>
    <d v="2023-01-20T00:00:00"/>
    <x v="0"/>
    <x v="0"/>
    <s v="Mombasa"/>
    <s v="Africa - Kenya - Mombasa"/>
    <s v="Corporate"/>
    <x v="4"/>
    <x v="9"/>
    <x v="0"/>
    <x v="564"/>
    <n v="1233.52"/>
    <n v="1543.76"/>
    <n v="1543.76"/>
    <s v="Medium"/>
    <n v="0.126"/>
    <n v="0.126"/>
    <s v="No"/>
    <n v="13"/>
    <n v="17540.201120000002"/>
    <n v="16035.76"/>
    <n v="1504.4411200000013"/>
    <n v="8.5771030201277493E-2"/>
    <n v="0.126"/>
    <n v="13"/>
    <n v="1233.52"/>
    <n v="17540.201120000002"/>
    <n v="1504.4411200000013"/>
  </r>
  <r>
    <s v="ORD-2025-929414"/>
    <d v="2025-06-26T00:00:00"/>
    <x v="438"/>
    <s v="Q2-2025"/>
    <d v="2025-07-11T00:00:00"/>
    <d v="2025-07-11T00:00:00"/>
    <n v="15"/>
    <n v="15"/>
    <s v="No"/>
    <d v="2023-01-15T00:00:00"/>
    <x v="0"/>
    <x v="1"/>
    <s v="Port Harcourt"/>
    <s v="Africa - Nigeria - Port Harcourt"/>
    <s v="Small Business"/>
    <x v="1"/>
    <x v="8"/>
    <x v="4"/>
    <x v="565"/>
    <n v="1170.1500000000001"/>
    <n v="2115.19"/>
    <n v="2115.19"/>
    <s v="High"/>
    <n v="9.1999999999999998E-2"/>
    <n v="9.1999999999999998E-2"/>
    <s v="No"/>
    <n v="23"/>
    <n v="44173.627960000005"/>
    <n v="26913.45"/>
    <n v="17260.177960000005"/>
    <n v="0.39073489674946776"/>
    <n v="9.1999999999999998E-2"/>
    <n v="23"/>
    <n v="1170.1500000000001"/>
    <n v="44173.627960000005"/>
    <n v="17260.177960000005"/>
  </r>
  <r>
    <s v="ORD-2024-766980"/>
    <d v="2024-11-04T00:00:00"/>
    <x v="273"/>
    <s v="Q4-2024"/>
    <d v="2024-11-07T00:00:00"/>
    <d v="2024-11-07T00:00:00"/>
    <n v="3"/>
    <n v="3"/>
    <s v="Yes"/>
    <d v="2023-01-10T00:00:00"/>
    <x v="3"/>
    <x v="7"/>
    <s v="Lyon"/>
    <s v="Europe - France - Lyon"/>
    <s v="Corporate"/>
    <x v="1"/>
    <x v="7"/>
    <x v="5"/>
    <x v="566"/>
    <n v="740.68"/>
    <n v="1837.19"/>
    <n v="1837.19"/>
    <s v="High"/>
    <n v="0.19700000000000001"/>
    <n v="0.19700000000000001"/>
    <s v="No"/>
    <n v="17"/>
    <n v="25079.480689999997"/>
    <n v="12591.56"/>
    <n v="12487.920689999997"/>
    <n v="0.4979337827748298"/>
    <n v="0.19700000000000001"/>
    <n v="17"/>
    <n v="740.68"/>
    <n v="25079.480689999997"/>
    <n v="12487.920689999997"/>
  </r>
  <r>
    <s v="ORD-2024-437164"/>
    <d v="2024-02-20T00:00:00"/>
    <x v="439"/>
    <s v="Q1-2024"/>
    <d v="2024-02-20T00:00:00"/>
    <d v="2024-02-20T00:00:00"/>
    <n v="0"/>
    <n v="0"/>
    <s v="Yes"/>
    <d v="2023-01-13T00:00:00"/>
    <x v="2"/>
    <x v="10"/>
    <s v="New York"/>
    <s v="Americas - USA - New York"/>
    <s v="Enterprise"/>
    <x v="1"/>
    <x v="0"/>
    <x v="2"/>
    <x v="567"/>
    <n v="1407.05"/>
    <n v="2858.93"/>
    <n v="2858.93"/>
    <s v="High"/>
    <n v="0"/>
    <n v="0"/>
    <s v="No"/>
    <n v="12"/>
    <n v="34307.159999999996"/>
    <n v="16884.599999999999"/>
    <n v="17422.559999999998"/>
    <n v="0.50784034586366222"/>
    <n v="0"/>
    <n v="12"/>
    <n v="1407.05"/>
    <n v="34307.159999999996"/>
    <n v="17422.559999999998"/>
  </r>
  <r>
    <s v="ORD-2025-169093"/>
    <d v="2025-04-13T00:00:00"/>
    <x v="440"/>
    <s v="Q2-2025"/>
    <d v="2025-04-14T00:00:00"/>
    <d v="2025-04-14T00:00:00"/>
    <n v="1"/>
    <n v="1"/>
    <s v="Yes"/>
    <d v="2023-03-03T00:00:00"/>
    <x v="1"/>
    <x v="2"/>
    <s v="Osaka"/>
    <s v="Asia - Japan - Osaka"/>
    <s v="Enterprise"/>
    <x v="1"/>
    <x v="3"/>
    <x v="0"/>
    <x v="568"/>
    <n v="138.9"/>
    <n v="289.92"/>
    <n v="289.92"/>
    <s v="Low"/>
    <n v="2.9000000000000001E-2"/>
    <n v="2.9000000000000001E-2"/>
    <s v="No"/>
    <n v="12"/>
    <n v="3378.1478400000001"/>
    <n v="1666.8000000000002"/>
    <n v="1711.3478399999999"/>
    <n v="0.50659353025828491"/>
    <n v="2.9000000000000001E-2"/>
    <n v="12"/>
    <n v="138.9"/>
    <n v="3378.1478400000001"/>
    <n v="1711.3478399999999"/>
  </r>
  <r>
    <s v="ORD-2023-868460"/>
    <d v="2023-06-01T00:00:00"/>
    <x v="408"/>
    <s v="Q2-2023"/>
    <d v="2023-06-01T00:00:00"/>
    <d v="2023-06-01T00:00:00"/>
    <n v="0"/>
    <n v="0"/>
    <s v="Yes"/>
    <d v="2023-01-29T00:00:00"/>
    <x v="1"/>
    <x v="4"/>
    <s v="Bengaluru"/>
    <s v="Asia - India - Bengaluru"/>
    <s v="Corporate"/>
    <x v="0"/>
    <x v="6"/>
    <x v="6"/>
    <x v="569"/>
    <n v="669.37"/>
    <n v="997.2"/>
    <n v="997.2"/>
    <s v="Medium"/>
    <n v="8.2000000000000003E-2"/>
    <n v="8.2000000000000003E-2"/>
    <s v="No"/>
    <n v="5"/>
    <n v="4577.1480000000001"/>
    <n v="3346.85"/>
    <n v="1230.2980000000002"/>
    <n v="0.26879139586484863"/>
    <n v="8.2000000000000003E-2"/>
    <n v="5"/>
    <n v="669.37"/>
    <n v="4577.1480000000001"/>
    <n v="1230.2980000000002"/>
  </r>
  <r>
    <s v="ORD-2025-177994"/>
    <d v="2025-03-24T00:00:00"/>
    <x v="401"/>
    <s v="Q1-2025"/>
    <d v="2025-04-04T00:00:00"/>
    <d v="2025-04-04T00:00:00"/>
    <n v="11"/>
    <n v="11"/>
    <s v="No"/>
    <d v="2023-01-29T00:00:00"/>
    <x v="1"/>
    <x v="4"/>
    <s v="Mumbai"/>
    <s v="Asia - India - Mumbai"/>
    <s v="Education"/>
    <x v="2"/>
    <x v="1"/>
    <x v="3"/>
    <x v="570"/>
    <n v="23.83"/>
    <n v="47.29"/>
    <n v="47.29"/>
    <s v="Low"/>
    <n v="6.4000000000000001E-2"/>
    <n v="6.4000000000000001E-2"/>
    <s v="No"/>
    <n v="19"/>
    <n v="841.00536"/>
    <n v="452.77"/>
    <n v="388.23536000000001"/>
    <n v="0.46163244429262618"/>
    <n v="6.4000000000000001E-2"/>
    <n v="19"/>
    <n v="23.83"/>
    <n v="841.00536"/>
    <n v="388.23536000000001"/>
  </r>
  <r>
    <s v="ORD-2024-355095"/>
    <d v="2024-01-02T00:00:00"/>
    <x v="279"/>
    <s v="Q1-2024"/>
    <d v="2024-01-02T00:00:00"/>
    <d v="2024-01-02T00:00:00"/>
    <n v="0"/>
    <n v="0"/>
    <s v="Yes"/>
    <d v="2023-01-02T00:00:00"/>
    <x v="2"/>
    <x v="3"/>
    <s v="Vancouver"/>
    <s v="Americas - Canada - Vancouver"/>
    <s v="Education"/>
    <x v="4"/>
    <x v="8"/>
    <x v="4"/>
    <x v="571"/>
    <n v="444.41"/>
    <n v="754.24"/>
    <n v="754.24"/>
    <s v="Low"/>
    <n v="0.20699999999999999"/>
    <n v="0.20699999999999999"/>
    <s v="Yes"/>
    <n v="32"/>
    <n v="19139.594240000002"/>
    <n v="14221.12"/>
    <n v="4918.4742400000014"/>
    <n v="0.25697902360546598"/>
    <n v="0.20699999999999999"/>
    <n v="32"/>
    <n v="444.41"/>
    <n v="19139.594240000002"/>
    <n v="4918.4742400000014"/>
  </r>
  <r>
    <s v="ORD-2023-126505"/>
    <d v="2023-12-19T00:00:00"/>
    <x v="202"/>
    <s v="Q4-2023"/>
    <d v="2024-01-01T00:00:00"/>
    <d v="2024-01-01T00:00:00"/>
    <n v="13"/>
    <n v="13"/>
    <s v="No"/>
    <d v="2023-01-02T00:00:00"/>
    <x v="2"/>
    <x v="3"/>
    <s v="Toronto"/>
    <s v="Americas - Canada - Toronto"/>
    <s v="Enterprise"/>
    <x v="0"/>
    <x v="11"/>
    <x v="5"/>
    <x v="572"/>
    <n v="856.1"/>
    <n v="901.48"/>
    <n v="901.48"/>
    <s v="Medium"/>
    <n v="5.6000000000000001E-2"/>
    <n v="5.6000000000000001E-2"/>
    <s v="No"/>
    <n v="17"/>
    <n v="14466.95104"/>
    <n v="14553.7"/>
    <n v="-86.748960000000807"/>
    <n v="-5.9963540182134192E-3"/>
    <n v="5.6000000000000001E-2"/>
    <n v="17"/>
    <n v="856.1"/>
    <n v="14466.95104"/>
    <n v="-86.748960000000807"/>
  </r>
  <r>
    <s v="ORD-2023-340056"/>
    <d v="2023-04-26T00:00:00"/>
    <x v="441"/>
    <s v="Q2-2023"/>
    <d v="2023-04-26T00:00:00"/>
    <d v="2023-04-26T00:00:00"/>
    <n v="0"/>
    <n v="0"/>
    <s v="Yes"/>
    <d v="2023-01-10T00:00:00"/>
    <x v="3"/>
    <x v="7"/>
    <s v="Marseille"/>
    <s v="Europe - France - Marseille"/>
    <s v="Consumer"/>
    <x v="4"/>
    <x v="12"/>
    <x v="0"/>
    <x v="573"/>
    <n v="81.489999999999995"/>
    <n v="113.08"/>
    <n v="113.08"/>
    <s v="Low"/>
    <n v="0.121"/>
    <n v="0.121"/>
    <s v="No"/>
    <n v="5"/>
    <n v="496.98660000000001"/>
    <n v="407.45"/>
    <n v="89.536600000000021"/>
    <n v="0.18015898215364362"/>
    <n v="0.121"/>
    <n v="5"/>
    <n v="81.489999999999995"/>
    <n v="496.98660000000001"/>
    <n v="89.536600000000021"/>
  </r>
  <r>
    <s v="ORD-2025-281413"/>
    <d v="2025-08-03T00:00:00"/>
    <x v="442"/>
    <s v="Q3-2025"/>
    <d v="2025-08-16T00:00:00"/>
    <d v="2025-08-16T00:00:00"/>
    <n v="13"/>
    <n v="13"/>
    <s v="No"/>
    <d v="2023-01-02T00:00:00"/>
    <x v="2"/>
    <x v="3"/>
    <s v="Montreal"/>
    <s v="Americas - Canada - Montreal"/>
    <s v="Enterprise"/>
    <x v="3"/>
    <x v="7"/>
    <x v="2"/>
    <x v="574"/>
    <n v="698.66"/>
    <n v="868.62"/>
    <n v="868.62"/>
    <s v="Medium"/>
    <n v="7.1999999999999995E-2"/>
    <n v="7.1999999999999995E-2"/>
    <s v="No"/>
    <n v="15"/>
    <n v="12091.190399999999"/>
    <n v="10479.9"/>
    <n v="1611.2903999999999"/>
    <n v="0.13326151906432637"/>
    <n v="7.1999999999999995E-2"/>
    <n v="15"/>
    <n v="698.66"/>
    <n v="12091.190399999999"/>
    <n v="1611.2903999999999"/>
  </r>
  <r>
    <s v="ORD-2023-713614"/>
    <d v="2023-08-02T00:00:00"/>
    <x v="443"/>
    <s v="Q3-2023"/>
    <d v="2023-08-19T00:00:00"/>
    <d v="2023-08-19T00:00:00"/>
    <n v="17"/>
    <n v="17"/>
    <s v="No"/>
    <d v="2023-01-02T00:00:00"/>
    <x v="2"/>
    <x v="3"/>
    <s v="Vancouver"/>
    <s v="Americas - Canada - Vancouver"/>
    <s v="Corporate"/>
    <x v="1"/>
    <x v="9"/>
    <x v="2"/>
    <x v="575"/>
    <n v="175.38"/>
    <n v="347.9"/>
    <n v="347.9"/>
    <s v="Low"/>
    <n v="7.1999999999999995E-2"/>
    <n v="7.1999999999999995E-2"/>
    <s v="No"/>
    <n v="43"/>
    <n v="13882.6016"/>
    <n v="7541.34"/>
    <n v="6341.2615999999998"/>
    <n v="0.45677761148169804"/>
    <n v="7.1999999999999995E-2"/>
    <n v="43"/>
    <n v="175.38"/>
    <n v="13882.6016"/>
    <n v="6341.2615999999998"/>
  </r>
  <r>
    <s v="ORD-2023-173313"/>
    <d v="2023-06-15T00:00:00"/>
    <x v="251"/>
    <s v="Q2-2023"/>
    <d v="2023-07-12T00:00:00"/>
    <d v="2023-07-12T00:00:00"/>
    <n v="27"/>
    <n v="27"/>
    <s v="No"/>
    <d v="2023-01-19T00:00:00"/>
    <x v="3"/>
    <x v="8"/>
    <s v="Manchester"/>
    <s v="Europe - United Kingdom - Manchester"/>
    <s v="Consumer"/>
    <x v="4"/>
    <x v="2"/>
    <x v="6"/>
    <x v="576"/>
    <n v="751.28"/>
    <n v="1111.8800000000001"/>
    <n v="1111.8800000000001"/>
    <s v="Medium"/>
    <n v="0.13500000000000001"/>
    <n v="0.13500000000000001"/>
    <s v="No"/>
    <n v="7"/>
    <n v="6732.4334000000008"/>
    <n v="5258.96"/>
    <n v="1473.4734000000008"/>
    <n v="0.21886193482433863"/>
    <n v="0.13500000000000001"/>
    <n v="7"/>
    <n v="751.28"/>
    <n v="6732.4334000000008"/>
    <n v="1473.4734000000008"/>
  </r>
  <r>
    <s v="ORD-2024-496601"/>
    <d v="2024-11-11T00:00:00"/>
    <x v="444"/>
    <s v="Q4-2024"/>
    <d v="2024-11-24T00:00:00"/>
    <d v="2024-11-24T00:00:00"/>
    <n v="13"/>
    <n v="13"/>
    <s v="No"/>
    <d v="2023-01-19T00:00:00"/>
    <x v="3"/>
    <x v="8"/>
    <s v="London"/>
    <s v="Europe - United Kingdom - London"/>
    <s v="Corporate"/>
    <x v="0"/>
    <x v="6"/>
    <x v="2"/>
    <x v="577"/>
    <n v="164.53"/>
    <n v="327.72"/>
    <n v="327.72"/>
    <s v="Low"/>
    <n v="6.7000000000000004E-2"/>
    <n v="6.7000000000000004E-2"/>
    <s v="No"/>
    <n v="14"/>
    <n v="4280.6786400000001"/>
    <n v="2303.42"/>
    <n v="1977.25864"/>
    <n v="0.46190307805960412"/>
    <n v="6.7000000000000004E-2"/>
    <n v="14"/>
    <n v="164.53"/>
    <n v="4280.6786400000001"/>
    <n v="1977.25864"/>
  </r>
  <r>
    <s v="ORD-2025-155182"/>
    <d v="2025-07-11T00:00:00"/>
    <x v="445"/>
    <s v="Q3-2025"/>
    <d v="2025-08-03T00:00:00"/>
    <d v="2025-08-03T00:00:00"/>
    <n v="23"/>
    <n v="23"/>
    <s v="No"/>
    <d v="2023-01-20T00:00:00"/>
    <x v="0"/>
    <x v="0"/>
    <s v="Nakuru"/>
    <s v="Africa - Kenya - Nakuru"/>
    <s v="Small Business"/>
    <x v="0"/>
    <x v="0"/>
    <x v="3"/>
    <x v="578"/>
    <n v="389.93"/>
    <n v="486.13"/>
    <n v="486.13"/>
    <s v="Low"/>
    <n v="0.13200000000000001"/>
    <n v="0.13200000000000001"/>
    <s v="No"/>
    <n v="17"/>
    <n v="7173.3342799999991"/>
    <n v="6628.81"/>
    <n v="544.52427999999873"/>
    <n v="7.5909508569562828E-2"/>
    <n v="0.13200000000000001"/>
    <n v="17"/>
    <n v="389.93"/>
    <n v="7173.3342799999991"/>
    <n v="544.52427999999873"/>
  </r>
  <r>
    <s v="ORD-2023-244375"/>
    <d v="2023-06-03T00:00:00"/>
    <x v="446"/>
    <s v="Q2-2023"/>
    <d v="2023-07-01T00:00:00"/>
    <d v="2023-07-01T00:00:00"/>
    <n v="28"/>
    <n v="28"/>
    <s v="No"/>
    <d v="2023-01-29T00:00:00"/>
    <x v="2"/>
    <x v="5"/>
    <s v="Brasília"/>
    <s v="Americas - Brazil - Brasília"/>
    <s v="Small Business"/>
    <x v="2"/>
    <x v="8"/>
    <x v="0"/>
    <x v="579"/>
    <n v="860.4"/>
    <n v="2066.6"/>
    <n v="2066.6"/>
    <s v="High"/>
    <n v="0.01"/>
    <n v="0.01"/>
    <s v="No"/>
    <n v="3"/>
    <n v="6137.8019999999988"/>
    <n v="2581.1999999999998"/>
    <n v="3556.601999999999"/>
    <n v="0.57945857491004105"/>
    <n v="0.01"/>
    <n v="3"/>
    <n v="860.4"/>
    <n v="6137.8019999999988"/>
    <n v="3556.601999999999"/>
  </r>
  <r>
    <s v="ORD-2023-856322"/>
    <d v="2023-01-29T00:00:00"/>
    <x v="171"/>
    <s v="Q1-2023"/>
    <d v="2023-02-06T00:00:00"/>
    <d v="2023-02-06T00:00:00"/>
    <n v="8"/>
    <n v="8"/>
    <s v="No"/>
    <d v="2023-01-29T00:00:00"/>
    <x v="2"/>
    <x v="5"/>
    <s v="Brasília"/>
    <s v="Americas - Brazil - Brasília"/>
    <s v="Corporate"/>
    <x v="2"/>
    <x v="14"/>
    <x v="5"/>
    <x v="580"/>
    <n v="41.84"/>
    <n v="86.2"/>
    <n v="86.2"/>
    <s v="Low"/>
    <n v="0.22600000000000001"/>
    <n v="0.22600000000000001"/>
    <s v="Yes"/>
    <n v="27"/>
    <n v="1801.4076000000002"/>
    <n v="1129.68"/>
    <n v="671.72760000000017"/>
    <n v="0.37289039970742882"/>
    <n v="0.22600000000000001"/>
    <n v="27"/>
    <n v="41.84"/>
    <n v="1801.4076000000002"/>
    <n v="671.72760000000017"/>
  </r>
  <r>
    <s v="ORD-2024-594527"/>
    <d v="2024-09-06T00:00:00"/>
    <x v="331"/>
    <s v="Q3-2024"/>
    <d v="2024-09-04T00:00:00"/>
    <d v="2024-09-20T00:00:00"/>
    <n v="-2"/>
    <n v="14"/>
    <s v="No"/>
    <d v="2023-03-03T00:00:00"/>
    <x v="1"/>
    <x v="2"/>
    <s v="Osaka"/>
    <s v="Asia - Japan - Osaka"/>
    <s v="Corporate"/>
    <x v="4"/>
    <x v="8"/>
    <x v="4"/>
    <x v="581"/>
    <n v="1368.17"/>
    <n v="2307.75"/>
    <n v="2307.75"/>
    <s v="High"/>
    <n v="0.16300000000000001"/>
    <n v="0.16300000000000001"/>
    <s v="No"/>
    <n v="21"/>
    <n v="40563.321749999996"/>
    <n v="28731.57"/>
    <n v="11831.751749999996"/>
    <n v="0.29168596750831921"/>
    <n v="0.16300000000000001"/>
    <n v="21"/>
    <n v="1368.17"/>
    <n v="40563.321749999996"/>
    <n v="11831.751749999996"/>
  </r>
  <r>
    <s v="ORD-2024-689872"/>
    <d v="2024-08-03T00:00:00"/>
    <x v="447"/>
    <s v="Q3-2024"/>
    <d v="2024-08-09T00:00:00"/>
    <d v="2024-08-09T00:00:00"/>
    <n v="6"/>
    <n v="6"/>
    <s v="Yes"/>
    <d v="2023-01-20T00:00:00"/>
    <x v="0"/>
    <x v="0"/>
    <s v="Mombasa"/>
    <s v="Africa - Kenya - Mombasa"/>
    <s v="Consumer"/>
    <x v="2"/>
    <x v="10"/>
    <x v="4"/>
    <x v="582"/>
    <n v="643.21"/>
    <n v="1112.81"/>
    <n v="1112.81"/>
    <s v="Medium"/>
    <n v="0.14099999999999999"/>
    <n v="0.14099999999999999"/>
    <s v="No"/>
    <n v="4"/>
    <n v="3823.6151599999998"/>
    <n v="2572.84"/>
    <n v="1250.7751599999997"/>
    <n v="0.32711847496702562"/>
    <n v="0.14099999999999999"/>
    <n v="4"/>
    <n v="643.21"/>
    <n v="3823.6151599999998"/>
    <n v="1250.7751599999997"/>
  </r>
  <r>
    <s v="ORD-2025-246692"/>
    <d v="2025-04-17T00:00:00"/>
    <x v="448"/>
    <s v="Q2-2025"/>
    <d v="2025-04-17T00:00:00"/>
    <d v="2025-04-17T00:00:00"/>
    <n v="0"/>
    <n v="0"/>
    <s v="Yes"/>
    <d v="2023-01-29T00:00:00"/>
    <x v="2"/>
    <x v="5"/>
    <s v="São Paulo"/>
    <s v="Americas - Brazil - São Paulo"/>
    <s v="Corporate"/>
    <x v="3"/>
    <x v="4"/>
    <x v="3"/>
    <x v="583"/>
    <n v="719.41"/>
    <n v="1125.99"/>
    <n v="1125.99"/>
    <s v="Medium"/>
    <n v="4.1000000000000002E-2"/>
    <n v="4.1000000000000002E-2"/>
    <s v="No"/>
    <n v="21"/>
    <n v="22676.312610000001"/>
    <n v="15107.609999999999"/>
    <n v="7568.7026100000021"/>
    <n v="0.33377131194876403"/>
    <n v="4.1000000000000002E-2"/>
    <n v="21"/>
    <n v="719.41"/>
    <n v="22676.312610000001"/>
    <n v="7568.7026100000021"/>
  </r>
  <r>
    <s v="ORD-2023-378676"/>
    <d v="2023-05-03T00:00:00"/>
    <x v="449"/>
    <s v="Q2-2023"/>
    <d v="2023-05-16T00:00:00"/>
    <d v="2023-05-16T00:00:00"/>
    <n v="13"/>
    <n v="13"/>
    <s v="No"/>
    <d v="2023-01-13T00:00:00"/>
    <x v="2"/>
    <x v="10"/>
    <s v="New York"/>
    <s v="Americas - USA - New York"/>
    <s v="Corporate"/>
    <x v="2"/>
    <x v="4"/>
    <x v="3"/>
    <x v="584"/>
    <n v="64.5"/>
    <n v="123.62"/>
    <n v="123.62"/>
    <s v="Low"/>
    <n v="0"/>
    <n v="0"/>
    <s v="No"/>
    <n v="3"/>
    <n v="370.86"/>
    <n v="193.5"/>
    <n v="177.36"/>
    <n v="0.47823976702798904"/>
    <n v="0"/>
    <n v="3"/>
    <n v="64.5"/>
    <n v="370.86"/>
    <n v="177.36"/>
  </r>
  <r>
    <s v="ORD-2024-243988"/>
    <d v="2024-03-13T00:00:00"/>
    <x v="450"/>
    <s v="Q1-2024"/>
    <d v="2024-04-06T00:00:00"/>
    <d v="2024-04-06T00:00:00"/>
    <n v="24"/>
    <n v="24"/>
    <s v="No"/>
    <d v="2023-01-15T00:00:00"/>
    <x v="0"/>
    <x v="1"/>
    <s v="Abuja"/>
    <s v="Africa - Nigeria - Abuja"/>
    <s v="Consumer"/>
    <x v="3"/>
    <x v="4"/>
    <x v="0"/>
    <x v="585"/>
    <n v="1232.78"/>
    <n v="1731.75"/>
    <n v="1731.75"/>
    <s v="High"/>
    <n v="9.2999999999999999E-2"/>
    <n v="9.2999999999999999E-2"/>
    <s v="No"/>
    <n v="16"/>
    <n v="25131.155999999999"/>
    <n v="19724.48"/>
    <n v="5406.6759999999995"/>
    <n v="0.21513837246484005"/>
    <n v="9.2999999999999999E-2"/>
    <n v="16"/>
    <n v="1232.78"/>
    <n v="25131.155999999999"/>
    <n v="5406.6759999999995"/>
  </r>
  <r>
    <s v="ORD-2024-572312"/>
    <d v="2024-06-16T00:00:00"/>
    <x v="249"/>
    <s v="Q2-2024"/>
    <d v="2024-06-21T00:00:00"/>
    <d v="2024-06-21T00:00:00"/>
    <n v="5"/>
    <n v="5"/>
    <s v="Yes"/>
    <d v="2023-03-03T00:00:00"/>
    <x v="1"/>
    <x v="2"/>
    <s v="Tokyo"/>
    <s v="Asia - Japan - Tokyo"/>
    <s v="Small Business"/>
    <x v="3"/>
    <x v="9"/>
    <x v="3"/>
    <x v="586"/>
    <n v="1367.13"/>
    <n v="3062.01"/>
    <n v="3062.01"/>
    <s v="High"/>
    <n v="0.10299999999999999"/>
    <n v="0.10299999999999999"/>
    <s v="No"/>
    <n v="25"/>
    <n v="68665.574250000005"/>
    <n v="34178.25"/>
    <n v="34487.324250000005"/>
    <n v="0.50225057645971705"/>
    <n v="0.10299999999999999"/>
    <n v="25"/>
    <n v="1367.13"/>
    <n v="68665.574250000005"/>
    <n v="34487.324250000005"/>
  </r>
  <r>
    <s v="ORD-2025-281062"/>
    <d v="2025-02-15T00:00:00"/>
    <x v="146"/>
    <s v="Q1-2025"/>
    <d v="2025-02-27T00:00:00"/>
    <d v="2025-02-27T00:00:00"/>
    <n v="12"/>
    <n v="12"/>
    <s v="No"/>
    <d v="2023-01-10T00:00:00"/>
    <x v="3"/>
    <x v="7"/>
    <s v="Lyon"/>
    <s v="Europe - France - Lyon"/>
    <s v="Non-Profit"/>
    <x v="4"/>
    <x v="11"/>
    <x v="6"/>
    <x v="587"/>
    <n v="1027.26"/>
    <n v="2200.41"/>
    <n v="2200.41"/>
    <s v="High"/>
    <n v="8.7999999999999995E-2"/>
    <n v="8.7999999999999995E-2"/>
    <s v="No"/>
    <n v="6"/>
    <n v="12040.64352"/>
    <n v="6163.5599999999995"/>
    <n v="5877.0835200000001"/>
    <n v="0.48810377204822358"/>
    <n v="8.7999999999999995E-2"/>
    <n v="6"/>
    <n v="1027.26"/>
    <n v="12040.64352"/>
    <n v="5877.0835200000001"/>
  </r>
  <r>
    <s v="ORD-2023-727290"/>
    <d v="2023-04-03T00:00:00"/>
    <x v="451"/>
    <s v="Q2-2023"/>
    <d v="2023-04-16T00:00:00"/>
    <d v="2023-04-16T00:00:00"/>
    <n v="13"/>
    <n v="13"/>
    <s v="No"/>
    <d v="2023-01-10T00:00:00"/>
    <x v="3"/>
    <x v="7"/>
    <s v="Marseille"/>
    <s v="Europe - France - Marseille"/>
    <s v="Non-Profit"/>
    <x v="2"/>
    <x v="12"/>
    <x v="6"/>
    <x v="588"/>
    <n v="790.54"/>
    <n v="601.49"/>
    <n v="601.49"/>
    <s v="Low"/>
    <n v="0"/>
    <n v="0"/>
    <s v="No"/>
    <n v="15"/>
    <n v="9022.35"/>
    <n v="11858.099999999999"/>
    <n v="-2835.7499999999982"/>
    <n v="-0.31430281467688553"/>
    <n v="0"/>
    <n v="15"/>
    <n v="790.54"/>
    <n v="9022.35"/>
    <n v="-2835.7499999999982"/>
  </r>
  <r>
    <s v="ORD-2025-993993"/>
    <d v="2025-08-30T00:00:00"/>
    <x v="388"/>
    <s v="Q3-2025"/>
    <d v="2025-09-22T00:00:00"/>
    <d v="2025-09-22T00:00:00"/>
    <n v="23"/>
    <n v="23"/>
    <s v="No"/>
    <d v="2023-01-10T00:00:00"/>
    <x v="3"/>
    <x v="7"/>
    <s v="Marseille"/>
    <s v="Europe - France - Marseille"/>
    <s v="Corporate"/>
    <x v="4"/>
    <x v="6"/>
    <x v="0"/>
    <x v="589"/>
    <n v="663.9"/>
    <n v="947.77"/>
    <n v="947.77"/>
    <s v="Medium"/>
    <n v="0.17399999999999999"/>
    <n v="0.17399999999999999"/>
    <s v="No"/>
    <n v="15"/>
    <n v="11742.8703"/>
    <n v="9958.5"/>
    <n v="1784.3703000000005"/>
    <n v="0.1519535049280073"/>
    <n v="0.17399999999999999"/>
    <n v="15"/>
    <n v="663.9"/>
    <n v="11742.8703"/>
    <n v="1784.3703000000005"/>
  </r>
  <r>
    <s v="ORD-2023-619493"/>
    <d v="2023-02-27T00:00:00"/>
    <x v="452"/>
    <s v="Q1-2023"/>
    <d v="2023-02-26T00:00:00"/>
    <d v="2023-03-09T00:00:00"/>
    <n v="-1"/>
    <n v="10"/>
    <s v="No"/>
    <d v="2023-01-13T00:00:00"/>
    <x v="2"/>
    <x v="10"/>
    <s v="San Francisco"/>
    <s v="Americas - USA - San Francisco"/>
    <s v="Non-Profit"/>
    <x v="1"/>
    <x v="4"/>
    <x v="2"/>
    <x v="590"/>
    <n v="1015.91"/>
    <n v="2331.48"/>
    <n v="2331.48"/>
    <s v="High"/>
    <n v="0.14599999999999999"/>
    <n v="0.14599999999999999"/>
    <s v="No"/>
    <n v="26"/>
    <n v="51768.181920000003"/>
    <n v="26413.66"/>
    <n v="25354.521920000003"/>
    <n v="0.48977037592669626"/>
    <n v="0.14599999999999999"/>
    <n v="26"/>
    <n v="1015.91"/>
    <n v="51768.181920000003"/>
    <n v="25354.521920000003"/>
  </r>
  <r>
    <s v="ORD-2024-947056"/>
    <d v="2024-07-31T00:00:00"/>
    <x v="453"/>
    <s v="Q3-2024"/>
    <d v="2024-08-15T00:00:00"/>
    <d v="2024-08-15T00:00:00"/>
    <n v="15"/>
    <n v="15"/>
    <s v="No"/>
    <d v="2023-03-03T00:00:00"/>
    <x v="1"/>
    <x v="2"/>
    <s v="Tokyo"/>
    <s v="Asia - Japan - Tokyo"/>
    <s v="Corporate"/>
    <x v="2"/>
    <x v="9"/>
    <x v="5"/>
    <x v="591"/>
    <n v="1252.52"/>
    <n v="1417.24"/>
    <n v="1417.24"/>
    <s v="Medium"/>
    <n v="0.192"/>
    <n v="0.192"/>
    <s v="No"/>
    <n v="5"/>
    <n v="5725.6496000000006"/>
    <n v="6262.6"/>
    <n v="-536.95039999999972"/>
    <n v="-9.3779821943696953E-2"/>
    <n v="0.192"/>
    <n v="5"/>
    <n v="1252.52"/>
    <n v="5725.6496000000006"/>
    <n v="-536.95039999999972"/>
  </r>
  <r>
    <s v="ORD-2025-856556"/>
    <d v="2025-06-15T00:00:00"/>
    <x v="325"/>
    <s v="Q2-2025"/>
    <d v="2025-07-12T00:00:00"/>
    <d v="2025-07-12T00:00:00"/>
    <n v="27"/>
    <n v="27"/>
    <s v="No"/>
    <d v="2023-01-10T00:00:00"/>
    <x v="3"/>
    <x v="7"/>
    <s v="Marseille"/>
    <s v="Europe - France - Marseille"/>
    <s v="Consumer"/>
    <x v="4"/>
    <x v="0"/>
    <x v="6"/>
    <x v="592"/>
    <n v="318.83"/>
    <n v="699.5"/>
    <n v="699.5"/>
    <s v="Low"/>
    <n v="0.08"/>
    <n v="0.08"/>
    <s v="No"/>
    <n v="13"/>
    <n v="8366.02"/>
    <n v="4144.79"/>
    <n v="4221.2300000000005"/>
    <n v="0.50456848059172699"/>
    <n v="0.08"/>
    <n v="13"/>
    <n v="318.83"/>
    <n v="8366.02"/>
    <n v="4221.2300000000005"/>
  </r>
  <r>
    <s v="ORD-2024-442776"/>
    <d v="2024-06-30T00:00:00"/>
    <x v="24"/>
    <s v="Q2-2024"/>
    <d v="2024-07-21T00:00:00"/>
    <d v="2024-07-21T00:00:00"/>
    <n v="21"/>
    <n v="21"/>
    <s v="No"/>
    <d v="2023-01-20T00:00:00"/>
    <x v="0"/>
    <x v="0"/>
    <s v="Kisumu"/>
    <s v="Africa - Kenya - Kisumu"/>
    <s v="Small Business"/>
    <x v="0"/>
    <x v="11"/>
    <x v="4"/>
    <x v="593"/>
    <n v="753.43"/>
    <n v="1787.2"/>
    <n v="1787.2"/>
    <s v="High"/>
    <n v="7.2999999999999995E-2"/>
    <n v="7.2999999999999995E-2"/>
    <s v="No"/>
    <n v="9"/>
    <n v="14910.609600000002"/>
    <n v="6780.87"/>
    <n v="8129.7396000000017"/>
    <n v="0.54523187301476939"/>
    <n v="7.2999999999999995E-2"/>
    <n v="9"/>
    <n v="753.43"/>
    <n v="14910.609600000002"/>
    <n v="8129.7396000000017"/>
  </r>
  <r>
    <s v="ORD-2025-705398"/>
    <d v="2025-02-17T00:00:00"/>
    <x v="454"/>
    <s v="Q1-2025"/>
    <d v="2025-02-15T00:00:00"/>
    <d v="2025-02-20T00:00:00"/>
    <n v="-2"/>
    <n v="3"/>
    <s v="Yes"/>
    <d v="2023-01-02T00:00:00"/>
    <x v="2"/>
    <x v="3"/>
    <s v="Toronto"/>
    <s v="Americas - Canada - Toronto"/>
    <s v="Small Business"/>
    <x v="0"/>
    <x v="14"/>
    <x v="0"/>
    <x v="594"/>
    <n v="1133.47"/>
    <n v="1698.75"/>
    <n v="1698.75"/>
    <s v="High"/>
    <n v="4.2999999999999997E-2"/>
    <n v="4.2999999999999997E-2"/>
    <s v="No"/>
    <n v="5"/>
    <n v="8128.5187499999993"/>
    <n v="5667.35"/>
    <n v="2461.1687499999989"/>
    <n v="0.30278194904821976"/>
    <n v="4.2999999999999997E-2"/>
    <n v="5"/>
    <n v="1133.47"/>
    <n v="8128.5187499999993"/>
    <n v="2461.1687499999989"/>
  </r>
  <r>
    <s v="ORD-2023-689428"/>
    <d v="2023-01-07T00:00:00"/>
    <x v="455"/>
    <s v="Q1-2023"/>
    <d v="2023-01-30T00:00:00"/>
    <d v="2023-01-30T00:00:00"/>
    <n v="23"/>
    <n v="23"/>
    <s v="No"/>
    <d v="2023-01-07T00:00:00"/>
    <x v="0"/>
    <x v="11"/>
    <s v="Cape Town"/>
    <s v="Africa - South Africa - Cape Town"/>
    <s v="Consumer"/>
    <x v="1"/>
    <x v="8"/>
    <x v="1"/>
    <x v="595"/>
    <n v="299.02"/>
    <n v="724.7"/>
    <n v="724.7"/>
    <s v="Low"/>
    <n v="0.14000000000000001"/>
    <n v="0.14000000000000001"/>
    <s v="No"/>
    <n v="5"/>
    <n v="3116.21"/>
    <n v="1495.1"/>
    <n v="1621.1100000000001"/>
    <n v="0.52021847051386139"/>
    <n v="0.14000000000000001"/>
    <n v="5"/>
    <n v="299.02"/>
    <n v="3116.21"/>
    <n v="1621.1100000000001"/>
  </r>
  <r>
    <s v="ORD-2025-683247"/>
    <d v="2025-03-10T00:00:00"/>
    <x v="402"/>
    <s v="Q1-2025"/>
    <d v="2025-04-04T00:00:00"/>
    <d v="2025-04-04T00:00:00"/>
    <n v="25"/>
    <n v="25"/>
    <s v="No"/>
    <d v="2023-03-03T00:00:00"/>
    <x v="1"/>
    <x v="2"/>
    <s v="Osaka"/>
    <s v="Asia - Japan - Osaka"/>
    <s v="Corporate"/>
    <x v="4"/>
    <x v="10"/>
    <x v="1"/>
    <x v="596"/>
    <n v="783.72"/>
    <n v="1355.94"/>
    <n v="1355.94"/>
    <s v="Medium"/>
    <n v="0.187"/>
    <n v="0.187"/>
    <s v="No"/>
    <n v="4"/>
    <n v="4409.5168800000001"/>
    <n v="3134.88"/>
    <n v="1274.63688"/>
    <n v="0.28906497348525856"/>
    <n v="0.187"/>
    <n v="4"/>
    <n v="783.72"/>
    <n v="4409.5168800000001"/>
    <n v="1274.63688"/>
  </r>
  <r>
    <s v="ORD-2024-585443"/>
    <d v="2024-08-17T00:00:00"/>
    <x v="456"/>
    <s v="Q3-2024"/>
    <d v="2024-08-15T00:00:00"/>
    <d v="2024-08-21T00:00:00"/>
    <n v="-2"/>
    <n v="4"/>
    <s v="Yes"/>
    <d v="2023-01-29T00:00:00"/>
    <x v="2"/>
    <x v="5"/>
    <s v="Rio de Janeiro"/>
    <s v="Americas - Brazil - Rio de Janeiro"/>
    <s v="Consumer"/>
    <x v="4"/>
    <x v="12"/>
    <x v="5"/>
    <x v="597"/>
    <n v="165.3"/>
    <n v="275.07"/>
    <n v="275.07"/>
    <s v="Low"/>
    <n v="0.13300000000000001"/>
    <n v="0.13300000000000001"/>
    <s v="No"/>
    <n v="25"/>
    <n v="5962.1422499999999"/>
    <n v="4132.5"/>
    <n v="1829.6422499999999"/>
    <n v="0.30687665159280625"/>
    <n v="0.13300000000000001"/>
    <n v="25"/>
    <n v="165.3"/>
    <n v="5962.1422499999999"/>
    <n v="1829.6422499999999"/>
  </r>
  <r>
    <s v="ORD-2024-907733"/>
    <d v="2024-03-09T00:00:00"/>
    <x v="307"/>
    <s v="Q1-2024"/>
    <d v="2024-03-22T00:00:00"/>
    <d v="2024-03-22T00:00:00"/>
    <n v="13"/>
    <n v="13"/>
    <s v="No"/>
    <d v="2023-01-19T00:00:00"/>
    <x v="3"/>
    <x v="8"/>
    <s v="Manchester"/>
    <s v="Europe - United Kingdom - Manchester"/>
    <s v="Consumer"/>
    <x v="1"/>
    <x v="6"/>
    <x v="4"/>
    <x v="598"/>
    <n v="985.45"/>
    <n v="1802.44"/>
    <n v="1802.44"/>
    <s v="High"/>
    <n v="8.9999999999999993E-3"/>
    <n v="8.9999999999999993E-3"/>
    <s v="No"/>
    <n v="19"/>
    <n v="33938.142760000002"/>
    <n v="18723.55"/>
    <n v="15214.592760000003"/>
    <n v="0.44830363486867486"/>
    <n v="8.9999999999999993E-3"/>
    <n v="19"/>
    <n v="985.45"/>
    <n v="33938.142760000002"/>
    <n v="15214.592760000003"/>
  </r>
  <r>
    <s v="ORD-2024-550400"/>
    <d v="2024-08-19T00:00:00"/>
    <x v="396"/>
    <s v="Q3-2024"/>
    <d v="2024-09-02T00:00:00"/>
    <d v="2024-09-02T00:00:00"/>
    <n v="14"/>
    <n v="14"/>
    <s v="No"/>
    <d v="2023-01-02T00:00:00"/>
    <x v="2"/>
    <x v="3"/>
    <s v="Toronto"/>
    <s v="Americas - Canada - Toronto"/>
    <s v="Consumer"/>
    <x v="3"/>
    <x v="0"/>
    <x v="1"/>
    <x v="599"/>
    <n v="1337.01"/>
    <n v="1269.78"/>
    <n v="1269.78"/>
    <s v="Medium"/>
    <n v="0.16"/>
    <n v="0.16"/>
    <s v="No"/>
    <n v="7"/>
    <n v="7466.3063999999986"/>
    <n v="9359.07"/>
    <n v="-1892.7636000000011"/>
    <n v="-0.25350735672996244"/>
    <n v="0.16"/>
    <n v="7"/>
    <n v="1337.01"/>
    <n v="7466.3063999999986"/>
    <n v="-1892.7636000000011"/>
  </r>
  <r>
    <s v="ORD-2025-189846"/>
    <d v="2025-08-11T00:00:00"/>
    <x v="457"/>
    <s v="Q3-2025"/>
    <d v="2025-08-28T00:00:00"/>
    <d v="2025-08-28T00:00:00"/>
    <n v="17"/>
    <n v="17"/>
    <s v="No"/>
    <d v="2023-01-10T00:00:00"/>
    <x v="3"/>
    <x v="7"/>
    <s v="Paris"/>
    <s v="Europe - France - Paris"/>
    <s v="Education"/>
    <x v="1"/>
    <x v="9"/>
    <x v="2"/>
    <x v="600"/>
    <n v="416.16"/>
    <n v="571.9"/>
    <n v="571.9"/>
    <s v="Low"/>
    <n v="7.0999999999999994E-2"/>
    <n v="7.0999999999999994E-2"/>
    <s v="No"/>
    <n v="2"/>
    <n v="1062.5902000000001"/>
    <n v="832.32"/>
    <n v="230.27020000000005"/>
    <n v="0.21670649701079497"/>
    <n v="7.0999999999999994E-2"/>
    <n v="2"/>
    <n v="416.16"/>
    <n v="1062.5902000000001"/>
    <n v="230.27020000000005"/>
  </r>
  <r>
    <s v="ORD-2025-752192"/>
    <d v="2025-05-16T00:00:00"/>
    <x v="217"/>
    <s v="Q2-2025"/>
    <d v="2025-05-18T00:00:00"/>
    <d v="2025-05-18T00:00:00"/>
    <n v="2"/>
    <n v="2"/>
    <s v="Yes"/>
    <d v="2023-03-03T00:00:00"/>
    <x v="1"/>
    <x v="2"/>
    <s v="Tokyo"/>
    <s v="Asia - Japan - Tokyo"/>
    <s v="Enterprise"/>
    <x v="0"/>
    <x v="1"/>
    <x v="1"/>
    <x v="601"/>
    <n v="1144.3800000000001"/>
    <n v="2755.04"/>
    <n v="2755.04"/>
    <s v="High"/>
    <n v="0.15"/>
    <n v="0.15"/>
    <s v="No"/>
    <n v="17"/>
    <n v="39810.328000000001"/>
    <n v="19454.460000000003"/>
    <n v="20355.867999999999"/>
    <n v="0.51132128326096682"/>
    <n v="0.15"/>
    <n v="17"/>
    <n v="1144.3800000000001"/>
    <n v="39810.328000000001"/>
    <n v="20355.867999999999"/>
  </r>
  <r>
    <s v="ORD-2023-294716"/>
    <d v="2023-04-10T00:00:00"/>
    <x v="458"/>
    <s v="Q2-2023"/>
    <d v="2023-04-25T00:00:00"/>
    <d v="2023-04-25T00:00:00"/>
    <n v="15"/>
    <n v="15"/>
    <s v="No"/>
    <d v="2023-01-19T00:00:00"/>
    <x v="3"/>
    <x v="8"/>
    <s v="London"/>
    <s v="Europe - United Kingdom - London"/>
    <s v="Small Business"/>
    <x v="0"/>
    <x v="14"/>
    <x v="1"/>
    <x v="602"/>
    <n v="405.66"/>
    <n v="962.51"/>
    <n v="962.51"/>
    <s v="Medium"/>
    <n v="0.19"/>
    <n v="0.19"/>
    <s v="No"/>
    <n v="7"/>
    <n v="5457.4317000000001"/>
    <n v="2839.6200000000003"/>
    <n v="2617.8116999999997"/>
    <n v="0.47967832561239376"/>
    <n v="0.19"/>
    <n v="7"/>
    <n v="405.66"/>
    <n v="5457.4317000000001"/>
    <n v="2617.8116999999997"/>
  </r>
  <r>
    <s v="ORD-2023-552115"/>
    <d v="2023-09-17T00:00:00"/>
    <x v="459"/>
    <s v="Q3-2023"/>
    <d v="2023-10-02T00:00:00"/>
    <d v="2023-10-02T00:00:00"/>
    <n v="15"/>
    <n v="15"/>
    <s v="No"/>
    <d v="2023-01-29T00:00:00"/>
    <x v="2"/>
    <x v="5"/>
    <s v="Rio de Janeiro"/>
    <s v="Americas - Brazil - Rio de Janeiro"/>
    <s v="Small Business"/>
    <x v="0"/>
    <x v="5"/>
    <x v="4"/>
    <x v="603"/>
    <n v="689.33"/>
    <n v="668.27"/>
    <n v="668.27"/>
    <s v="Low"/>
    <n v="0.186"/>
    <n v="0.186"/>
    <s v="No"/>
    <n v="13"/>
    <n v="7071.6331400000008"/>
    <n v="8961.2900000000009"/>
    <n v="-1889.6568600000001"/>
    <n v="-0.26721647214861033"/>
    <n v="0.186"/>
    <n v="13"/>
    <n v="689.33"/>
    <n v="7071.6331400000008"/>
    <n v="-1889.6568600000001"/>
  </r>
  <r>
    <s v="ORD-2023-107265"/>
    <d v="2023-04-22T00:00:00"/>
    <x v="460"/>
    <s v="Q2-2023"/>
    <d v="2023-05-14T00:00:00"/>
    <d v="2023-05-14T00:00:00"/>
    <n v="22"/>
    <n v="22"/>
    <s v="No"/>
    <d v="2023-03-03T00:00:00"/>
    <x v="1"/>
    <x v="2"/>
    <s v="Nagoya"/>
    <s v="Asia - Japan - Nagoya"/>
    <s v="Enterprise"/>
    <x v="0"/>
    <x v="8"/>
    <x v="6"/>
    <x v="604"/>
    <n v="1209.22"/>
    <n v="1404.33"/>
    <n v="1404.33"/>
    <s v="Medium"/>
    <n v="0.10299999999999999"/>
    <n v="0.10299999999999999"/>
    <s v="No"/>
    <n v="11"/>
    <n v="13856.52411"/>
    <n v="13301.42"/>
    <n v="555.10411000000022"/>
    <n v="4.0060848275751328E-2"/>
    <n v="0.10299999999999999"/>
    <n v="11"/>
    <n v="1209.22"/>
    <n v="13856.52411"/>
    <n v="555.10411000000022"/>
  </r>
  <r>
    <s v="ORD-2025-262434"/>
    <d v="2025-06-19T00:00:00"/>
    <x v="111"/>
    <s v="Q2-2025"/>
    <d v="2025-06-21T00:00:00"/>
    <d v="2025-06-21T00:00:00"/>
    <n v="2"/>
    <n v="2"/>
    <s v="Yes"/>
    <d v="2023-01-07T00:00:00"/>
    <x v="0"/>
    <x v="11"/>
    <s v="Johannesburg"/>
    <s v="Africa - South Africa - Johannesburg"/>
    <s v="Small Business"/>
    <x v="3"/>
    <x v="10"/>
    <x v="3"/>
    <x v="605"/>
    <n v="1466.27"/>
    <n v="3589.89"/>
    <n v="3589.89"/>
    <s v="High"/>
    <n v="9.7000000000000003E-2"/>
    <n v="9.7000000000000003E-2"/>
    <s v="No"/>
    <n v="9"/>
    <n v="29175.036029999999"/>
    <n v="13196.43"/>
    <n v="15978.606029999999"/>
    <n v="0.54768076425234147"/>
    <n v="9.7000000000000003E-2"/>
    <n v="9"/>
    <n v="1466.27"/>
    <n v="29175.036029999999"/>
    <n v="15978.606029999999"/>
  </r>
  <r>
    <s v="ORD-2024-266562"/>
    <d v="2024-11-27T00:00:00"/>
    <x v="461"/>
    <s v="Q4-2024"/>
    <d v="2024-12-24T00:00:00"/>
    <d v="2024-12-24T00:00:00"/>
    <n v="27"/>
    <n v="27"/>
    <s v="No"/>
    <d v="2023-01-20T00:00:00"/>
    <x v="0"/>
    <x v="0"/>
    <s v="Mombasa"/>
    <s v="Africa - Kenya - Mombasa"/>
    <s v="Corporate"/>
    <x v="3"/>
    <x v="5"/>
    <x v="1"/>
    <x v="606"/>
    <n v="143.33000000000001"/>
    <n v="233.51"/>
    <n v="233.51"/>
    <s v="Low"/>
    <n v="0.16300000000000001"/>
    <n v="0.16300000000000001"/>
    <s v="No"/>
    <n v="14"/>
    <n v="2736.27018"/>
    <n v="2006.6200000000001"/>
    <n v="729.65017999999986"/>
    <n v="0.26665867476580835"/>
    <n v="0.16300000000000001"/>
    <n v="14"/>
    <n v="143.33000000000001"/>
    <n v="2736.27018"/>
    <n v="729.65017999999986"/>
  </r>
  <r>
    <s v="ORD-2024-838925"/>
    <d v="2024-01-28T00:00:00"/>
    <x v="10"/>
    <s v="Q1-2024"/>
    <d v="2024-01-27T00:00:00"/>
    <d v="2024-02-03T00:00:00"/>
    <n v="-1"/>
    <n v="6"/>
    <s v="Yes"/>
    <d v="2023-01-07T00:00:00"/>
    <x v="0"/>
    <x v="11"/>
    <s v="Cape Town"/>
    <s v="Africa - South Africa - Cape Town"/>
    <s v="Enterprise"/>
    <x v="4"/>
    <x v="7"/>
    <x v="0"/>
    <x v="607"/>
    <n v="109.75"/>
    <n v="124.25"/>
    <n v="124.25"/>
    <s v="Low"/>
    <n v="0.12"/>
    <n v="0.12"/>
    <s v="No"/>
    <n v="19"/>
    <n v="2077.46"/>
    <n v="2085.25"/>
    <n v="-7.7899999999999636"/>
    <n v="-3.7497713554051405E-3"/>
    <n v="0.12"/>
    <n v="19"/>
    <n v="109.75"/>
    <n v="2077.46"/>
    <n v="-7.7899999999999636"/>
  </r>
  <r>
    <s v="ORD-2023-664790"/>
    <d v="2023-04-16T00:00:00"/>
    <x v="387"/>
    <s v="Q2-2023"/>
    <d v="2023-04-23T00:00:00"/>
    <d v="2023-04-23T00:00:00"/>
    <n v="7"/>
    <n v="7"/>
    <s v="Yes"/>
    <d v="2023-01-13T00:00:00"/>
    <x v="2"/>
    <x v="10"/>
    <s v="Austin"/>
    <s v="Americas - USA - Austin"/>
    <s v="Corporate"/>
    <x v="3"/>
    <x v="7"/>
    <x v="1"/>
    <x v="608"/>
    <n v="1099.1500000000001"/>
    <n v="1431.37"/>
    <n v="1431.37"/>
    <s v="Medium"/>
    <n v="0.104"/>
    <n v="0.104"/>
    <s v="No"/>
    <n v="8"/>
    <n v="10260.060159999999"/>
    <n v="8793.2000000000007"/>
    <n v="1466.8601599999984"/>
    <n v="0.14296798821109433"/>
    <n v="0.104"/>
    <n v="8"/>
    <n v="1099.1500000000001"/>
    <n v="10260.060159999999"/>
    <n v="1466.8601599999984"/>
  </r>
  <r>
    <s v="ORD-2024-331408"/>
    <d v="2024-02-01T00:00:00"/>
    <x v="145"/>
    <s v="Q1-2024"/>
    <d v="2024-02-01T00:00:00"/>
    <d v="2024-02-01T00:00:00"/>
    <n v="0"/>
    <n v="0"/>
    <s v="Yes"/>
    <d v="2023-01-13T00:00:00"/>
    <x v="2"/>
    <x v="10"/>
    <s v="Austin"/>
    <s v="Americas - USA - Austin"/>
    <s v="Consumer"/>
    <x v="3"/>
    <x v="10"/>
    <x v="1"/>
    <x v="609"/>
    <n v="714.43"/>
    <n v="1595.52"/>
    <n v="1595.52"/>
    <s v="Medium"/>
    <n v="0.19400000000000001"/>
    <n v="0.19400000000000001"/>
    <s v="No"/>
    <n v="14"/>
    <n v="18003.847679999999"/>
    <n v="10002.019999999999"/>
    <n v="8001.8276800000003"/>
    <n v="0.44445097638151093"/>
    <n v="0.19400000000000001"/>
    <n v="14"/>
    <n v="714.43"/>
    <n v="18003.847679999999"/>
    <n v="8001.8276800000003"/>
  </r>
  <r>
    <s v="ORD-2024-741404"/>
    <d v="2024-10-19T00:00:00"/>
    <x v="462"/>
    <s v="Q4-2024"/>
    <d v="2024-11-06T00:00:00"/>
    <d v="2024-11-06T00:00:00"/>
    <n v="18"/>
    <n v="18"/>
    <s v="No"/>
    <d v="2023-01-13T00:00:00"/>
    <x v="2"/>
    <x v="10"/>
    <s v="Chicago"/>
    <s v="Americas - USA - Chicago"/>
    <s v="Education"/>
    <x v="2"/>
    <x v="0"/>
    <x v="5"/>
    <x v="610"/>
    <n v="942.02"/>
    <n v="1028.46"/>
    <n v="1028.46"/>
    <s v="Medium"/>
    <n v="0"/>
    <n v="0"/>
    <s v="No"/>
    <n v="9"/>
    <n v="9256.14"/>
    <n v="8478.18"/>
    <n v="777.95999999999913"/>
    <n v="8.4047994088248354E-2"/>
    <n v="0"/>
    <n v="9"/>
    <n v="942.02"/>
    <n v="9256.14"/>
    <n v="777.95999999999913"/>
  </r>
  <r>
    <s v="ORD-2024-341535"/>
    <d v="2024-06-25T00:00:00"/>
    <x v="463"/>
    <s v="Q2-2024"/>
    <d v="2024-06-30T00:00:00"/>
    <d v="2024-06-30T00:00:00"/>
    <n v="5"/>
    <n v="5"/>
    <s v="Yes"/>
    <d v="2023-01-20T00:00:00"/>
    <x v="0"/>
    <x v="0"/>
    <s v="Kisumu"/>
    <s v="Africa - Kenya - Kisumu"/>
    <s v="Education"/>
    <x v="4"/>
    <x v="12"/>
    <x v="2"/>
    <x v="611"/>
    <n v="1323.55"/>
    <n v="3230.35"/>
    <n v="3230.35"/>
    <s v="High"/>
    <n v="2.1999999999999999E-2"/>
    <n v="2.1999999999999999E-2"/>
    <s v="No"/>
    <n v="26"/>
    <n v="82141.339799999987"/>
    <n v="34412.299999999996"/>
    <n v="47729.039799999991"/>
    <n v="0.58105991351263542"/>
    <n v="2.1999999999999999E-2"/>
    <n v="26"/>
    <n v="1323.55"/>
    <n v="82141.339799999987"/>
    <n v="47729.039799999991"/>
  </r>
  <r>
    <s v="ORD-2023-451931"/>
    <d v="2023-07-30T00:00:00"/>
    <x v="203"/>
    <s v="Q3-2023"/>
    <d v="2023-08-19T00:00:00"/>
    <d v="2023-08-19T00:00:00"/>
    <n v="20"/>
    <n v="20"/>
    <s v="No"/>
    <d v="2023-01-10T00:00:00"/>
    <x v="3"/>
    <x v="7"/>
    <s v="Paris"/>
    <s v="Europe - France - Paris"/>
    <s v="Enterprise"/>
    <x v="2"/>
    <x v="3"/>
    <x v="2"/>
    <x v="612"/>
    <n v="1418.51"/>
    <n v="2789.61"/>
    <n v="2789.61"/>
    <s v="High"/>
    <n v="0.17100000000000001"/>
    <n v="0.17100000000000001"/>
    <s v="No"/>
    <n v="8"/>
    <n v="18500.693520000001"/>
    <n v="11348.08"/>
    <n v="7152.6135200000008"/>
    <n v="0.38661326464695689"/>
    <n v="0.17100000000000001"/>
    <n v="8"/>
    <n v="1418.51"/>
    <n v="18500.693520000001"/>
    <n v="7152.6135200000008"/>
  </r>
  <r>
    <s v="ORD-2025-532859"/>
    <d v="2025-03-11T00:00:00"/>
    <x v="418"/>
    <s v="Q1-2025"/>
    <d v="2025-03-27T00:00:00"/>
    <d v="2025-03-27T00:00:00"/>
    <n v="16"/>
    <n v="16"/>
    <s v="No"/>
    <d v="2023-03-03T00:00:00"/>
    <x v="1"/>
    <x v="2"/>
    <s v="Tokyo"/>
    <s v="Asia - Japan - Tokyo"/>
    <s v="Enterprise"/>
    <x v="3"/>
    <x v="5"/>
    <x v="1"/>
    <x v="613"/>
    <n v="1317.58"/>
    <n v="1897.74"/>
    <n v="1897.74"/>
    <s v="High"/>
    <n v="8.1000000000000003E-2"/>
    <n v="8.1000000000000003E-2"/>
    <s v="No"/>
    <n v="6"/>
    <n v="10464.138360000001"/>
    <n v="7905.48"/>
    <n v="2558.6583600000013"/>
    <n v="0.24451687009230266"/>
    <n v="8.1000000000000003E-2"/>
    <n v="6"/>
    <n v="1317.58"/>
    <n v="10464.138360000001"/>
    <n v="2558.6583600000013"/>
  </r>
  <r>
    <s v="ORD-2023-502205"/>
    <d v="2023-10-09T00:00:00"/>
    <x v="327"/>
    <s v="Q4-2023"/>
    <d v="2023-10-11T00:00:00"/>
    <d v="2023-10-11T00:00:00"/>
    <n v="2"/>
    <n v="2"/>
    <s v="Yes"/>
    <d v="2023-01-15T00:00:00"/>
    <x v="0"/>
    <x v="1"/>
    <s v="Port Harcourt"/>
    <s v="Africa - Nigeria - Port Harcourt"/>
    <s v="Education"/>
    <x v="2"/>
    <x v="11"/>
    <x v="2"/>
    <x v="614"/>
    <n v="391.16"/>
    <n v="902.47"/>
    <n v="902.47"/>
    <s v="Medium"/>
    <n v="4.0000000000000001E-3"/>
    <n v="4.0000000000000001E-3"/>
    <s v="No"/>
    <n v="12"/>
    <n v="10786.32144"/>
    <n v="4693.92"/>
    <n v="6092.4014399999996"/>
    <n v="0.56482661618139207"/>
    <n v="4.0000000000000001E-3"/>
    <n v="12"/>
    <n v="391.16"/>
    <n v="10786.32144"/>
    <n v="6092.4014399999996"/>
  </r>
  <r>
    <s v="ORD-2024-930679"/>
    <d v="2024-12-17T00:00:00"/>
    <x v="55"/>
    <s v="Q4-2024"/>
    <d v="2025-01-16T00:00:00"/>
    <d v="2025-01-16T00:00:00"/>
    <n v="30"/>
    <n v="30"/>
    <s v="No"/>
    <d v="2023-01-19T00:00:00"/>
    <x v="3"/>
    <x v="8"/>
    <s v="Manchester"/>
    <s v="Europe - United Kingdom - Manchester"/>
    <s v="Corporate"/>
    <x v="0"/>
    <x v="14"/>
    <x v="5"/>
    <x v="615"/>
    <n v="722.87"/>
    <n v="-33.659999999999997"/>
    <n v="33.659999999999997"/>
    <s v="Low"/>
    <n v="0.10199999999999999"/>
    <n v="0.10199999999999999"/>
    <s v="No"/>
    <n v="28"/>
    <n v="-846.34703999999988"/>
    <n v="20240.36"/>
    <n v="-21086.707040000001"/>
    <n v="24.914965189693348"/>
    <n v="0.10199999999999999"/>
    <n v="28"/>
    <n v="722.87"/>
    <n v="846.34703999999988"/>
    <n v="-19394.01296"/>
  </r>
  <r>
    <s v="ORD-2025-150713"/>
    <d v="2025-07-11T00:00:00"/>
    <x v="445"/>
    <s v="Q3-2025"/>
    <d v="2025-07-16T00:00:00"/>
    <d v="2025-07-16T00:00:00"/>
    <n v="5"/>
    <n v="5"/>
    <s v="Yes"/>
    <d v="2023-01-19T00:00:00"/>
    <x v="3"/>
    <x v="8"/>
    <s v="London"/>
    <s v="Europe - United Kingdom - London"/>
    <s v="Enterprise"/>
    <x v="1"/>
    <x v="11"/>
    <x v="1"/>
    <x v="616"/>
    <n v="930.03"/>
    <n v="1086.68"/>
    <n v="1086.68"/>
    <s v="Medium"/>
    <n v="0.109"/>
    <n v="0.109"/>
    <s v="No"/>
    <n v="26"/>
    <n v="25174.028880000002"/>
    <n v="24180.78"/>
    <n v="993.24888000000283"/>
    <n v="3.9455300728168656E-2"/>
    <n v="0.109"/>
    <n v="26"/>
    <n v="930.03"/>
    <n v="25174.028880000002"/>
    <n v="993.24888000000283"/>
  </r>
  <r>
    <s v="ORD-2024-756884"/>
    <d v="2024-10-13T00:00:00"/>
    <x v="464"/>
    <s v="Q4-2024"/>
    <d v="2024-10-24T00:00:00"/>
    <d v="2024-10-24T00:00:00"/>
    <n v="11"/>
    <n v="11"/>
    <s v="No"/>
    <d v="2023-01-10T00:00:00"/>
    <x v="3"/>
    <x v="7"/>
    <s v="Paris"/>
    <s v="Europe - France - Paris"/>
    <s v="Education"/>
    <x v="3"/>
    <x v="9"/>
    <x v="0"/>
    <x v="617"/>
    <n v="816.7"/>
    <n v="1010.75"/>
    <n v="1010.75"/>
    <s v="Medium"/>
    <n v="4.7E-2"/>
    <n v="4.7E-2"/>
    <s v="No"/>
    <n v="43"/>
    <n v="41419.524249999995"/>
    <n v="35118.1"/>
    <n v="6301.4242499999964"/>
    <n v="0.15213656757537472"/>
    <n v="4.7E-2"/>
    <n v="43"/>
    <n v="816.7"/>
    <n v="41419.524249999995"/>
    <n v="6301.4242499999964"/>
  </r>
  <r>
    <s v="ORD-2023-755337"/>
    <d v="2023-09-08T00:00:00"/>
    <x v="429"/>
    <s v="Q3-2023"/>
    <d v="2023-09-14T00:00:00"/>
    <d v="2023-09-14T00:00:00"/>
    <n v="6"/>
    <n v="6"/>
    <s v="Yes"/>
    <d v="2023-01-20T00:00:00"/>
    <x v="0"/>
    <x v="0"/>
    <s v="Nakuru"/>
    <s v="Africa - Kenya - Nakuru"/>
    <s v="Education"/>
    <x v="4"/>
    <x v="2"/>
    <x v="6"/>
    <x v="618"/>
    <n v="251.03"/>
    <n v="411.48"/>
    <n v="411.48"/>
    <s v="Low"/>
    <n v="0.16500000000000001"/>
    <n v="0.16500000000000001"/>
    <s v="No"/>
    <n v="3"/>
    <n v="1030.7574"/>
    <n v="753.09"/>
    <n v="277.66739999999993"/>
    <n v="0.26938191275658069"/>
    <n v="0.16500000000000001"/>
    <n v="3"/>
    <n v="251.03"/>
    <n v="1030.7574"/>
    <n v="277.66739999999993"/>
  </r>
  <r>
    <s v="ORD-2025-907040"/>
    <d v="2025-04-17T00:00:00"/>
    <x v="448"/>
    <s v="Q2-2025"/>
    <d v="2025-05-03T00:00:00"/>
    <d v="2025-05-03T00:00:00"/>
    <n v="16"/>
    <n v="16"/>
    <s v="No"/>
    <d v="2023-01-29T00:00:00"/>
    <x v="2"/>
    <x v="5"/>
    <s v="Rio de Janeiro"/>
    <s v="Americas - Brazil - Rio de Janeiro"/>
    <s v="Consumer"/>
    <x v="2"/>
    <x v="1"/>
    <x v="2"/>
    <x v="619"/>
    <n v="168.68"/>
    <n v="413.34"/>
    <n v="413.34"/>
    <s v="Low"/>
    <n v="0.186"/>
    <n v="0.186"/>
    <s v="No"/>
    <n v="7"/>
    <n v="2355.2113199999999"/>
    <n v="1180.76"/>
    <n v="1174.4513199999999"/>
    <n v="0.49866069767361682"/>
    <n v="0.186"/>
    <n v="7"/>
    <n v="168.68"/>
    <n v="2355.2113199999999"/>
    <n v="1174.4513199999999"/>
  </r>
  <r>
    <s v="ORD-2024-817997"/>
    <d v="2024-07-28T00:00:00"/>
    <x v="465"/>
    <s v="Q3-2024"/>
    <d v="2024-08-23T00:00:00"/>
    <d v="2024-08-23T00:00:00"/>
    <n v="26"/>
    <n v="26"/>
    <s v="No"/>
    <d v="2023-01-29T00:00:00"/>
    <x v="1"/>
    <x v="4"/>
    <s v="Hyderabad"/>
    <s v="Asia - India - Hyderabad"/>
    <s v="Corporate"/>
    <x v="0"/>
    <x v="1"/>
    <x v="2"/>
    <x v="620"/>
    <n v="1339.24"/>
    <n v="1558.89"/>
    <n v="1558.89"/>
    <s v="Medium"/>
    <n v="0.192"/>
    <n v="0.192"/>
    <s v="No"/>
    <n v="24"/>
    <n v="30229.994880000002"/>
    <n v="32141.760000000002"/>
    <n v="-1911.76512"/>
    <n v="-6.3240669659021781E-2"/>
    <n v="0.192"/>
    <n v="24"/>
    <n v="1339.24"/>
    <n v="30229.994880000002"/>
    <n v="-1911.76512"/>
  </r>
  <r>
    <s v="ORD-2025-649633"/>
    <d v="2025-07-19T00:00:00"/>
    <x v="466"/>
    <s v="Q3-2025"/>
    <d v="2025-07-31T00:00:00"/>
    <d v="2025-07-31T00:00:00"/>
    <n v="12"/>
    <n v="12"/>
    <s v="No"/>
    <d v="2023-01-20T00:00:00"/>
    <x v="0"/>
    <x v="0"/>
    <s v="Nairobi"/>
    <s v="Africa - Kenya - Nairobi"/>
    <s v="Small Business"/>
    <x v="2"/>
    <x v="7"/>
    <x v="6"/>
    <x v="621"/>
    <n v="619.64"/>
    <n v="861.16"/>
    <n v="861.16"/>
    <s v="Medium"/>
    <n v="0.113"/>
    <n v="0.113"/>
    <s v="No"/>
    <n v="14"/>
    <n v="10693.88488"/>
    <n v="8674.9599999999991"/>
    <n v="2018.9248800000005"/>
    <n v="0.18879246435276761"/>
    <n v="0.113"/>
    <n v="14"/>
    <n v="619.64"/>
    <n v="10693.88488"/>
    <n v="2018.9248800000005"/>
  </r>
  <r>
    <s v="ORD-2023-885216"/>
    <d v="2023-08-03T00:00:00"/>
    <x v="242"/>
    <s v="Q3-2023"/>
    <d v="2023-08-02T00:00:00"/>
    <d v="2023-08-16T00:00:00"/>
    <n v="-1"/>
    <n v="13"/>
    <s v="No"/>
    <d v="2023-01-12T00:00:00"/>
    <x v="1"/>
    <x v="9"/>
    <s v="Shanghai"/>
    <s v="Asia - China - Shanghai"/>
    <s v="Non-Profit"/>
    <x v="4"/>
    <x v="1"/>
    <x v="2"/>
    <x v="622"/>
    <n v="1021.97"/>
    <n v="2296.25"/>
    <n v="2296.25"/>
    <s v="High"/>
    <n v="0.161"/>
    <n v="0.161"/>
    <s v="No"/>
    <n v="26"/>
    <n v="50090.397499999999"/>
    <n v="26571.22"/>
    <n v="23519.177499999998"/>
    <n v="0.46953465482081669"/>
    <n v="0.161"/>
    <n v="26"/>
    <n v="1021.97"/>
    <n v="50090.397499999999"/>
    <n v="23519.177499999998"/>
  </r>
  <r>
    <s v="ORD-2023-561823"/>
    <d v="2023-11-19T00:00:00"/>
    <x v="112"/>
    <s v="Q4-2023"/>
    <d v="2023-12-12T00:00:00"/>
    <d v="2023-12-12T00:00:00"/>
    <n v="23"/>
    <n v="23"/>
    <s v="No"/>
    <d v="2023-01-29T00:00:00"/>
    <x v="1"/>
    <x v="4"/>
    <s v="Delhi"/>
    <s v="Asia - India - Delhi"/>
    <s v="Small Business"/>
    <x v="4"/>
    <x v="0"/>
    <x v="2"/>
    <x v="623"/>
    <n v="1349.04"/>
    <n v="2636.6"/>
    <n v="2636.6"/>
    <s v="High"/>
    <n v="0.114"/>
    <n v="0.114"/>
    <s v="No"/>
    <n v="14"/>
    <n v="32704.386400000003"/>
    <n v="18886.559999999998"/>
    <n v="13817.826400000005"/>
    <n v="0.42250682312143928"/>
    <n v="0.114"/>
    <n v="14"/>
    <n v="1349.04"/>
    <n v="32704.386400000003"/>
    <n v="13817.826400000005"/>
  </r>
  <r>
    <s v="ORD-2023-249805"/>
    <d v="2023-12-22T00:00:00"/>
    <x v="81"/>
    <s v="Q4-2023"/>
    <d v="2024-01-16T00:00:00"/>
    <d v="2024-01-16T00:00:00"/>
    <n v="25"/>
    <n v="25"/>
    <s v="No"/>
    <d v="2023-01-29T00:00:00"/>
    <x v="1"/>
    <x v="4"/>
    <s v="Hyderabad"/>
    <s v="Asia - India - Hyderabad"/>
    <s v="Small Business"/>
    <x v="0"/>
    <x v="8"/>
    <x v="0"/>
    <x v="624"/>
    <n v="1346.81"/>
    <n v="978.09"/>
    <n v="978.09"/>
    <s v="Medium"/>
    <n v="0.159"/>
    <n v="0.159"/>
    <s v="No"/>
    <n v="17"/>
    <n v="13983.752729999998"/>
    <n v="22895.77"/>
    <n v="-8912.0172700000021"/>
    <n v="-0.6373122753293996"/>
    <n v="0.159"/>
    <n v="17"/>
    <n v="1346.81"/>
    <n v="13983.752729999998"/>
    <n v="-8912.0172700000021"/>
  </r>
  <r>
    <s v="ORD-2023-548934"/>
    <d v="2023-08-03T00:00:00"/>
    <x v="242"/>
    <s v="Q3-2023"/>
    <d v="2023-08-30T00:00:00"/>
    <d v="2023-08-30T00:00:00"/>
    <n v="27"/>
    <n v="27"/>
    <s v="No"/>
    <d v="2023-01-12T00:00:00"/>
    <x v="1"/>
    <x v="9"/>
    <s v="Shanghai"/>
    <s v="Asia - China - Shanghai"/>
    <s v="Consumer"/>
    <x v="3"/>
    <x v="13"/>
    <x v="5"/>
    <x v="625"/>
    <n v="226.04"/>
    <n v="545.72"/>
    <n v="545.72"/>
    <s v="Low"/>
    <n v="0.151"/>
    <n v="0.151"/>
    <s v="No"/>
    <n v="11"/>
    <n v="5096.4790800000001"/>
    <n v="2486.44"/>
    <n v="2610.03908"/>
    <n v="0.51212592831834014"/>
    <n v="0.151"/>
    <n v="11"/>
    <n v="226.04"/>
    <n v="5096.4790800000001"/>
    <n v="2610.03908"/>
  </r>
  <r>
    <s v="ORD-2023-921939"/>
    <d v="2023-06-23T00:00:00"/>
    <x v="44"/>
    <s v="Q2-2023"/>
    <d v="2023-07-18T00:00:00"/>
    <d v="2023-07-18T00:00:00"/>
    <n v="25"/>
    <n v="25"/>
    <s v="No"/>
    <d v="2023-01-02T00:00:00"/>
    <x v="2"/>
    <x v="3"/>
    <s v="Vancouver"/>
    <s v="Americas - Canada - Vancouver"/>
    <s v="Enterprise"/>
    <x v="1"/>
    <x v="13"/>
    <x v="3"/>
    <x v="626"/>
    <n v="807.02"/>
    <n v="1435.54"/>
    <n v="1435.54"/>
    <s v="Medium"/>
    <n v="0"/>
    <n v="0"/>
    <s v="No"/>
    <n v="23"/>
    <n v="33017.42"/>
    <n v="18561.46"/>
    <n v="14455.96"/>
    <n v="0.43782827368098415"/>
    <n v="0"/>
    <n v="23"/>
    <n v="807.02"/>
    <n v="33017.42"/>
    <n v="14455.96"/>
  </r>
  <r>
    <s v="ORD-2023-961864"/>
    <d v="2023-12-07T00:00:00"/>
    <x v="141"/>
    <s v="Q4-2023"/>
    <d v="2024-01-02T00:00:00"/>
    <d v="2024-01-02T00:00:00"/>
    <n v="26"/>
    <n v="26"/>
    <s v="No"/>
    <d v="2023-01-22T00:00:00"/>
    <x v="3"/>
    <x v="6"/>
    <s v="Frankfurt"/>
    <s v="Europe - Germany - Frankfurt"/>
    <s v="Enterprise"/>
    <x v="3"/>
    <x v="6"/>
    <x v="0"/>
    <x v="627"/>
    <n v="1071.99"/>
    <n v="2397.3000000000002"/>
    <n v="2397.3000000000002"/>
    <s v="High"/>
    <n v="6.2E-2"/>
    <n v="6.2E-2"/>
    <s v="No"/>
    <n v="18"/>
    <n v="40476.013200000001"/>
    <n v="19295.82"/>
    <n v="21180.193200000002"/>
    <n v="0.52327765324476183"/>
    <n v="6.2E-2"/>
    <n v="18"/>
    <n v="1071.99"/>
    <n v="40476.013200000001"/>
    <n v="21180.193200000002"/>
  </r>
  <r>
    <s v="ORD-2023-455933"/>
    <d v="2023-11-19T00:00:00"/>
    <x v="112"/>
    <s v="Q4-2023"/>
    <d v="2023-12-19T00:00:00"/>
    <d v="2023-12-19T00:00:00"/>
    <n v="30"/>
    <n v="30"/>
    <s v="No"/>
    <d v="2023-03-03T00:00:00"/>
    <x v="1"/>
    <x v="2"/>
    <s v="Nagoya"/>
    <s v="Asia - Japan - Nagoya"/>
    <s v="Consumer"/>
    <x v="0"/>
    <x v="5"/>
    <x v="3"/>
    <x v="628"/>
    <n v="807.11"/>
    <n v="1853.86"/>
    <n v="1853.86"/>
    <s v="High"/>
    <n v="0.13900000000000001"/>
    <n v="0.13900000000000001"/>
    <s v="No"/>
    <n v="8"/>
    <n v="12769.38768"/>
    <n v="6456.88"/>
    <n v="6312.5076799999997"/>
    <n v="0.49434693645388639"/>
    <n v="0.13900000000000001"/>
    <n v="8"/>
    <n v="807.11"/>
    <n v="12769.38768"/>
    <n v="6312.5076799999997"/>
  </r>
  <r>
    <s v="ORD-2025-728935"/>
    <d v="2025-02-28T00:00:00"/>
    <x v="467"/>
    <s v="Q1-2025"/>
    <d v="2025-03-10T00:00:00"/>
    <d v="2025-03-10T00:00:00"/>
    <n v="10"/>
    <n v="10"/>
    <s v="No"/>
    <d v="2023-03-03T00:00:00"/>
    <x v="1"/>
    <x v="2"/>
    <s v="Osaka"/>
    <s v="Asia - Japan - Osaka"/>
    <s v="Education"/>
    <x v="3"/>
    <x v="13"/>
    <x v="4"/>
    <x v="629"/>
    <n v="51.86"/>
    <n v="45.98"/>
    <n v="45.98"/>
    <s v="Low"/>
    <n v="0.17299999999999999"/>
    <n v="0.17299999999999999"/>
    <s v="No"/>
    <n v="7"/>
    <n v="266.17821999999995"/>
    <n v="363.02"/>
    <n v="-96.841780000000028"/>
    <n v="-0.3638230806412337"/>
    <n v="0.17299999999999999"/>
    <n v="7"/>
    <n v="51.86"/>
    <n v="266.17821999999995"/>
    <n v="-96.841780000000028"/>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10.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11.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12.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13.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048B1808-1211-4A3D-BF86-433888ED45FF}" name="Top 10 SKU" cacheId="7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4">
  <location ref="E13:F24" firstHeaderRow="1" firstDataRow="1" firstDataCol="1"/>
  <pivotFields count="39">
    <pivotField showAll="0"/>
    <pivotField showAll="0"/>
    <pivotField showAll="0">
      <items count="469">
        <item x="5"/>
        <item x="455"/>
        <item x="271"/>
        <item x="415"/>
        <item x="181"/>
        <item x="7"/>
        <item x="371"/>
        <item x="184"/>
        <item x="119"/>
        <item x="424"/>
        <item x="122"/>
        <item x="171"/>
        <item x="180"/>
        <item x="312"/>
        <item x="23"/>
        <item x="77"/>
        <item x="426"/>
        <item x="62"/>
        <item x="152"/>
        <item x="147"/>
        <item x="361"/>
        <item x="29"/>
        <item x="159"/>
        <item x="452"/>
        <item x="2"/>
        <item x="107"/>
        <item x="432"/>
        <item x="226"/>
        <item x="336"/>
        <item x="206"/>
        <item x="315"/>
        <item x="211"/>
        <item x="342"/>
        <item x="64"/>
        <item x="278"/>
        <item x="150"/>
        <item x="33"/>
        <item x="50"/>
        <item x="451"/>
        <item x="163"/>
        <item x="89"/>
        <item x="458"/>
        <item x="125"/>
        <item x="290"/>
        <item x="27"/>
        <item x="387"/>
        <item x="153"/>
        <item x="43"/>
        <item x="67"/>
        <item x="460"/>
        <item x="15"/>
        <item x="441"/>
        <item x="410"/>
        <item x="129"/>
        <item x="449"/>
        <item x="177"/>
        <item x="275"/>
        <item x="239"/>
        <item x="406"/>
        <item x="20"/>
        <item x="382"/>
        <item x="362"/>
        <item x="72"/>
        <item x="207"/>
        <item x="373"/>
        <item x="234"/>
        <item x="328"/>
        <item x="408"/>
        <item x="446"/>
        <item x="308"/>
        <item x="109"/>
        <item x="280"/>
        <item x="367"/>
        <item x="75"/>
        <item x="251"/>
        <item x="37"/>
        <item x="264"/>
        <item x="169"/>
        <item x="44"/>
        <item x="87"/>
        <item x="85"/>
        <item x="306"/>
        <item x="186"/>
        <item x="140"/>
        <item x="133"/>
        <item x="422"/>
        <item x="425"/>
        <item x="376"/>
        <item x="47"/>
        <item x="289"/>
        <item x="386"/>
        <item x="256"/>
        <item x="172"/>
        <item x="370"/>
        <item x="245"/>
        <item x="288"/>
        <item x="131"/>
        <item x="203"/>
        <item x="443"/>
        <item x="242"/>
        <item x="235"/>
        <item x="174"/>
        <item x="389"/>
        <item x="115"/>
        <item x="183"/>
        <item x="419"/>
        <item x="66"/>
        <item x="114"/>
        <item x="260"/>
        <item x="417"/>
        <item x="343"/>
        <item x="200"/>
        <item x="161"/>
        <item x="345"/>
        <item x="52"/>
        <item x="429"/>
        <item x="137"/>
        <item x="459"/>
        <item x="73"/>
        <item x="216"/>
        <item x="364"/>
        <item x="158"/>
        <item x="199"/>
        <item x="323"/>
        <item x="204"/>
        <item x="231"/>
        <item x="155"/>
        <item x="327"/>
        <item x="233"/>
        <item x="348"/>
        <item x="176"/>
        <item x="358"/>
        <item x="259"/>
        <item x="282"/>
        <item x="391"/>
        <item x="324"/>
        <item x="250"/>
        <item x="143"/>
        <item x="193"/>
        <item x="276"/>
        <item x="285"/>
        <item x="112"/>
        <item x="106"/>
        <item x="214"/>
        <item x="134"/>
        <item x="294"/>
        <item x="297"/>
        <item x="63"/>
        <item x="374"/>
        <item x="4"/>
        <item x="141"/>
        <item x="340"/>
        <item x="380"/>
        <item x="202"/>
        <item x="195"/>
        <item x="295"/>
        <item x="81"/>
        <item x="240"/>
        <item x="311"/>
        <item x="423"/>
        <item x="113"/>
        <item x="360"/>
        <item x="300"/>
        <item x="279"/>
        <item x="435"/>
        <item x="241"/>
        <item x="39"/>
        <item x="182"/>
        <item x="94"/>
        <item x="347"/>
        <item x="303"/>
        <item x="13"/>
        <item x="84"/>
        <item x="436"/>
        <item x="247"/>
        <item x="10"/>
        <item x="145"/>
        <item x="162"/>
        <item x="383"/>
        <item x="437"/>
        <item x="179"/>
        <item x="128"/>
        <item x="221"/>
        <item x="292"/>
        <item x="142"/>
        <item x="351"/>
        <item x="439"/>
        <item x="354"/>
        <item x="352"/>
        <item x="194"/>
        <item x="397"/>
        <item x="263"/>
        <item x="314"/>
        <item x="428"/>
        <item x="220"/>
        <item x="34"/>
        <item x="307"/>
        <item x="58"/>
        <item x="0"/>
        <item x="450"/>
        <item x="227"/>
        <item x="246"/>
        <item x="68"/>
        <item x="363"/>
        <item x="265"/>
        <item x="248"/>
        <item x="215"/>
        <item x="244"/>
        <item x="149"/>
        <item x="136"/>
        <item x="403"/>
        <item x="82"/>
        <item x="286"/>
        <item x="70"/>
        <item x="413"/>
        <item x="31"/>
        <item x="36"/>
        <item x="395"/>
        <item x="412"/>
        <item x="400"/>
        <item x="230"/>
        <item x="372"/>
        <item x="8"/>
        <item x="375"/>
        <item x="322"/>
        <item x="385"/>
        <item x="393"/>
        <item x="45"/>
        <item x="313"/>
        <item x="22"/>
        <item x="173"/>
        <item x="42"/>
        <item x="98"/>
        <item x="65"/>
        <item x="154"/>
        <item x="398"/>
        <item x="91"/>
        <item x="118"/>
        <item x="101"/>
        <item x="368"/>
        <item x="151"/>
        <item x="416"/>
        <item x="344"/>
        <item x="116"/>
        <item x="274"/>
        <item x="102"/>
        <item x="103"/>
        <item x="369"/>
        <item x="132"/>
        <item x="249"/>
        <item x="269"/>
        <item x="304"/>
        <item x="463"/>
        <item x="104"/>
        <item x="24"/>
        <item x="411"/>
        <item x="287"/>
        <item x="293"/>
        <item x="157"/>
        <item x="320"/>
        <item x="26"/>
        <item x="334"/>
        <item x="19"/>
        <item x="465"/>
        <item x="228"/>
        <item x="453"/>
        <item x="447"/>
        <item x="399"/>
        <item x="144"/>
        <item x="298"/>
        <item x="326"/>
        <item x="175"/>
        <item x="99"/>
        <item x="421"/>
        <item x="456"/>
        <item x="353"/>
        <item x="396"/>
        <item x="365"/>
        <item x="32"/>
        <item x="38"/>
        <item x="74"/>
        <item x="341"/>
        <item x="434"/>
        <item x="225"/>
        <item x="209"/>
        <item x="210"/>
        <item x="331"/>
        <item x="255"/>
        <item x="191"/>
        <item x="187"/>
        <item x="212"/>
        <item x="97"/>
        <item x="197"/>
        <item x="178"/>
        <item x="138"/>
        <item x="366"/>
        <item x="189"/>
        <item x="166"/>
        <item x="88"/>
        <item x="238"/>
        <item x="156"/>
        <item x="407"/>
        <item x="196"/>
        <item x="464"/>
        <item x="46"/>
        <item x="100"/>
        <item x="49"/>
        <item x="462"/>
        <item x="168"/>
        <item x="1"/>
        <item x="404"/>
        <item x="40"/>
        <item x="229"/>
        <item x="291"/>
        <item x="148"/>
        <item x="356"/>
        <item x="61"/>
        <item x="273"/>
        <item x="333"/>
        <item x="48"/>
        <item x="299"/>
        <item x="223"/>
        <item x="444"/>
        <item x="405"/>
        <item x="392"/>
        <item x="127"/>
        <item x="76"/>
        <item x="379"/>
        <item x="302"/>
        <item x="461"/>
        <item x="25"/>
        <item x="219"/>
        <item x="96"/>
        <item x="430"/>
        <item x="390"/>
        <item x="16"/>
        <item x="330"/>
        <item x="126"/>
        <item x="71"/>
        <item x="55"/>
        <item x="337"/>
        <item x="124"/>
        <item x="130"/>
        <item x="359"/>
        <item x="6"/>
        <item x="357"/>
        <item x="272"/>
        <item x="11"/>
        <item x="409"/>
        <item x="316"/>
        <item x="123"/>
        <item x="420"/>
        <item x="283"/>
        <item x="170"/>
        <item x="105"/>
        <item x="335"/>
        <item x="51"/>
        <item x="266"/>
        <item x="93"/>
        <item x="192"/>
        <item x="318"/>
        <item x="167"/>
        <item x="185"/>
        <item x="317"/>
        <item x="414"/>
        <item x="54"/>
        <item x="120"/>
        <item x="146"/>
        <item x="433"/>
        <item x="454"/>
        <item x="243"/>
        <item x="338"/>
        <item x="349"/>
        <item x="467"/>
        <item x="121"/>
        <item x="12"/>
        <item x="339"/>
        <item x="402"/>
        <item x="418"/>
        <item x="252"/>
        <item x="310"/>
        <item x="309"/>
        <item x="381"/>
        <item x="401"/>
        <item x="80"/>
        <item x="3"/>
        <item x="258"/>
        <item x="95"/>
        <item x="277"/>
        <item x="254"/>
        <item x="53"/>
        <item x="28"/>
        <item x="69"/>
        <item x="377"/>
        <item x="261"/>
        <item x="332"/>
        <item x="440"/>
        <item x="160"/>
        <item x="139"/>
        <item x="448"/>
        <item x="222"/>
        <item x="79"/>
        <item x="208"/>
        <item x="60"/>
        <item x="86"/>
        <item x="57"/>
        <item x="355"/>
        <item x="267"/>
        <item x="321"/>
        <item x="78"/>
        <item x="394"/>
        <item x="217"/>
        <item x="253"/>
        <item x="270"/>
        <item x="281"/>
        <item x="9"/>
        <item x="329"/>
        <item x="41"/>
        <item x="262"/>
        <item x="108"/>
        <item x="346"/>
        <item x="56"/>
        <item x="21"/>
        <item x="325"/>
        <item x="296"/>
        <item x="111"/>
        <item x="236"/>
        <item x="268"/>
        <item x="35"/>
        <item x="305"/>
        <item x="438"/>
        <item x="232"/>
        <item x="350"/>
        <item x="110"/>
        <item x="445"/>
        <item x="190"/>
        <item x="201"/>
        <item x="213"/>
        <item x="466"/>
        <item x="18"/>
        <item x="188"/>
        <item x="92"/>
        <item x="319"/>
        <item x="30"/>
        <item x="378"/>
        <item x="90"/>
        <item x="218"/>
        <item x="442"/>
        <item x="117"/>
        <item x="431"/>
        <item x="83"/>
        <item x="205"/>
        <item x="457"/>
        <item x="384"/>
        <item x="301"/>
        <item x="427"/>
        <item x="164"/>
        <item x="198"/>
        <item x="257"/>
        <item x="388"/>
        <item x="14"/>
        <item x="237"/>
        <item x="17"/>
        <item x="59"/>
        <item x="135"/>
        <item x="224"/>
        <item x="284"/>
        <item x="165"/>
        <item t="default"/>
      </items>
    </pivotField>
    <pivotField showAll="0"/>
    <pivotField showAll="0"/>
    <pivotField showAll="0"/>
    <pivotField showAll="0"/>
    <pivotField showAll="0"/>
    <pivotField showAll="0"/>
    <pivotField showAll="0"/>
    <pivotField showAll="0">
      <items count="5">
        <item x="0"/>
        <item x="2"/>
        <item x="1"/>
        <item x="3"/>
        <item t="default"/>
      </items>
    </pivotField>
    <pivotField showAll="0">
      <items count="13">
        <item x="5"/>
        <item x="3"/>
        <item x="9"/>
        <item x="7"/>
        <item x="6"/>
        <item x="4"/>
        <item x="2"/>
        <item x="0"/>
        <item x="1"/>
        <item x="11"/>
        <item x="8"/>
        <item x="10"/>
        <item t="default"/>
      </items>
    </pivotField>
    <pivotField showAll="0"/>
    <pivotField showAll="0"/>
    <pivotField showAll="0"/>
    <pivotField showAll="0">
      <items count="6">
        <item x="4"/>
        <item x="3"/>
        <item x="2"/>
        <item x="1"/>
        <item x="0"/>
        <item t="default"/>
      </items>
    </pivotField>
    <pivotField showAll="0">
      <items count="16">
        <item x="8"/>
        <item x="5"/>
        <item x="0"/>
        <item x="14"/>
        <item x="6"/>
        <item x="9"/>
        <item x="3"/>
        <item x="10"/>
        <item x="2"/>
        <item x="1"/>
        <item x="11"/>
        <item x="4"/>
        <item x="12"/>
        <item x="13"/>
        <item x="7"/>
        <item t="default"/>
      </items>
    </pivotField>
    <pivotField showAll="0">
      <items count="8">
        <item x="6"/>
        <item x="0"/>
        <item x="4"/>
        <item x="5"/>
        <item x="2"/>
        <item x="3"/>
        <item x="1"/>
        <item t="default"/>
      </items>
    </pivotField>
    <pivotField axis="axisRow" showAll="0" measureFilter="1">
      <items count="631">
        <item x="139"/>
        <item x="621"/>
        <item x="333"/>
        <item x="415"/>
        <item x="340"/>
        <item x="394"/>
        <item x="441"/>
        <item x="293"/>
        <item x="491"/>
        <item x="587"/>
        <item x="207"/>
        <item x="14"/>
        <item x="478"/>
        <item x="58"/>
        <item x="261"/>
        <item x="59"/>
        <item x="325"/>
        <item x="103"/>
        <item x="170"/>
        <item x="70"/>
        <item x="497"/>
        <item x="416"/>
        <item x="312"/>
        <item x="319"/>
        <item x="489"/>
        <item x="332"/>
        <item x="355"/>
        <item x="516"/>
        <item x="185"/>
        <item x="545"/>
        <item x="221"/>
        <item x="259"/>
        <item x="450"/>
        <item x="521"/>
        <item x="576"/>
        <item x="270"/>
        <item x="22"/>
        <item x="158"/>
        <item x="131"/>
        <item x="154"/>
        <item x="290"/>
        <item x="76"/>
        <item x="113"/>
        <item x="569"/>
        <item x="187"/>
        <item x="618"/>
        <item x="588"/>
        <item x="227"/>
        <item x="552"/>
        <item x="551"/>
        <item x="97"/>
        <item x="460"/>
        <item x="214"/>
        <item x="352"/>
        <item x="299"/>
        <item x="57"/>
        <item x="288"/>
        <item x="50"/>
        <item x="147"/>
        <item x="437"/>
        <item x="346"/>
        <item x="180"/>
        <item x="358"/>
        <item x="142"/>
        <item x="493"/>
        <item x="557"/>
        <item x="465"/>
        <item x="604"/>
        <item x="360"/>
        <item x="592"/>
        <item x="10"/>
        <item x="277"/>
        <item x="18"/>
        <item x="338"/>
        <item x="541"/>
        <item x="292"/>
        <item x="454"/>
        <item x="25"/>
        <item x="209"/>
        <item x="93"/>
        <item x="66"/>
        <item x="77"/>
        <item x="554"/>
        <item x="536"/>
        <item x="306"/>
        <item x="182"/>
        <item x="408"/>
        <item x="109"/>
        <item x="75"/>
        <item x="169"/>
        <item x="513"/>
        <item x="471"/>
        <item x="579"/>
        <item x="607"/>
        <item x="624"/>
        <item x="34"/>
        <item x="172"/>
        <item x="627"/>
        <item x="401"/>
        <item x="126"/>
        <item x="391"/>
        <item x="124"/>
        <item x="484"/>
        <item x="523"/>
        <item x="377"/>
        <item x="24"/>
        <item x="87"/>
        <item x="82"/>
        <item x="324"/>
        <item x="510"/>
        <item x="367"/>
        <item x="458"/>
        <item x="12"/>
        <item x="136"/>
        <item x="9"/>
        <item x="294"/>
        <item x="157"/>
        <item x="464"/>
        <item x="210"/>
        <item x="315"/>
        <item x="467"/>
        <item x="85"/>
        <item x="161"/>
        <item x="260"/>
        <item x="348"/>
        <item x="256"/>
        <item x="573"/>
        <item x="220"/>
        <item x="617"/>
        <item x="594"/>
        <item x="326"/>
        <item x="74"/>
        <item x="171"/>
        <item x="589"/>
        <item x="490"/>
        <item x="518"/>
        <item x="463"/>
        <item x="78"/>
        <item x="519"/>
        <item x="564"/>
        <item x="44"/>
        <item x="127"/>
        <item x="125"/>
        <item x="110"/>
        <item x="568"/>
        <item x="504"/>
        <item x="459"/>
        <item x="451"/>
        <item x="397"/>
        <item x="30"/>
        <item x="230"/>
        <item x="61"/>
        <item x="365"/>
        <item x="222"/>
        <item x="206"/>
        <item x="69"/>
        <item x="250"/>
        <item x="36"/>
        <item x="60"/>
        <item x="105"/>
        <item x="511"/>
        <item x="101"/>
        <item x="86"/>
        <item x="234"/>
        <item x="0"/>
        <item x="37"/>
        <item x="393"/>
        <item x="436"/>
        <item x="403"/>
        <item x="289"/>
        <item x="476"/>
        <item x="237"/>
        <item x="585"/>
        <item x="177"/>
        <item x="300"/>
        <item x="267"/>
        <item x="559"/>
        <item x="323"/>
        <item x="475"/>
        <item x="477"/>
        <item x="533"/>
        <item x="166"/>
        <item x="145"/>
        <item x="295"/>
        <item x="15"/>
        <item x="527"/>
        <item x="445"/>
        <item x="582"/>
        <item x="539"/>
        <item x="349"/>
        <item x="119"/>
        <item x="279"/>
        <item x="246"/>
        <item x="384"/>
        <item x="239"/>
        <item x="370"/>
        <item x="629"/>
        <item x="481"/>
        <item x="146"/>
        <item x="19"/>
        <item x="64"/>
        <item x="264"/>
        <item x="507"/>
        <item x="571"/>
        <item x="345"/>
        <item x="99"/>
        <item x="53"/>
        <item x="362"/>
        <item x="514"/>
        <item x="581"/>
        <item x="71"/>
        <item x="309"/>
        <item x="304"/>
        <item x="542"/>
        <item x="242"/>
        <item x="457"/>
        <item x="603"/>
        <item x="23"/>
        <item x="255"/>
        <item x="508"/>
        <item x="104"/>
        <item x="190"/>
        <item x="563"/>
        <item x="387"/>
        <item x="251"/>
        <item x="151"/>
        <item x="520"/>
        <item x="593"/>
        <item x="368"/>
        <item x="56"/>
        <item x="409"/>
        <item x="275"/>
        <item x="173"/>
        <item x="102"/>
        <item x="388"/>
        <item x="534"/>
        <item x="565"/>
        <item x="425"/>
        <item x="52"/>
        <item x="192"/>
        <item x="407"/>
        <item x="117"/>
        <item x="396"/>
        <item x="424"/>
        <item x="72"/>
        <item x="5"/>
        <item x="598"/>
        <item x="430"/>
        <item x="421"/>
        <item x="283"/>
        <item x="329"/>
        <item x="386"/>
        <item x="111"/>
        <item x="224"/>
        <item x="132"/>
        <item x="20"/>
        <item x="402"/>
        <item x="284"/>
        <item x="33"/>
        <item x="339"/>
        <item x="566"/>
        <item x="314"/>
        <item x="271"/>
        <item x="591"/>
        <item x="216"/>
        <item x="186"/>
        <item x="205"/>
        <item x="96"/>
        <item x="404"/>
        <item x="167"/>
        <item x="140"/>
        <item x="68"/>
        <item x="472"/>
        <item x="509"/>
        <item x="217"/>
        <item x="115"/>
        <item x="247"/>
        <item x="597"/>
        <item x="89"/>
        <item x="328"/>
        <item x="249"/>
        <item x="135"/>
        <item x="273"/>
        <item x="427"/>
        <item x="83"/>
        <item x="398"/>
        <item x="121"/>
        <item x="625"/>
        <item x="418"/>
        <item x="615"/>
        <item x="189"/>
        <item x="351"/>
        <item x="549"/>
        <item x="297"/>
        <item x="51"/>
        <item x="252"/>
        <item x="372"/>
        <item x="432"/>
        <item x="499"/>
        <item x="55"/>
        <item x="204"/>
        <item x="456"/>
        <item x="130"/>
        <item x="63"/>
        <item x="233"/>
        <item x="178"/>
        <item x="305"/>
        <item x="447"/>
        <item x="280"/>
        <item x="298"/>
        <item x="183"/>
        <item x="363"/>
        <item x="389"/>
        <item x="561"/>
        <item x="572"/>
        <item x="522"/>
        <item x="547"/>
        <item x="310"/>
        <item x="195"/>
        <item x="165"/>
        <item x="67"/>
        <item x="453"/>
        <item x="8"/>
        <item x="175"/>
        <item x="556"/>
        <item x="446"/>
        <item x="580"/>
        <item x="191"/>
        <item x="168"/>
        <item x="383"/>
        <item x="258"/>
        <item x="211"/>
        <item x="188"/>
        <item x="79"/>
        <item x="610"/>
        <item x="544"/>
        <item x="6"/>
        <item x="272"/>
        <item x="540"/>
        <item x="431"/>
        <item x="184"/>
        <item x="494"/>
        <item x="254"/>
        <item x="88"/>
        <item x="118"/>
        <item x="531"/>
        <item x="163"/>
        <item x="498"/>
        <item x="318"/>
        <item x="395"/>
        <item x="266"/>
        <item x="160"/>
        <item x="40"/>
        <item x="496"/>
        <item x="311"/>
        <item x="495"/>
        <item x="590"/>
        <item x="380"/>
        <item x="41"/>
        <item x="223"/>
        <item x="226"/>
        <item x="302"/>
        <item x="98"/>
        <item x="341"/>
        <item x="73"/>
        <item x="479"/>
        <item x="90"/>
        <item x="45"/>
        <item x="47"/>
        <item x="144"/>
        <item x="257"/>
        <item x="623"/>
        <item x="438"/>
        <item x="562"/>
        <item x="248"/>
        <item x="483"/>
        <item x="577"/>
        <item x="114"/>
        <item x="21"/>
        <item x="399"/>
        <item x="198"/>
        <item x="376"/>
        <item x="575"/>
        <item x="506"/>
        <item x="307"/>
        <item x="574"/>
        <item x="382"/>
        <item x="357"/>
        <item x="317"/>
        <item x="129"/>
        <item x="517"/>
        <item x="112"/>
        <item x="548"/>
        <item x="321"/>
        <item x="620"/>
        <item x="622"/>
        <item x="80"/>
        <item x="322"/>
        <item x="543"/>
        <item x="48"/>
        <item x="462"/>
        <item x="612"/>
        <item x="379"/>
        <item x="276"/>
        <item x="194"/>
        <item x="611"/>
        <item x="466"/>
        <item x="203"/>
        <item x="600"/>
        <item x="503"/>
        <item x="120"/>
        <item x="108"/>
        <item x="535"/>
        <item x="413"/>
        <item x="84"/>
        <item x="550"/>
        <item x="215"/>
        <item x="378"/>
        <item x="155"/>
        <item x="32"/>
        <item x="433"/>
        <item x="502"/>
        <item x="281"/>
        <item x="123"/>
        <item x="619"/>
        <item x="156"/>
        <item x="538"/>
        <item x="614"/>
        <item x="353"/>
        <item x="331"/>
        <item x="262"/>
        <item x="567"/>
        <item x="529"/>
        <item x="344"/>
        <item x="2"/>
        <item x="29"/>
        <item x="435"/>
        <item x="287"/>
        <item x="54"/>
        <item x="420"/>
        <item x="17"/>
        <item x="282"/>
        <item x="347"/>
        <item x="213"/>
        <item x="343"/>
        <item x="28"/>
        <item x="560"/>
        <item x="512"/>
        <item x="202"/>
        <item x="371"/>
        <item x="327"/>
        <item x="107"/>
        <item x="448"/>
        <item x="238"/>
        <item x="482"/>
        <item x="231"/>
        <item x="422"/>
        <item x="133"/>
        <item x="530"/>
        <item x="268"/>
        <item x="426"/>
        <item x="200"/>
        <item x="392"/>
        <item x="91"/>
        <item x="241"/>
        <item x="286"/>
        <item x="263"/>
        <item x="334"/>
        <item x="412"/>
        <item x="440"/>
        <item x="128"/>
        <item x="570"/>
        <item x="3"/>
        <item x="583"/>
        <item x="149"/>
        <item x="65"/>
        <item x="626"/>
        <item x="245"/>
        <item x="31"/>
        <item x="375"/>
        <item x="197"/>
        <item x="303"/>
        <item x="584"/>
        <item x="361"/>
        <item x="162"/>
        <item x="452"/>
        <item x="428"/>
        <item x="406"/>
        <item x="485"/>
        <item x="553"/>
        <item x="316"/>
        <item x="330"/>
        <item x="488"/>
        <item x="455"/>
        <item x="285"/>
        <item x="278"/>
        <item x="27"/>
        <item x="366"/>
        <item x="94"/>
        <item x="11"/>
        <item x="244"/>
        <item x="225"/>
        <item x="605"/>
        <item x="181"/>
        <item x="578"/>
        <item x="336"/>
        <item x="492"/>
        <item x="122"/>
        <item x="374"/>
        <item x="137"/>
        <item x="141"/>
        <item x="532"/>
        <item x="62"/>
        <item x="100"/>
        <item x="419"/>
        <item x="411"/>
        <item x="505"/>
        <item x="236"/>
        <item x="434"/>
        <item x="106"/>
        <item x="500"/>
        <item x="628"/>
        <item x="159"/>
        <item x="320"/>
        <item x="473"/>
        <item x="586"/>
        <item x="196"/>
        <item x="501"/>
        <item x="335"/>
        <item x="232"/>
        <item x="390"/>
        <item x="474"/>
        <item x="265"/>
        <item x="486"/>
        <item x="49"/>
        <item x="526"/>
        <item x="537"/>
        <item x="410"/>
        <item x="515"/>
        <item x="525"/>
        <item x="439"/>
        <item x="228"/>
        <item x="313"/>
        <item x="449"/>
        <item x="555"/>
        <item x="429"/>
        <item x="46"/>
        <item x="524"/>
        <item x="219"/>
        <item x="253"/>
        <item x="308"/>
        <item x="212"/>
        <item x="42"/>
        <item x="468"/>
        <item x="364"/>
        <item x="369"/>
        <item x="174"/>
        <item x="480"/>
        <item x="164"/>
        <item x="26"/>
        <item x="148"/>
        <item x="143"/>
        <item x="35"/>
        <item x="528"/>
        <item x="595"/>
        <item x="134"/>
        <item x="442"/>
        <item x="342"/>
        <item x="609"/>
        <item x="138"/>
        <item x="193"/>
        <item x="240"/>
        <item x="602"/>
        <item x="176"/>
        <item x="613"/>
        <item x="337"/>
        <item x="243"/>
        <item x="606"/>
        <item x="400"/>
        <item x="218"/>
        <item x="616"/>
        <item x="487"/>
        <item x="417"/>
        <item x="381"/>
        <item x="208"/>
        <item x="601"/>
        <item x="150"/>
        <item x="7"/>
        <item x="423"/>
        <item x="116"/>
        <item x="92"/>
        <item x="301"/>
        <item x="39"/>
        <item x="558"/>
        <item x="359"/>
        <item x="269"/>
        <item x="16"/>
        <item x="461"/>
        <item x="199"/>
        <item x="229"/>
        <item x="470"/>
        <item x="153"/>
        <item x="38"/>
        <item x="350"/>
        <item x="235"/>
        <item x="296"/>
        <item x="444"/>
        <item x="4"/>
        <item x="179"/>
        <item x="152"/>
        <item x="13"/>
        <item x="201"/>
        <item x="373"/>
        <item x="274"/>
        <item x="291"/>
        <item x="385"/>
        <item x="95"/>
        <item x="608"/>
        <item x="1"/>
        <item x="405"/>
        <item x="469"/>
        <item x="356"/>
        <item x="443"/>
        <item x="546"/>
        <item x="81"/>
        <item x="43"/>
        <item x="599"/>
        <item x="596"/>
        <item x="354"/>
        <item x="414"/>
        <item t="default"/>
      </items>
    </pivotField>
    <pivotField showAll="0"/>
    <pivotField showAll="0"/>
    <pivotField showAll="0"/>
    <pivotField showAll="0"/>
    <pivotField showAll="0"/>
    <pivotField showAll="0"/>
    <pivotField showAll="0"/>
    <pivotField showAll="0"/>
    <pivotField dataField="1" showAll="0"/>
    <pivotField showAll="0"/>
    <pivotField showAll="0"/>
    <pivotField showAll="0"/>
    <pivotField showAll="0"/>
    <pivotField showAll="0"/>
    <pivotField showAll="0"/>
    <pivotField showAll="0"/>
    <pivotField showAll="0"/>
    <pivotField showAll="0"/>
    <pivotField showAll="0"/>
    <pivotField showAll="0">
      <items count="6">
        <item x="0"/>
        <item x="1"/>
        <item x="2"/>
        <item x="3"/>
        <item x="4"/>
        <item t="default"/>
      </items>
    </pivotField>
  </pivotFields>
  <rowFields count="1">
    <field x="18"/>
  </rowFields>
  <rowItems count="11">
    <i>
      <x v="117"/>
    </i>
    <i>
      <x v="171"/>
    </i>
    <i>
      <x v="207"/>
    </i>
    <i>
      <x v="248"/>
    </i>
    <i>
      <x v="270"/>
    </i>
    <i>
      <x v="319"/>
    </i>
    <i>
      <x v="323"/>
    </i>
    <i>
      <x v="368"/>
    </i>
    <i>
      <x v="403"/>
    </i>
    <i>
      <x v="405"/>
    </i>
    <i t="grand">
      <x/>
    </i>
  </rowItems>
  <colItems count="1">
    <i/>
  </colItems>
  <dataFields count="1">
    <dataField name="Sum of GrossRevenue" fld="27" baseField="0" baseItem="0"/>
  </dataFields>
  <chartFormats count="1">
    <chartFormat chart="3"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filters count="1">
    <filter fld="18" type="count" evalOrder="-1" id="1" iMeasureFld="0">
      <autoFilter ref="A1">
        <filterColumn colId="0">
          <top10 val="10" filterVal="10"/>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DE4B5092-1E35-4B90-8977-A3BB9B1D7414}" name="profit(region/channel)" cacheId="7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8">
  <location ref="E3:K9" firstHeaderRow="1" firstDataRow="2" firstDataCol="1"/>
  <pivotFields count="39">
    <pivotField showAll="0"/>
    <pivotField numFmtId="165" showAll="0"/>
    <pivotField numFmtId="167" showAll="0">
      <items count="469">
        <item x="5"/>
        <item x="455"/>
        <item x="271"/>
        <item x="415"/>
        <item x="181"/>
        <item x="7"/>
        <item x="371"/>
        <item x="184"/>
        <item x="119"/>
        <item x="424"/>
        <item x="122"/>
        <item x="171"/>
        <item x="180"/>
        <item x="312"/>
        <item x="23"/>
        <item x="77"/>
        <item x="426"/>
        <item x="62"/>
        <item x="152"/>
        <item x="147"/>
        <item x="361"/>
        <item x="29"/>
        <item x="159"/>
        <item x="452"/>
        <item x="2"/>
        <item x="107"/>
        <item x="432"/>
        <item x="226"/>
        <item x="336"/>
        <item x="206"/>
        <item x="315"/>
        <item x="211"/>
        <item x="342"/>
        <item x="64"/>
        <item x="278"/>
        <item x="150"/>
        <item x="33"/>
        <item x="50"/>
        <item x="451"/>
        <item x="163"/>
        <item x="89"/>
        <item x="458"/>
        <item x="125"/>
        <item x="290"/>
        <item x="27"/>
        <item x="387"/>
        <item x="153"/>
        <item x="43"/>
        <item x="67"/>
        <item x="460"/>
        <item x="15"/>
        <item x="441"/>
        <item x="410"/>
        <item x="129"/>
        <item x="449"/>
        <item x="177"/>
        <item x="275"/>
        <item x="239"/>
        <item x="406"/>
        <item x="20"/>
        <item x="382"/>
        <item x="362"/>
        <item x="72"/>
        <item x="207"/>
        <item x="373"/>
        <item x="234"/>
        <item x="328"/>
        <item x="408"/>
        <item x="446"/>
        <item x="308"/>
        <item x="109"/>
        <item x="280"/>
        <item x="367"/>
        <item x="75"/>
        <item x="251"/>
        <item x="37"/>
        <item x="264"/>
        <item x="169"/>
        <item x="44"/>
        <item x="87"/>
        <item x="85"/>
        <item x="306"/>
        <item x="186"/>
        <item x="140"/>
        <item x="133"/>
        <item x="422"/>
        <item x="425"/>
        <item x="376"/>
        <item x="47"/>
        <item x="289"/>
        <item x="386"/>
        <item x="256"/>
        <item x="172"/>
        <item x="370"/>
        <item x="245"/>
        <item x="288"/>
        <item x="131"/>
        <item x="203"/>
        <item x="443"/>
        <item x="242"/>
        <item x="235"/>
        <item x="174"/>
        <item x="389"/>
        <item x="115"/>
        <item x="183"/>
        <item x="419"/>
        <item x="66"/>
        <item x="114"/>
        <item x="260"/>
        <item x="417"/>
        <item x="343"/>
        <item x="200"/>
        <item x="161"/>
        <item x="345"/>
        <item x="52"/>
        <item x="429"/>
        <item x="137"/>
        <item x="459"/>
        <item x="73"/>
        <item x="216"/>
        <item x="364"/>
        <item x="158"/>
        <item x="199"/>
        <item x="323"/>
        <item x="204"/>
        <item x="231"/>
        <item x="155"/>
        <item x="327"/>
        <item x="233"/>
        <item x="348"/>
        <item x="176"/>
        <item x="358"/>
        <item x="259"/>
        <item x="282"/>
        <item x="391"/>
        <item x="324"/>
        <item x="250"/>
        <item x="143"/>
        <item x="193"/>
        <item x="276"/>
        <item x="285"/>
        <item x="112"/>
        <item x="106"/>
        <item x="214"/>
        <item x="134"/>
        <item x="294"/>
        <item x="297"/>
        <item x="63"/>
        <item x="374"/>
        <item x="4"/>
        <item x="141"/>
        <item x="340"/>
        <item x="380"/>
        <item x="202"/>
        <item x="195"/>
        <item x="295"/>
        <item x="81"/>
        <item x="240"/>
        <item x="311"/>
        <item x="423"/>
        <item x="113"/>
        <item x="360"/>
        <item x="300"/>
        <item x="279"/>
        <item x="435"/>
        <item x="241"/>
        <item x="39"/>
        <item x="182"/>
        <item x="94"/>
        <item x="347"/>
        <item x="303"/>
        <item x="13"/>
        <item x="84"/>
        <item x="436"/>
        <item x="247"/>
        <item x="10"/>
        <item x="145"/>
        <item x="162"/>
        <item x="383"/>
        <item x="437"/>
        <item x="179"/>
        <item x="128"/>
        <item x="221"/>
        <item x="292"/>
        <item x="142"/>
        <item x="351"/>
        <item x="439"/>
        <item x="354"/>
        <item x="352"/>
        <item x="194"/>
        <item x="397"/>
        <item x="263"/>
        <item x="314"/>
        <item x="428"/>
        <item x="220"/>
        <item x="34"/>
        <item x="307"/>
        <item x="58"/>
        <item x="0"/>
        <item x="450"/>
        <item x="227"/>
        <item x="246"/>
        <item x="68"/>
        <item x="363"/>
        <item x="265"/>
        <item x="248"/>
        <item x="215"/>
        <item x="244"/>
        <item x="149"/>
        <item x="136"/>
        <item x="403"/>
        <item x="82"/>
        <item x="286"/>
        <item x="70"/>
        <item x="413"/>
        <item x="31"/>
        <item x="36"/>
        <item x="395"/>
        <item x="412"/>
        <item x="400"/>
        <item x="230"/>
        <item x="372"/>
        <item x="8"/>
        <item x="375"/>
        <item x="322"/>
        <item x="385"/>
        <item x="393"/>
        <item x="45"/>
        <item x="313"/>
        <item x="22"/>
        <item x="173"/>
        <item x="42"/>
        <item x="98"/>
        <item x="65"/>
        <item x="154"/>
        <item x="398"/>
        <item x="91"/>
        <item x="118"/>
        <item x="101"/>
        <item x="368"/>
        <item x="151"/>
        <item x="416"/>
        <item x="344"/>
        <item x="116"/>
        <item x="274"/>
        <item x="102"/>
        <item x="103"/>
        <item x="369"/>
        <item x="132"/>
        <item x="249"/>
        <item x="269"/>
        <item x="304"/>
        <item x="463"/>
        <item x="104"/>
        <item x="24"/>
        <item x="411"/>
        <item x="287"/>
        <item x="293"/>
        <item x="157"/>
        <item x="320"/>
        <item x="26"/>
        <item x="334"/>
        <item x="19"/>
        <item x="465"/>
        <item x="228"/>
        <item x="453"/>
        <item x="447"/>
        <item x="399"/>
        <item x="144"/>
        <item x="298"/>
        <item x="326"/>
        <item x="175"/>
        <item x="99"/>
        <item x="421"/>
        <item x="456"/>
        <item x="353"/>
        <item x="396"/>
        <item x="365"/>
        <item x="32"/>
        <item x="38"/>
        <item x="74"/>
        <item x="341"/>
        <item x="434"/>
        <item x="225"/>
        <item x="209"/>
        <item x="210"/>
        <item x="331"/>
        <item x="255"/>
        <item x="191"/>
        <item x="187"/>
        <item x="212"/>
        <item x="97"/>
        <item x="197"/>
        <item x="178"/>
        <item x="138"/>
        <item x="366"/>
        <item x="189"/>
        <item x="166"/>
        <item x="88"/>
        <item x="238"/>
        <item x="156"/>
        <item x="407"/>
        <item x="196"/>
        <item x="464"/>
        <item x="46"/>
        <item x="100"/>
        <item x="49"/>
        <item x="462"/>
        <item x="168"/>
        <item x="1"/>
        <item x="404"/>
        <item x="40"/>
        <item x="229"/>
        <item x="291"/>
        <item x="148"/>
        <item x="356"/>
        <item x="61"/>
        <item x="273"/>
        <item x="333"/>
        <item x="48"/>
        <item x="299"/>
        <item x="223"/>
        <item x="444"/>
        <item x="405"/>
        <item x="392"/>
        <item x="127"/>
        <item x="76"/>
        <item x="379"/>
        <item x="302"/>
        <item x="461"/>
        <item x="25"/>
        <item x="219"/>
        <item x="96"/>
        <item x="430"/>
        <item x="390"/>
        <item x="16"/>
        <item x="330"/>
        <item x="126"/>
        <item x="71"/>
        <item x="55"/>
        <item x="337"/>
        <item x="124"/>
        <item x="130"/>
        <item x="359"/>
        <item x="6"/>
        <item x="357"/>
        <item x="272"/>
        <item x="11"/>
        <item x="409"/>
        <item x="316"/>
        <item x="123"/>
        <item x="420"/>
        <item x="283"/>
        <item x="170"/>
        <item x="105"/>
        <item x="335"/>
        <item x="51"/>
        <item x="266"/>
        <item x="93"/>
        <item x="192"/>
        <item x="318"/>
        <item x="167"/>
        <item x="185"/>
        <item x="317"/>
        <item x="414"/>
        <item x="54"/>
        <item x="120"/>
        <item x="146"/>
        <item x="433"/>
        <item x="454"/>
        <item x="243"/>
        <item x="338"/>
        <item x="349"/>
        <item x="467"/>
        <item x="121"/>
        <item x="12"/>
        <item x="339"/>
        <item x="402"/>
        <item x="418"/>
        <item x="252"/>
        <item x="310"/>
        <item x="309"/>
        <item x="381"/>
        <item x="401"/>
        <item x="80"/>
        <item x="3"/>
        <item x="258"/>
        <item x="95"/>
        <item x="277"/>
        <item x="254"/>
        <item x="53"/>
        <item x="28"/>
        <item x="69"/>
        <item x="377"/>
        <item x="261"/>
        <item x="332"/>
        <item x="440"/>
        <item x="160"/>
        <item x="139"/>
        <item x="448"/>
        <item x="222"/>
        <item x="79"/>
        <item x="208"/>
        <item x="60"/>
        <item x="86"/>
        <item x="57"/>
        <item x="355"/>
        <item x="267"/>
        <item x="321"/>
        <item x="78"/>
        <item x="394"/>
        <item x="217"/>
        <item x="253"/>
        <item x="270"/>
        <item x="281"/>
        <item x="9"/>
        <item x="329"/>
        <item x="41"/>
        <item x="262"/>
        <item x="108"/>
        <item x="346"/>
        <item x="56"/>
        <item x="21"/>
        <item x="325"/>
        <item x="296"/>
        <item x="111"/>
        <item x="236"/>
        <item x="268"/>
        <item x="35"/>
        <item x="305"/>
        <item x="438"/>
        <item x="232"/>
        <item x="350"/>
        <item x="110"/>
        <item x="445"/>
        <item x="190"/>
        <item x="201"/>
        <item x="213"/>
        <item x="466"/>
        <item x="18"/>
        <item x="188"/>
        <item x="92"/>
        <item x="319"/>
        <item x="30"/>
        <item x="378"/>
        <item x="90"/>
        <item x="218"/>
        <item x="442"/>
        <item x="117"/>
        <item x="431"/>
        <item x="83"/>
        <item x="205"/>
        <item x="457"/>
        <item x="384"/>
        <item x="301"/>
        <item x="427"/>
        <item x="164"/>
        <item x="198"/>
        <item x="257"/>
        <item x="388"/>
        <item x="14"/>
        <item x="237"/>
        <item x="17"/>
        <item x="59"/>
        <item x="135"/>
        <item x="224"/>
        <item x="284"/>
        <item x="165"/>
        <item t="default"/>
      </items>
    </pivotField>
    <pivotField showAll="0"/>
    <pivotField numFmtId="165" showAll="0"/>
    <pivotField numFmtId="165" showAll="0"/>
    <pivotField numFmtId="1" showAll="0"/>
    <pivotField numFmtId="1" showAll="0"/>
    <pivotField showAll="0"/>
    <pivotField numFmtId="164" showAll="0"/>
    <pivotField axis="axisRow" showAll="0">
      <items count="5">
        <item x="0"/>
        <item x="2"/>
        <item x="1"/>
        <item x="3"/>
        <item t="default"/>
      </items>
    </pivotField>
    <pivotField showAll="0">
      <items count="13">
        <item x="5"/>
        <item x="3"/>
        <item x="9"/>
        <item x="7"/>
        <item x="6"/>
        <item x="4"/>
        <item x="2"/>
        <item x="0"/>
        <item x="1"/>
        <item x="11"/>
        <item x="8"/>
        <item x="10"/>
        <item t="default"/>
      </items>
    </pivotField>
    <pivotField showAll="0"/>
    <pivotField showAll="0"/>
    <pivotField showAll="0"/>
    <pivotField axis="axisCol" showAll="0">
      <items count="6">
        <item x="4"/>
        <item x="3"/>
        <item x="2"/>
        <item x="1"/>
        <item x="0"/>
        <item t="default"/>
      </items>
    </pivotField>
    <pivotField showAll="0">
      <items count="16">
        <item x="8"/>
        <item x="5"/>
        <item x="0"/>
        <item x="14"/>
        <item x="6"/>
        <item x="9"/>
        <item x="3"/>
        <item x="10"/>
        <item x="2"/>
        <item x="1"/>
        <item x="11"/>
        <item x="4"/>
        <item x="12"/>
        <item x="13"/>
        <item x="7"/>
        <item t="default"/>
      </items>
    </pivotField>
    <pivotField showAll="0">
      <items count="8">
        <item x="6"/>
        <item x="0"/>
        <item x="4"/>
        <item x="5"/>
        <item x="2"/>
        <item x="3"/>
        <item x="1"/>
        <item t="default"/>
      </items>
    </pivotField>
    <pivotField showAll="0"/>
    <pivotField numFmtId="4" showAll="0"/>
    <pivotField numFmtId="2" showAll="0"/>
    <pivotField numFmtId="2" showAll="0"/>
    <pivotField showAll="0"/>
    <pivotField numFmtId="9" showAll="0"/>
    <pivotField numFmtId="9" showAll="0"/>
    <pivotField showAll="0"/>
    <pivotField numFmtId="1" showAll="0"/>
    <pivotField numFmtId="2" showAll="0"/>
    <pivotField numFmtId="2" showAll="0"/>
    <pivotField dataField="1" numFmtId="2" showAll="0"/>
    <pivotField numFmtId="9" showAll="0"/>
    <pivotField numFmtId="9" showAll="0"/>
    <pivotField showAll="0"/>
    <pivotField showAll="0"/>
    <pivotField numFmtId="2" showAll="0"/>
    <pivotField numFmtId="2" showAll="0"/>
    <pivotField showAll="0" defaultSubtotal="0"/>
    <pivotField showAll="0" defaultSubtotal="0"/>
    <pivotField showAll="0" defaultSubtotal="0">
      <items count="5">
        <item x="0"/>
        <item x="1"/>
        <item x="2"/>
        <item x="3"/>
        <item x="4"/>
      </items>
    </pivotField>
  </pivotFields>
  <rowFields count="1">
    <field x="10"/>
  </rowFields>
  <rowItems count="5">
    <i>
      <x/>
    </i>
    <i>
      <x v="1"/>
    </i>
    <i>
      <x v="2"/>
    </i>
    <i>
      <x v="3"/>
    </i>
    <i t="grand">
      <x/>
    </i>
  </rowItems>
  <colFields count="1">
    <field x="15"/>
  </colFields>
  <colItems count="6">
    <i>
      <x/>
    </i>
    <i>
      <x v="1"/>
    </i>
    <i>
      <x v="2"/>
    </i>
    <i>
      <x v="3"/>
    </i>
    <i>
      <x v="4"/>
    </i>
    <i t="grand">
      <x/>
    </i>
  </colItems>
  <dataFields count="1">
    <dataField name="Sum of GrossProfit" fld="29" baseField="0" baseItem="0" numFmtId="2"/>
  </dataFields>
  <chartFormats count="5">
    <chartFormat chart="7" format="10" series="1">
      <pivotArea type="data" outline="0" fieldPosition="0">
        <references count="2">
          <reference field="4294967294" count="1" selected="0">
            <x v="0"/>
          </reference>
          <reference field="15" count="1" selected="0">
            <x v="0"/>
          </reference>
        </references>
      </pivotArea>
    </chartFormat>
    <chartFormat chart="7" format="11" series="1">
      <pivotArea type="data" outline="0" fieldPosition="0">
        <references count="2">
          <reference field="4294967294" count="1" selected="0">
            <x v="0"/>
          </reference>
          <reference field="15" count="1" selected="0">
            <x v="1"/>
          </reference>
        </references>
      </pivotArea>
    </chartFormat>
    <chartFormat chart="7" format="12" series="1">
      <pivotArea type="data" outline="0" fieldPosition="0">
        <references count="2">
          <reference field="4294967294" count="1" selected="0">
            <x v="0"/>
          </reference>
          <reference field="15" count="1" selected="0">
            <x v="2"/>
          </reference>
        </references>
      </pivotArea>
    </chartFormat>
    <chartFormat chart="7" format="13" series="1">
      <pivotArea type="data" outline="0" fieldPosition="0">
        <references count="2">
          <reference field="4294967294" count="1" selected="0">
            <x v="0"/>
          </reference>
          <reference field="15" count="1" selected="0">
            <x v="3"/>
          </reference>
        </references>
      </pivotArea>
    </chartFormat>
    <chartFormat chart="7" format="14" series="1">
      <pivotArea type="data" outline="0" fieldPosition="0">
        <references count="2">
          <reference field="4294967294" count="1" selected="0">
            <x v="0"/>
          </reference>
          <reference field="15" count="1" selected="0">
            <x v="4"/>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0CA710AC-58FD-4A96-8846-D27E37DAE692}" name="Revenue by month" cacheId="7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5">
  <location ref="A3:B40" firstHeaderRow="1" firstDataRow="1" firstDataCol="1" rowPageCount="1" colPageCount="1"/>
  <pivotFields count="39">
    <pivotField showAll="0"/>
    <pivotField numFmtId="165" showAll="0"/>
    <pivotField axis="axisPage" numFmtId="167" showAll="0">
      <items count="469">
        <item x="5"/>
        <item x="455"/>
        <item x="271"/>
        <item x="415"/>
        <item x="181"/>
        <item x="7"/>
        <item x="371"/>
        <item x="184"/>
        <item x="119"/>
        <item x="424"/>
        <item x="122"/>
        <item x="171"/>
        <item x="180"/>
        <item x="312"/>
        <item x="23"/>
        <item x="77"/>
        <item x="426"/>
        <item x="62"/>
        <item x="152"/>
        <item x="147"/>
        <item x="361"/>
        <item x="29"/>
        <item x="159"/>
        <item x="452"/>
        <item x="2"/>
        <item x="107"/>
        <item x="432"/>
        <item x="226"/>
        <item x="336"/>
        <item x="206"/>
        <item x="315"/>
        <item x="211"/>
        <item x="342"/>
        <item x="64"/>
        <item x="278"/>
        <item x="150"/>
        <item x="33"/>
        <item x="50"/>
        <item x="451"/>
        <item x="163"/>
        <item x="89"/>
        <item x="458"/>
        <item x="125"/>
        <item x="290"/>
        <item x="27"/>
        <item x="387"/>
        <item x="153"/>
        <item x="43"/>
        <item x="67"/>
        <item x="460"/>
        <item x="15"/>
        <item x="441"/>
        <item x="410"/>
        <item x="129"/>
        <item x="449"/>
        <item x="177"/>
        <item x="275"/>
        <item x="239"/>
        <item x="406"/>
        <item x="20"/>
        <item x="382"/>
        <item x="362"/>
        <item x="72"/>
        <item x="207"/>
        <item x="373"/>
        <item x="234"/>
        <item x="328"/>
        <item x="408"/>
        <item x="446"/>
        <item x="308"/>
        <item x="109"/>
        <item x="280"/>
        <item x="367"/>
        <item x="75"/>
        <item x="251"/>
        <item x="37"/>
        <item x="264"/>
        <item x="169"/>
        <item x="44"/>
        <item x="87"/>
        <item x="85"/>
        <item x="306"/>
        <item x="186"/>
        <item x="140"/>
        <item x="133"/>
        <item x="422"/>
        <item x="425"/>
        <item x="376"/>
        <item x="47"/>
        <item x="289"/>
        <item x="386"/>
        <item x="256"/>
        <item x="172"/>
        <item x="370"/>
        <item x="245"/>
        <item x="288"/>
        <item x="131"/>
        <item x="203"/>
        <item x="443"/>
        <item x="242"/>
        <item x="235"/>
        <item x="174"/>
        <item x="389"/>
        <item x="115"/>
        <item x="183"/>
        <item x="419"/>
        <item x="66"/>
        <item x="114"/>
        <item x="260"/>
        <item x="417"/>
        <item x="343"/>
        <item x="200"/>
        <item x="161"/>
        <item x="345"/>
        <item x="52"/>
        <item x="429"/>
        <item x="137"/>
        <item x="459"/>
        <item x="73"/>
        <item x="216"/>
        <item x="364"/>
        <item x="158"/>
        <item x="199"/>
        <item x="323"/>
        <item x="204"/>
        <item x="231"/>
        <item x="155"/>
        <item x="327"/>
        <item x="233"/>
        <item x="348"/>
        <item x="176"/>
        <item x="358"/>
        <item x="259"/>
        <item x="282"/>
        <item x="391"/>
        <item x="324"/>
        <item x="250"/>
        <item x="143"/>
        <item x="193"/>
        <item x="276"/>
        <item x="285"/>
        <item x="112"/>
        <item x="106"/>
        <item x="214"/>
        <item x="134"/>
        <item x="294"/>
        <item x="297"/>
        <item x="63"/>
        <item x="374"/>
        <item x="4"/>
        <item x="141"/>
        <item x="340"/>
        <item x="380"/>
        <item x="202"/>
        <item x="195"/>
        <item x="295"/>
        <item x="81"/>
        <item x="240"/>
        <item x="311"/>
        <item x="423"/>
        <item x="113"/>
        <item x="360"/>
        <item x="300"/>
        <item x="279"/>
        <item x="435"/>
        <item x="241"/>
        <item x="39"/>
        <item x="182"/>
        <item x="94"/>
        <item x="347"/>
        <item x="303"/>
        <item x="13"/>
        <item x="84"/>
        <item x="436"/>
        <item x="247"/>
        <item x="10"/>
        <item x="145"/>
        <item x="162"/>
        <item x="383"/>
        <item x="437"/>
        <item x="179"/>
        <item x="128"/>
        <item x="221"/>
        <item x="292"/>
        <item x="142"/>
        <item x="351"/>
        <item x="439"/>
        <item x="354"/>
        <item x="352"/>
        <item x="194"/>
        <item x="397"/>
        <item x="263"/>
        <item x="314"/>
        <item x="428"/>
        <item x="220"/>
        <item x="34"/>
        <item x="307"/>
        <item x="58"/>
        <item x="0"/>
        <item x="450"/>
        <item x="227"/>
        <item x="246"/>
        <item x="68"/>
        <item x="363"/>
        <item x="265"/>
        <item x="248"/>
        <item x="215"/>
        <item x="244"/>
        <item x="149"/>
        <item x="136"/>
        <item x="403"/>
        <item x="82"/>
        <item x="286"/>
        <item x="70"/>
        <item x="413"/>
        <item x="31"/>
        <item x="36"/>
        <item x="395"/>
        <item x="412"/>
        <item x="400"/>
        <item x="230"/>
        <item x="372"/>
        <item x="8"/>
        <item x="375"/>
        <item x="322"/>
        <item x="385"/>
        <item x="393"/>
        <item x="45"/>
        <item x="313"/>
        <item x="22"/>
        <item x="173"/>
        <item x="42"/>
        <item x="98"/>
        <item x="65"/>
        <item x="154"/>
        <item x="398"/>
        <item x="91"/>
        <item x="118"/>
        <item x="101"/>
        <item x="368"/>
        <item x="151"/>
        <item x="416"/>
        <item x="344"/>
        <item x="116"/>
        <item x="274"/>
        <item x="102"/>
        <item x="103"/>
        <item x="369"/>
        <item x="132"/>
        <item x="249"/>
        <item x="269"/>
        <item x="304"/>
        <item x="463"/>
        <item x="104"/>
        <item x="24"/>
        <item x="411"/>
        <item x="287"/>
        <item x="293"/>
        <item x="157"/>
        <item x="320"/>
        <item x="26"/>
        <item x="334"/>
        <item x="19"/>
        <item x="465"/>
        <item x="228"/>
        <item x="453"/>
        <item x="447"/>
        <item x="399"/>
        <item x="144"/>
        <item x="298"/>
        <item x="326"/>
        <item x="175"/>
        <item x="99"/>
        <item x="421"/>
        <item x="456"/>
        <item x="353"/>
        <item x="396"/>
        <item x="365"/>
        <item x="32"/>
        <item x="38"/>
        <item x="74"/>
        <item x="341"/>
        <item x="434"/>
        <item x="225"/>
        <item x="209"/>
        <item x="210"/>
        <item x="331"/>
        <item x="255"/>
        <item x="191"/>
        <item x="187"/>
        <item x="212"/>
        <item x="97"/>
        <item x="197"/>
        <item x="178"/>
        <item x="138"/>
        <item x="366"/>
        <item x="189"/>
        <item x="166"/>
        <item x="88"/>
        <item x="238"/>
        <item x="156"/>
        <item x="407"/>
        <item x="196"/>
        <item x="464"/>
        <item x="46"/>
        <item x="100"/>
        <item x="49"/>
        <item x="462"/>
        <item x="168"/>
        <item x="1"/>
        <item x="404"/>
        <item x="40"/>
        <item x="229"/>
        <item x="291"/>
        <item x="148"/>
        <item x="356"/>
        <item x="61"/>
        <item x="273"/>
        <item x="333"/>
        <item x="48"/>
        <item x="299"/>
        <item x="223"/>
        <item x="444"/>
        <item x="405"/>
        <item x="392"/>
        <item x="127"/>
        <item x="76"/>
        <item x="379"/>
        <item x="302"/>
        <item x="461"/>
        <item x="25"/>
        <item x="219"/>
        <item x="96"/>
        <item x="430"/>
        <item x="390"/>
        <item x="16"/>
        <item x="330"/>
        <item x="126"/>
        <item x="71"/>
        <item x="55"/>
        <item x="337"/>
        <item x="124"/>
        <item x="130"/>
        <item x="359"/>
        <item x="6"/>
        <item x="357"/>
        <item x="272"/>
        <item x="11"/>
        <item x="409"/>
        <item x="316"/>
        <item x="123"/>
        <item x="420"/>
        <item x="283"/>
        <item x="170"/>
        <item x="105"/>
        <item x="335"/>
        <item x="51"/>
        <item x="266"/>
        <item x="93"/>
        <item x="192"/>
        <item x="318"/>
        <item x="167"/>
        <item x="185"/>
        <item x="317"/>
        <item x="414"/>
        <item x="54"/>
        <item x="120"/>
        <item x="146"/>
        <item x="433"/>
        <item x="454"/>
        <item x="243"/>
        <item x="338"/>
        <item x="349"/>
        <item x="467"/>
        <item x="121"/>
        <item x="12"/>
        <item x="339"/>
        <item x="402"/>
        <item x="418"/>
        <item x="252"/>
        <item x="310"/>
        <item x="309"/>
        <item x="381"/>
        <item x="401"/>
        <item x="80"/>
        <item x="3"/>
        <item x="258"/>
        <item x="95"/>
        <item x="277"/>
        <item x="254"/>
        <item x="53"/>
        <item x="28"/>
        <item x="69"/>
        <item x="377"/>
        <item x="261"/>
        <item x="332"/>
        <item x="440"/>
        <item x="160"/>
        <item x="139"/>
        <item x="448"/>
        <item x="222"/>
        <item x="79"/>
        <item x="208"/>
        <item x="60"/>
        <item x="86"/>
        <item x="57"/>
        <item x="355"/>
        <item x="267"/>
        <item x="321"/>
        <item x="78"/>
        <item x="394"/>
        <item x="217"/>
        <item x="253"/>
        <item x="270"/>
        <item x="281"/>
        <item x="9"/>
        <item x="329"/>
        <item x="41"/>
        <item x="262"/>
        <item x="108"/>
        <item x="346"/>
        <item x="56"/>
        <item x="21"/>
        <item x="325"/>
        <item x="296"/>
        <item x="111"/>
        <item x="236"/>
        <item x="268"/>
        <item x="35"/>
        <item x="305"/>
        <item x="438"/>
        <item x="232"/>
        <item x="350"/>
        <item x="110"/>
        <item x="445"/>
        <item x="190"/>
        <item x="201"/>
        <item x="213"/>
        <item x="466"/>
        <item x="18"/>
        <item x="188"/>
        <item x="92"/>
        <item x="319"/>
        <item x="30"/>
        <item x="378"/>
        <item x="90"/>
        <item x="218"/>
        <item x="442"/>
        <item x="117"/>
        <item x="431"/>
        <item x="83"/>
        <item x="205"/>
        <item x="457"/>
        <item x="384"/>
        <item x="301"/>
        <item x="427"/>
        <item x="164"/>
        <item x="198"/>
        <item x="257"/>
        <item x="388"/>
        <item x="14"/>
        <item x="237"/>
        <item x="17"/>
        <item x="59"/>
        <item x="135"/>
        <item x="224"/>
        <item x="284"/>
        <item x="165"/>
        <item t="default"/>
      </items>
    </pivotField>
    <pivotField showAll="0"/>
    <pivotField numFmtId="165" showAll="0"/>
    <pivotField numFmtId="165" showAll="0"/>
    <pivotField numFmtId="1" showAll="0"/>
    <pivotField numFmtId="1" showAll="0"/>
    <pivotField showAll="0"/>
    <pivotField numFmtId="164" showAll="0"/>
    <pivotField showAll="0">
      <items count="5">
        <item x="0"/>
        <item x="2"/>
        <item x="1"/>
        <item x="3"/>
        <item t="default"/>
      </items>
    </pivotField>
    <pivotField showAll="0">
      <items count="13">
        <item x="5"/>
        <item x="3"/>
        <item x="9"/>
        <item x="7"/>
        <item x="6"/>
        <item x="4"/>
        <item x="2"/>
        <item x="0"/>
        <item x="1"/>
        <item x="11"/>
        <item x="8"/>
        <item x="10"/>
        <item t="default"/>
      </items>
    </pivotField>
    <pivotField showAll="0"/>
    <pivotField showAll="0"/>
    <pivotField showAll="0"/>
    <pivotField showAll="0">
      <items count="6">
        <item x="4"/>
        <item x="3"/>
        <item x="2"/>
        <item x="1"/>
        <item x="0"/>
        <item t="default"/>
      </items>
    </pivotField>
    <pivotField showAll="0">
      <items count="16">
        <item x="8"/>
        <item x="5"/>
        <item x="0"/>
        <item x="14"/>
        <item x="6"/>
        <item x="9"/>
        <item x="3"/>
        <item x="10"/>
        <item x="2"/>
        <item x="1"/>
        <item x="11"/>
        <item x="4"/>
        <item x="12"/>
        <item x="13"/>
        <item x="7"/>
        <item t="default"/>
      </items>
    </pivotField>
    <pivotField showAll="0">
      <items count="8">
        <item x="6"/>
        <item x="0"/>
        <item x="4"/>
        <item x="5"/>
        <item x="2"/>
        <item x="3"/>
        <item x="1"/>
        <item t="default"/>
      </items>
    </pivotField>
    <pivotField showAll="0"/>
    <pivotField numFmtId="4" showAll="0"/>
    <pivotField numFmtId="2" showAll="0"/>
    <pivotField numFmtId="2" showAll="0"/>
    <pivotField showAll="0"/>
    <pivotField numFmtId="9" showAll="0"/>
    <pivotField numFmtId="9" showAll="0"/>
    <pivotField showAll="0"/>
    <pivotField numFmtId="1" showAll="0"/>
    <pivotField dataField="1" numFmtId="2" showAll="0"/>
    <pivotField numFmtId="2" showAll="0"/>
    <pivotField numFmtId="2" showAll="0"/>
    <pivotField numFmtId="9" showAll="0"/>
    <pivotField numFmtId="9" showAll="0"/>
    <pivotField showAll="0"/>
    <pivotField showAll="0"/>
    <pivotField numFmtId="2" showAll="0"/>
    <pivotField numFmtId="2" showAll="0"/>
    <pivotField axis="axisRow" showAll="0">
      <items count="15">
        <item sd="0" x="0"/>
        <item sd="0" x="1"/>
        <item n="Feb" sd="0" x="2"/>
        <item sd="0" x="3"/>
        <item sd="0" x="4"/>
        <item sd="0" x="5"/>
        <item sd="0" x="6"/>
        <item sd="0" x="7"/>
        <item sd="0" x="8"/>
        <item sd="0" x="9"/>
        <item sd="0" x="10"/>
        <item sd="0" x="11"/>
        <item sd="0" x="12"/>
        <item sd="0" x="13"/>
        <item t="default"/>
      </items>
    </pivotField>
    <pivotField showAll="0">
      <items count="7">
        <item sd="0" x="0"/>
        <item sd="0" x="1"/>
        <item sd="0" x="2"/>
        <item sd="0" x="3"/>
        <item sd="0" x="4"/>
        <item sd="0" x="5"/>
        <item t="default"/>
      </items>
    </pivotField>
    <pivotField axis="axisRow" showAll="0">
      <items count="6">
        <item sd="0" x="0"/>
        <item x="1"/>
        <item x="2"/>
        <item x="3"/>
        <item sd="0" x="4"/>
        <item t="default"/>
      </items>
    </pivotField>
  </pivotFields>
  <rowFields count="2">
    <field x="38"/>
    <field x="36"/>
  </rowFields>
  <rowItems count="37">
    <i>
      <x v="1"/>
    </i>
    <i r="1">
      <x v="1"/>
    </i>
    <i r="1">
      <x v="2"/>
    </i>
    <i r="1">
      <x v="3"/>
    </i>
    <i r="1">
      <x v="4"/>
    </i>
    <i r="1">
      <x v="5"/>
    </i>
    <i r="1">
      <x v="6"/>
    </i>
    <i r="1">
      <x v="7"/>
    </i>
    <i r="1">
      <x v="8"/>
    </i>
    <i r="1">
      <x v="9"/>
    </i>
    <i r="1">
      <x v="10"/>
    </i>
    <i r="1">
      <x v="11"/>
    </i>
    <i r="1">
      <x v="12"/>
    </i>
    <i>
      <x v="2"/>
    </i>
    <i r="1">
      <x v="1"/>
    </i>
    <i r="1">
      <x v="2"/>
    </i>
    <i r="1">
      <x v="3"/>
    </i>
    <i r="1">
      <x v="4"/>
    </i>
    <i r="1">
      <x v="5"/>
    </i>
    <i r="1">
      <x v="6"/>
    </i>
    <i r="1">
      <x v="7"/>
    </i>
    <i r="1">
      <x v="8"/>
    </i>
    <i r="1">
      <x v="9"/>
    </i>
    <i r="1">
      <x v="10"/>
    </i>
    <i r="1">
      <x v="11"/>
    </i>
    <i r="1">
      <x v="12"/>
    </i>
    <i>
      <x v="3"/>
    </i>
    <i r="1">
      <x v="1"/>
    </i>
    <i r="1">
      <x v="2"/>
    </i>
    <i r="1">
      <x v="3"/>
    </i>
    <i r="1">
      <x v="4"/>
    </i>
    <i r="1">
      <x v="5"/>
    </i>
    <i r="1">
      <x v="6"/>
    </i>
    <i r="1">
      <x v="7"/>
    </i>
    <i r="1">
      <x v="8"/>
    </i>
    <i r="1">
      <x v="9"/>
    </i>
    <i t="grand">
      <x/>
    </i>
  </rowItems>
  <colItems count="1">
    <i/>
  </colItems>
  <pageFields count="1">
    <pageField fld="2" hier="-1"/>
  </pageFields>
  <dataFields count="1">
    <dataField name="Sum of GrossRevenue" fld="27" baseField="0" baseItem="0" numFmtId="2"/>
  </dataFields>
  <chartFormats count="1">
    <chartFormat chart="3"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DE43D563-B17A-4A0E-B71D-59864C5F9864}" name="city order count"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3:B55" firstHeaderRow="1" firstDataRow="1" firstDataCol="1"/>
  <pivotFields count="19">
    <pivotField dataField="1" showAll="0"/>
    <pivotField numFmtId="165" showAll="0"/>
    <pivotField numFmtId="165" showAll="0"/>
    <pivotField numFmtId="165" showAll="0"/>
    <pivotField numFmtId="1" showAll="0"/>
    <pivotField showAll="0"/>
    <pivotField axis="axisRow" showAll="0">
      <items count="13">
        <item x="5"/>
        <item x="3"/>
        <item x="9"/>
        <item x="7"/>
        <item x="6"/>
        <item x="4"/>
        <item x="2"/>
        <item x="0"/>
        <item x="1"/>
        <item x="11"/>
        <item x="8"/>
        <item x="10"/>
        <item t="default"/>
      </items>
    </pivotField>
    <pivotField axis="axisRow" showAll="0">
      <items count="41">
        <item x="7"/>
        <item x="35"/>
        <item x="37"/>
        <item x="6"/>
        <item x="9"/>
        <item x="12"/>
        <item x="10"/>
        <item x="33"/>
        <item x="15"/>
        <item x="18"/>
        <item x="25"/>
        <item x="36"/>
        <item x="34"/>
        <item x="20"/>
        <item x="0"/>
        <item x="3"/>
        <item x="21"/>
        <item x="17"/>
        <item x="31"/>
        <item x="11"/>
        <item x="13"/>
        <item x="19"/>
        <item x="29"/>
        <item x="22"/>
        <item x="32"/>
        <item x="2"/>
        <item x="16"/>
        <item x="38"/>
        <item x="4"/>
        <item x="28"/>
        <item x="1"/>
        <item x="30"/>
        <item x="24"/>
        <item x="8"/>
        <item x="23"/>
        <item x="14"/>
        <item x="27"/>
        <item x="5"/>
        <item x="26"/>
        <item m="1" x="39"/>
        <item t="default"/>
      </items>
    </pivotField>
    <pivotField showAll="0"/>
    <pivotField showAll="0"/>
    <pivotField showAll="0"/>
    <pivotField showAll="0"/>
    <pivotField showAll="0"/>
    <pivotField numFmtId="4" showAll="0"/>
    <pivotField numFmtId="2" showAll="0"/>
    <pivotField numFmtId="2" showAll="0"/>
    <pivotField numFmtId="2" showAll="0"/>
    <pivotField numFmtId="9" showAll="0"/>
    <pivotField showAll="0"/>
  </pivotFields>
  <rowFields count="2">
    <field x="6"/>
    <field x="7"/>
  </rowFields>
  <rowItems count="52">
    <i>
      <x/>
    </i>
    <i r="1">
      <x v="6"/>
    </i>
    <i r="1">
      <x v="31"/>
    </i>
    <i r="1">
      <x v="33"/>
    </i>
    <i>
      <x v="1"/>
    </i>
    <i r="1">
      <x v="21"/>
    </i>
    <i r="1">
      <x v="37"/>
    </i>
    <i r="1">
      <x v="38"/>
    </i>
    <i>
      <x v="2"/>
    </i>
    <i r="1">
      <x v="2"/>
    </i>
    <i r="1">
      <x v="34"/>
    </i>
    <i r="1">
      <x v="35"/>
    </i>
    <i>
      <x v="3"/>
    </i>
    <i r="1">
      <x v="17"/>
    </i>
    <i r="1">
      <x v="19"/>
    </i>
    <i r="1">
      <x v="29"/>
    </i>
    <i>
      <x v="4"/>
    </i>
    <i r="1">
      <x v="4"/>
    </i>
    <i r="1">
      <x v="11"/>
    </i>
    <i r="1">
      <x v="23"/>
    </i>
    <i>
      <x v="5"/>
    </i>
    <i r="1">
      <x v="3"/>
    </i>
    <i r="1">
      <x v="9"/>
    </i>
    <i r="1">
      <x v="12"/>
    </i>
    <i r="1">
      <x v="22"/>
    </i>
    <i>
      <x v="6"/>
    </i>
    <i r="1">
      <x v="24"/>
    </i>
    <i r="1">
      <x v="28"/>
    </i>
    <i r="1">
      <x v="36"/>
    </i>
    <i>
      <x v="7"/>
    </i>
    <i r="1">
      <x v="14"/>
    </i>
    <i r="1">
      <x v="20"/>
    </i>
    <i r="1">
      <x v="25"/>
    </i>
    <i r="1">
      <x v="26"/>
    </i>
    <i>
      <x v="8"/>
    </i>
    <i r="1">
      <x/>
    </i>
    <i r="1">
      <x v="15"/>
    </i>
    <i r="1">
      <x v="30"/>
    </i>
    <i>
      <x v="9"/>
    </i>
    <i r="1">
      <x v="7"/>
    </i>
    <i r="1">
      <x v="10"/>
    </i>
    <i r="1">
      <x v="13"/>
    </i>
    <i>
      <x v="10"/>
    </i>
    <i r="1">
      <x v="5"/>
    </i>
    <i r="1">
      <x v="16"/>
    </i>
    <i r="1">
      <x v="18"/>
    </i>
    <i>
      <x v="11"/>
    </i>
    <i r="1">
      <x v="1"/>
    </i>
    <i r="1">
      <x v="8"/>
    </i>
    <i r="1">
      <x v="27"/>
    </i>
    <i r="1">
      <x v="32"/>
    </i>
    <i t="grand">
      <x/>
    </i>
  </rowItems>
  <colItems count="1">
    <i/>
  </colItems>
  <dataFields count="1">
    <dataField name="Count of OrderID" fld="0" subtotal="count"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BC4120D4-FB29-49D6-953C-185AD7468A31}" name="Salesperson order count"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3:B182" firstHeaderRow="1" firstDataRow="1" firstDataCol="1"/>
  <pivotFields count="19">
    <pivotField dataField="1" showAll="0"/>
    <pivotField numFmtId="165" showAll="0"/>
    <pivotField numFmtId="165" showAll="0"/>
    <pivotField numFmtId="165" showAll="0"/>
    <pivotField numFmtId="1" showAll="0"/>
    <pivotField axis="axisRow" showAll="0">
      <items count="5">
        <item x="0"/>
        <item x="2"/>
        <item x="1"/>
        <item x="3"/>
        <item t="default"/>
      </items>
    </pivotField>
    <pivotField axis="axisRow" showAll="0">
      <items count="13">
        <item sd="0" x="5"/>
        <item x="3"/>
        <item x="9"/>
        <item x="7"/>
        <item x="6"/>
        <item x="4"/>
        <item x="2"/>
        <item x="0"/>
        <item x="1"/>
        <item x="11"/>
        <item x="8"/>
        <item x="10"/>
        <item t="default"/>
      </items>
    </pivotField>
    <pivotField showAll="0"/>
    <pivotField showAll="0"/>
    <pivotField showAll="0"/>
    <pivotField axis="axisRow" showAll="0">
      <items count="17">
        <item x="8"/>
        <item x="5"/>
        <item x="0"/>
        <item x="14"/>
        <item x="6"/>
        <item x="9"/>
        <item x="3"/>
        <item x="10"/>
        <item x="2"/>
        <item x="1"/>
        <item x="11"/>
        <item x="4"/>
        <item x="12"/>
        <item x="13"/>
        <item x="7"/>
        <item m="1" x="15"/>
        <item t="default"/>
      </items>
    </pivotField>
    <pivotField showAll="0"/>
    <pivotField showAll="0"/>
    <pivotField numFmtId="4" showAll="0"/>
    <pivotField numFmtId="2" showAll="0"/>
    <pivotField numFmtId="2" showAll="0"/>
    <pivotField numFmtId="2" showAll="0"/>
    <pivotField numFmtId="9" showAll="0"/>
    <pivotField showAll="0"/>
  </pivotFields>
  <rowFields count="3">
    <field x="5"/>
    <field x="6"/>
    <field x="10"/>
  </rowFields>
  <rowItems count="179">
    <i>
      <x/>
    </i>
    <i r="1">
      <x v="7"/>
    </i>
    <i r="2">
      <x/>
    </i>
    <i r="2">
      <x v="1"/>
    </i>
    <i r="2">
      <x v="2"/>
    </i>
    <i r="2">
      <x v="3"/>
    </i>
    <i r="2">
      <x v="4"/>
    </i>
    <i r="2">
      <x v="5"/>
    </i>
    <i r="2">
      <x v="7"/>
    </i>
    <i r="2">
      <x v="8"/>
    </i>
    <i r="2">
      <x v="9"/>
    </i>
    <i r="2">
      <x v="10"/>
    </i>
    <i r="2">
      <x v="11"/>
    </i>
    <i r="2">
      <x v="12"/>
    </i>
    <i r="2">
      <x v="13"/>
    </i>
    <i r="2">
      <x v="14"/>
    </i>
    <i r="1">
      <x v="8"/>
    </i>
    <i r="2">
      <x/>
    </i>
    <i r="2">
      <x v="2"/>
    </i>
    <i r="2">
      <x v="3"/>
    </i>
    <i r="2">
      <x v="4"/>
    </i>
    <i r="2">
      <x v="5"/>
    </i>
    <i r="2">
      <x v="6"/>
    </i>
    <i r="2">
      <x v="7"/>
    </i>
    <i r="2">
      <x v="8"/>
    </i>
    <i r="2">
      <x v="9"/>
    </i>
    <i r="2">
      <x v="10"/>
    </i>
    <i r="2">
      <x v="11"/>
    </i>
    <i r="2">
      <x v="12"/>
    </i>
    <i r="2">
      <x v="14"/>
    </i>
    <i r="1">
      <x v="9"/>
    </i>
    <i r="2">
      <x/>
    </i>
    <i r="2">
      <x v="1"/>
    </i>
    <i r="2">
      <x v="2"/>
    </i>
    <i r="2">
      <x v="3"/>
    </i>
    <i r="2">
      <x v="4"/>
    </i>
    <i r="2">
      <x v="5"/>
    </i>
    <i r="2">
      <x v="6"/>
    </i>
    <i r="2">
      <x v="7"/>
    </i>
    <i r="2">
      <x v="8"/>
    </i>
    <i r="2">
      <x v="9"/>
    </i>
    <i r="2">
      <x v="10"/>
    </i>
    <i r="2">
      <x v="11"/>
    </i>
    <i r="2">
      <x v="12"/>
    </i>
    <i r="2">
      <x v="13"/>
    </i>
    <i r="2">
      <x v="14"/>
    </i>
    <i>
      <x v="1"/>
    </i>
    <i r="1">
      <x/>
    </i>
    <i r="1">
      <x v="1"/>
    </i>
    <i r="2">
      <x/>
    </i>
    <i r="2">
      <x v="1"/>
    </i>
    <i r="2">
      <x v="2"/>
    </i>
    <i r="2">
      <x v="3"/>
    </i>
    <i r="2">
      <x v="4"/>
    </i>
    <i r="2">
      <x v="5"/>
    </i>
    <i r="2">
      <x v="6"/>
    </i>
    <i r="2">
      <x v="7"/>
    </i>
    <i r="2">
      <x v="8"/>
    </i>
    <i r="2">
      <x v="9"/>
    </i>
    <i r="2">
      <x v="10"/>
    </i>
    <i r="2">
      <x v="11"/>
    </i>
    <i r="2">
      <x v="12"/>
    </i>
    <i r="2">
      <x v="13"/>
    </i>
    <i r="2">
      <x v="14"/>
    </i>
    <i r="1">
      <x v="11"/>
    </i>
    <i r="2">
      <x/>
    </i>
    <i r="2">
      <x v="1"/>
    </i>
    <i r="2">
      <x v="2"/>
    </i>
    <i r="2">
      <x v="3"/>
    </i>
    <i r="2">
      <x v="4"/>
    </i>
    <i r="2">
      <x v="5"/>
    </i>
    <i r="2">
      <x v="6"/>
    </i>
    <i r="2">
      <x v="7"/>
    </i>
    <i r="2">
      <x v="8"/>
    </i>
    <i r="2">
      <x v="9"/>
    </i>
    <i r="2">
      <x v="10"/>
    </i>
    <i r="2">
      <x v="11"/>
    </i>
    <i r="2">
      <x v="12"/>
    </i>
    <i r="2">
      <x v="13"/>
    </i>
    <i r="2">
      <x v="14"/>
    </i>
    <i>
      <x v="2"/>
    </i>
    <i r="1">
      <x v="2"/>
    </i>
    <i r="2">
      <x/>
    </i>
    <i r="2">
      <x v="1"/>
    </i>
    <i r="2">
      <x v="2"/>
    </i>
    <i r="2">
      <x v="3"/>
    </i>
    <i r="2">
      <x v="4"/>
    </i>
    <i r="2">
      <x v="5"/>
    </i>
    <i r="2">
      <x v="6"/>
    </i>
    <i r="2">
      <x v="7"/>
    </i>
    <i r="2">
      <x v="8"/>
    </i>
    <i r="2">
      <x v="9"/>
    </i>
    <i r="2">
      <x v="10"/>
    </i>
    <i r="2">
      <x v="11"/>
    </i>
    <i r="2">
      <x v="12"/>
    </i>
    <i r="2">
      <x v="13"/>
    </i>
    <i r="2">
      <x v="14"/>
    </i>
    <i r="1">
      <x v="5"/>
    </i>
    <i r="2">
      <x/>
    </i>
    <i r="2">
      <x v="1"/>
    </i>
    <i r="2">
      <x v="2"/>
    </i>
    <i r="2">
      <x v="3"/>
    </i>
    <i r="2">
      <x v="4"/>
    </i>
    <i r="2">
      <x v="5"/>
    </i>
    <i r="2">
      <x v="6"/>
    </i>
    <i r="2">
      <x v="7"/>
    </i>
    <i r="2">
      <x v="8"/>
    </i>
    <i r="2">
      <x v="9"/>
    </i>
    <i r="2">
      <x v="10"/>
    </i>
    <i r="2">
      <x v="11"/>
    </i>
    <i r="2">
      <x v="12"/>
    </i>
    <i r="2">
      <x v="13"/>
    </i>
    <i r="2">
      <x v="14"/>
    </i>
    <i r="1">
      <x v="6"/>
    </i>
    <i r="2">
      <x/>
    </i>
    <i r="2">
      <x v="1"/>
    </i>
    <i r="2">
      <x v="2"/>
    </i>
    <i r="2">
      <x v="3"/>
    </i>
    <i r="2">
      <x v="4"/>
    </i>
    <i r="2">
      <x v="5"/>
    </i>
    <i r="2">
      <x v="6"/>
    </i>
    <i r="2">
      <x v="7"/>
    </i>
    <i r="2">
      <x v="8"/>
    </i>
    <i r="2">
      <x v="9"/>
    </i>
    <i r="2">
      <x v="10"/>
    </i>
    <i r="2">
      <x v="11"/>
    </i>
    <i r="2">
      <x v="12"/>
    </i>
    <i r="2">
      <x v="13"/>
    </i>
    <i r="2">
      <x v="14"/>
    </i>
    <i>
      <x v="3"/>
    </i>
    <i r="1">
      <x v="3"/>
    </i>
    <i r="2">
      <x/>
    </i>
    <i r="2">
      <x v="1"/>
    </i>
    <i r="2">
      <x v="2"/>
    </i>
    <i r="2">
      <x v="3"/>
    </i>
    <i r="2">
      <x v="4"/>
    </i>
    <i r="2">
      <x v="5"/>
    </i>
    <i r="2">
      <x v="6"/>
    </i>
    <i r="2">
      <x v="7"/>
    </i>
    <i r="2">
      <x v="8"/>
    </i>
    <i r="2">
      <x v="9"/>
    </i>
    <i r="2">
      <x v="10"/>
    </i>
    <i r="2">
      <x v="11"/>
    </i>
    <i r="2">
      <x v="12"/>
    </i>
    <i r="2">
      <x v="13"/>
    </i>
    <i r="2">
      <x v="14"/>
    </i>
    <i r="1">
      <x v="4"/>
    </i>
    <i r="2">
      <x/>
    </i>
    <i r="2">
      <x v="1"/>
    </i>
    <i r="2">
      <x v="2"/>
    </i>
    <i r="2">
      <x v="3"/>
    </i>
    <i r="2">
      <x v="4"/>
    </i>
    <i r="2">
      <x v="5"/>
    </i>
    <i r="2">
      <x v="6"/>
    </i>
    <i r="2">
      <x v="7"/>
    </i>
    <i r="2">
      <x v="8"/>
    </i>
    <i r="2">
      <x v="9"/>
    </i>
    <i r="2">
      <x v="10"/>
    </i>
    <i r="2">
      <x v="11"/>
    </i>
    <i r="2">
      <x v="12"/>
    </i>
    <i r="2">
      <x v="13"/>
    </i>
    <i r="2">
      <x v="14"/>
    </i>
    <i r="1">
      <x v="10"/>
    </i>
    <i r="2">
      <x/>
    </i>
    <i r="2">
      <x v="1"/>
    </i>
    <i r="2">
      <x v="2"/>
    </i>
    <i r="2">
      <x v="3"/>
    </i>
    <i r="2">
      <x v="4"/>
    </i>
    <i r="2">
      <x v="5"/>
    </i>
    <i r="2">
      <x v="6"/>
    </i>
    <i r="2">
      <x v="7"/>
    </i>
    <i r="2">
      <x v="8"/>
    </i>
    <i r="2">
      <x v="9"/>
    </i>
    <i r="2">
      <x v="10"/>
    </i>
    <i r="2">
      <x v="11"/>
    </i>
    <i r="2">
      <x v="12"/>
    </i>
    <i r="2">
      <x v="13"/>
    </i>
    <i r="2">
      <x v="14"/>
    </i>
    <i t="grand">
      <x/>
    </i>
  </rowItems>
  <colItems count="1">
    <i/>
  </colItems>
  <dataFields count="1">
    <dataField name="Count of OrderID" fld="0" subtotal="count"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1AF72B14-DD0B-4F93-A874-D344C7B8C8DA}" name="Channel Order count"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3:G89" firstHeaderRow="1" firstDataRow="2" firstDataCol="1"/>
  <pivotFields count="19">
    <pivotField dataField="1" showAll="0"/>
    <pivotField numFmtId="165" showAll="0"/>
    <pivotField numFmtId="165" showAll="0"/>
    <pivotField numFmtId="165" showAll="0"/>
    <pivotField numFmtId="1" showAll="0"/>
    <pivotField showAll="0"/>
    <pivotField axis="axisRow" showAll="0">
      <items count="13">
        <item x="5"/>
        <item x="3"/>
        <item x="9"/>
        <item x="7"/>
        <item x="6"/>
        <item x="4"/>
        <item x="2"/>
        <item x="0"/>
        <item x="1"/>
        <item x="11"/>
        <item x="8"/>
        <item x="10"/>
        <item t="default"/>
      </items>
    </pivotField>
    <pivotField showAll="0"/>
    <pivotField axis="axisRow" showAll="0">
      <items count="7">
        <item x="3"/>
        <item x="0"/>
        <item x="1"/>
        <item x="5"/>
        <item x="2"/>
        <item x="4"/>
        <item t="default"/>
      </items>
    </pivotField>
    <pivotField axis="axisCol" showAll="0">
      <items count="7">
        <item x="4"/>
        <item x="3"/>
        <item x="2"/>
        <item x="1"/>
        <item x="0"/>
        <item m="1" x="5"/>
        <item t="default"/>
      </items>
    </pivotField>
    <pivotField showAll="0"/>
    <pivotField showAll="0"/>
    <pivotField showAll="0"/>
    <pivotField numFmtId="4" showAll="0"/>
    <pivotField numFmtId="2" showAll="0"/>
    <pivotField numFmtId="2" showAll="0"/>
    <pivotField numFmtId="2" showAll="0"/>
    <pivotField numFmtId="9" showAll="0"/>
    <pivotField showAll="0"/>
  </pivotFields>
  <rowFields count="2">
    <field x="6"/>
    <field x="8"/>
  </rowFields>
  <rowItems count="85">
    <i>
      <x/>
    </i>
    <i r="1">
      <x/>
    </i>
    <i r="1">
      <x v="1"/>
    </i>
    <i r="1">
      <x v="2"/>
    </i>
    <i r="1">
      <x v="3"/>
    </i>
    <i r="1">
      <x v="4"/>
    </i>
    <i r="1">
      <x v="5"/>
    </i>
    <i>
      <x v="1"/>
    </i>
    <i r="1">
      <x/>
    </i>
    <i r="1">
      <x v="1"/>
    </i>
    <i r="1">
      <x v="2"/>
    </i>
    <i r="1">
      <x v="3"/>
    </i>
    <i r="1">
      <x v="4"/>
    </i>
    <i r="1">
      <x v="5"/>
    </i>
    <i>
      <x v="2"/>
    </i>
    <i r="1">
      <x/>
    </i>
    <i r="1">
      <x v="1"/>
    </i>
    <i r="1">
      <x v="2"/>
    </i>
    <i r="1">
      <x v="3"/>
    </i>
    <i r="1">
      <x v="4"/>
    </i>
    <i r="1">
      <x v="5"/>
    </i>
    <i>
      <x v="3"/>
    </i>
    <i r="1">
      <x/>
    </i>
    <i r="1">
      <x v="1"/>
    </i>
    <i r="1">
      <x v="2"/>
    </i>
    <i r="1">
      <x v="3"/>
    </i>
    <i r="1">
      <x v="4"/>
    </i>
    <i r="1">
      <x v="5"/>
    </i>
    <i>
      <x v="4"/>
    </i>
    <i r="1">
      <x/>
    </i>
    <i r="1">
      <x v="1"/>
    </i>
    <i r="1">
      <x v="2"/>
    </i>
    <i r="1">
      <x v="3"/>
    </i>
    <i r="1">
      <x v="4"/>
    </i>
    <i r="1">
      <x v="5"/>
    </i>
    <i>
      <x v="5"/>
    </i>
    <i r="1">
      <x/>
    </i>
    <i r="1">
      <x v="1"/>
    </i>
    <i r="1">
      <x v="2"/>
    </i>
    <i r="1">
      <x v="3"/>
    </i>
    <i r="1">
      <x v="4"/>
    </i>
    <i r="1">
      <x v="5"/>
    </i>
    <i>
      <x v="6"/>
    </i>
    <i r="1">
      <x/>
    </i>
    <i r="1">
      <x v="1"/>
    </i>
    <i r="1">
      <x v="2"/>
    </i>
    <i r="1">
      <x v="3"/>
    </i>
    <i r="1">
      <x v="4"/>
    </i>
    <i r="1">
      <x v="5"/>
    </i>
    <i>
      <x v="7"/>
    </i>
    <i r="1">
      <x/>
    </i>
    <i r="1">
      <x v="1"/>
    </i>
    <i r="1">
      <x v="2"/>
    </i>
    <i r="1">
      <x v="3"/>
    </i>
    <i r="1">
      <x v="4"/>
    </i>
    <i r="1">
      <x v="5"/>
    </i>
    <i>
      <x v="8"/>
    </i>
    <i r="1">
      <x/>
    </i>
    <i r="1">
      <x v="1"/>
    </i>
    <i r="1">
      <x v="2"/>
    </i>
    <i r="1">
      <x v="3"/>
    </i>
    <i r="1">
      <x v="4"/>
    </i>
    <i r="1">
      <x v="5"/>
    </i>
    <i>
      <x v="9"/>
    </i>
    <i r="1">
      <x/>
    </i>
    <i r="1">
      <x v="1"/>
    </i>
    <i r="1">
      <x v="2"/>
    </i>
    <i r="1">
      <x v="3"/>
    </i>
    <i r="1">
      <x v="4"/>
    </i>
    <i r="1">
      <x v="5"/>
    </i>
    <i>
      <x v="10"/>
    </i>
    <i r="1">
      <x/>
    </i>
    <i r="1">
      <x v="1"/>
    </i>
    <i r="1">
      <x v="2"/>
    </i>
    <i r="1">
      <x v="3"/>
    </i>
    <i r="1">
      <x v="4"/>
    </i>
    <i r="1">
      <x v="5"/>
    </i>
    <i>
      <x v="11"/>
    </i>
    <i r="1">
      <x/>
    </i>
    <i r="1">
      <x v="1"/>
    </i>
    <i r="1">
      <x v="2"/>
    </i>
    <i r="1">
      <x v="3"/>
    </i>
    <i r="1">
      <x v="4"/>
    </i>
    <i r="1">
      <x v="5"/>
    </i>
    <i t="grand">
      <x/>
    </i>
  </rowItems>
  <colFields count="1">
    <field x="9"/>
  </colFields>
  <colItems count="6">
    <i>
      <x/>
    </i>
    <i>
      <x v="1"/>
    </i>
    <i>
      <x v="2"/>
    </i>
    <i>
      <x v="3"/>
    </i>
    <i>
      <x v="4"/>
    </i>
    <i t="grand">
      <x/>
    </i>
  </colItems>
  <dataFields count="1">
    <dataField name="Count of OrderID" fld="0" subtotal="count"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2BB2AE4D-05D0-4726-86CD-FBAFA094411F}" name="Average LeadTimeDays"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3:B243" firstHeaderRow="1" firstDataRow="1" firstDataCol="1"/>
  <pivotFields count="19">
    <pivotField showAll="0"/>
    <pivotField numFmtId="165" showAll="0"/>
    <pivotField numFmtId="165" showAll="0"/>
    <pivotField numFmtId="165" showAll="0"/>
    <pivotField dataField="1" numFmtId="1" showAll="0"/>
    <pivotField axis="axisRow" showAll="0">
      <items count="5">
        <item x="0"/>
        <item x="2"/>
        <item x="1"/>
        <item x="3"/>
        <item t="default"/>
      </items>
    </pivotField>
    <pivotField axis="axisRow" showAll="0">
      <items count="13">
        <item x="5"/>
        <item x="3"/>
        <item x="9"/>
        <item x="7"/>
        <item x="6"/>
        <item x="4"/>
        <item x="2"/>
        <item x="0"/>
        <item x="1"/>
        <item x="11"/>
        <item x="8"/>
        <item x="10"/>
        <item t="default"/>
      </items>
    </pivotField>
    <pivotField axis="axisRow" showAll="0">
      <items count="41">
        <item x="7"/>
        <item x="35"/>
        <item x="37"/>
        <item x="6"/>
        <item x="9"/>
        <item x="12"/>
        <item x="10"/>
        <item x="33"/>
        <item x="15"/>
        <item x="18"/>
        <item x="25"/>
        <item x="36"/>
        <item x="34"/>
        <item x="20"/>
        <item x="0"/>
        <item x="3"/>
        <item x="21"/>
        <item x="17"/>
        <item x="31"/>
        <item x="11"/>
        <item x="13"/>
        <item x="19"/>
        <item x="29"/>
        <item x="22"/>
        <item x="32"/>
        <item x="2"/>
        <item x="16"/>
        <item x="38"/>
        <item x="4"/>
        <item x="28"/>
        <item x="1"/>
        <item x="30"/>
        <item x="24"/>
        <item x="8"/>
        <item x="23"/>
        <item x="14"/>
        <item x="27"/>
        <item x="5"/>
        <item x="26"/>
        <item m="1" x="39"/>
        <item t="default"/>
      </items>
    </pivotField>
    <pivotField showAll="0"/>
    <pivotField axis="axisRow" showAll="0">
      <items count="7">
        <item x="4"/>
        <item x="3"/>
        <item x="2"/>
        <item x="1"/>
        <item x="0"/>
        <item m="1" x="5"/>
        <item t="default"/>
      </items>
    </pivotField>
    <pivotField showAll="0"/>
    <pivotField showAll="0"/>
    <pivotField showAll="0"/>
    <pivotField numFmtId="4" showAll="0"/>
    <pivotField numFmtId="2" showAll="0"/>
    <pivotField numFmtId="2" showAll="0"/>
    <pivotField numFmtId="2" showAll="0"/>
    <pivotField numFmtId="9" showAll="0"/>
    <pivotField showAll="0"/>
  </pivotFields>
  <rowFields count="4">
    <field x="5"/>
    <field x="6"/>
    <field x="7"/>
    <field x="9"/>
  </rowFields>
  <rowItems count="240">
    <i>
      <x/>
    </i>
    <i r="1">
      <x v="7"/>
    </i>
    <i r="2">
      <x v="14"/>
    </i>
    <i r="3">
      <x/>
    </i>
    <i r="3">
      <x v="2"/>
    </i>
    <i r="3">
      <x v="3"/>
    </i>
    <i r="3">
      <x v="4"/>
    </i>
    <i r="2">
      <x v="20"/>
    </i>
    <i r="3">
      <x/>
    </i>
    <i r="3">
      <x v="1"/>
    </i>
    <i r="3">
      <x v="2"/>
    </i>
    <i r="3">
      <x v="3"/>
    </i>
    <i r="3">
      <x v="4"/>
    </i>
    <i r="2">
      <x v="25"/>
    </i>
    <i r="3">
      <x/>
    </i>
    <i r="3">
      <x v="1"/>
    </i>
    <i r="3">
      <x v="2"/>
    </i>
    <i r="3">
      <x v="3"/>
    </i>
    <i r="3">
      <x v="4"/>
    </i>
    <i r="2">
      <x v="26"/>
    </i>
    <i r="3">
      <x/>
    </i>
    <i r="3">
      <x v="2"/>
    </i>
    <i r="3">
      <x v="3"/>
    </i>
    <i r="3">
      <x v="4"/>
    </i>
    <i r="1">
      <x v="8"/>
    </i>
    <i r="2">
      <x/>
    </i>
    <i r="3">
      <x/>
    </i>
    <i r="3">
      <x v="1"/>
    </i>
    <i r="3">
      <x v="2"/>
    </i>
    <i r="3">
      <x v="3"/>
    </i>
    <i r="2">
      <x v="15"/>
    </i>
    <i r="3">
      <x/>
    </i>
    <i r="3">
      <x v="1"/>
    </i>
    <i r="3">
      <x v="2"/>
    </i>
    <i r="3">
      <x v="3"/>
    </i>
    <i r="3">
      <x v="4"/>
    </i>
    <i r="2">
      <x v="30"/>
    </i>
    <i r="3">
      <x/>
    </i>
    <i r="3">
      <x v="1"/>
    </i>
    <i r="3">
      <x v="2"/>
    </i>
    <i r="3">
      <x v="3"/>
    </i>
    <i r="3">
      <x v="4"/>
    </i>
    <i r="1">
      <x v="9"/>
    </i>
    <i r="2">
      <x v="7"/>
    </i>
    <i r="3">
      <x/>
    </i>
    <i r="3">
      <x v="1"/>
    </i>
    <i r="3">
      <x v="2"/>
    </i>
    <i r="3">
      <x v="3"/>
    </i>
    <i r="2">
      <x v="10"/>
    </i>
    <i r="3">
      <x v="1"/>
    </i>
    <i r="3">
      <x v="2"/>
    </i>
    <i r="3">
      <x v="3"/>
    </i>
    <i r="3">
      <x v="4"/>
    </i>
    <i r="2">
      <x v="13"/>
    </i>
    <i r="3">
      <x/>
    </i>
    <i r="3">
      <x v="1"/>
    </i>
    <i r="3">
      <x v="2"/>
    </i>
    <i r="3">
      <x v="3"/>
    </i>
    <i r="3">
      <x v="4"/>
    </i>
    <i>
      <x v="1"/>
    </i>
    <i r="1">
      <x/>
    </i>
    <i r="2">
      <x v="6"/>
    </i>
    <i r="3">
      <x/>
    </i>
    <i r="3">
      <x v="1"/>
    </i>
    <i r="3">
      <x v="2"/>
    </i>
    <i r="3">
      <x v="3"/>
    </i>
    <i r="3">
      <x v="4"/>
    </i>
    <i r="2">
      <x v="31"/>
    </i>
    <i r="3">
      <x/>
    </i>
    <i r="3">
      <x v="1"/>
    </i>
    <i r="3">
      <x v="2"/>
    </i>
    <i r="3">
      <x v="3"/>
    </i>
    <i r="3">
      <x v="4"/>
    </i>
    <i r="2">
      <x v="33"/>
    </i>
    <i r="3">
      <x/>
    </i>
    <i r="3">
      <x v="1"/>
    </i>
    <i r="3">
      <x v="2"/>
    </i>
    <i r="3">
      <x v="3"/>
    </i>
    <i r="1">
      <x v="1"/>
    </i>
    <i r="2">
      <x v="21"/>
    </i>
    <i r="3">
      <x/>
    </i>
    <i r="3">
      <x v="1"/>
    </i>
    <i r="3">
      <x v="3"/>
    </i>
    <i r="3">
      <x v="4"/>
    </i>
    <i r="2">
      <x v="37"/>
    </i>
    <i r="3">
      <x/>
    </i>
    <i r="3">
      <x v="1"/>
    </i>
    <i r="3">
      <x v="2"/>
    </i>
    <i r="3">
      <x v="3"/>
    </i>
    <i r="3">
      <x v="4"/>
    </i>
    <i r="2">
      <x v="38"/>
    </i>
    <i r="3">
      <x/>
    </i>
    <i r="3">
      <x v="1"/>
    </i>
    <i r="3">
      <x v="2"/>
    </i>
    <i r="3">
      <x v="3"/>
    </i>
    <i r="3">
      <x v="4"/>
    </i>
    <i r="1">
      <x v="11"/>
    </i>
    <i r="2">
      <x v="1"/>
    </i>
    <i r="3">
      <x/>
    </i>
    <i r="3">
      <x v="1"/>
    </i>
    <i r="3">
      <x v="2"/>
    </i>
    <i r="3">
      <x v="3"/>
    </i>
    <i r="3">
      <x v="4"/>
    </i>
    <i r="2">
      <x v="8"/>
    </i>
    <i r="3">
      <x/>
    </i>
    <i r="3">
      <x v="1"/>
    </i>
    <i r="3">
      <x v="2"/>
    </i>
    <i r="3">
      <x v="3"/>
    </i>
    <i r="3">
      <x v="4"/>
    </i>
    <i r="2">
      <x v="27"/>
    </i>
    <i r="3">
      <x v="1"/>
    </i>
    <i r="3">
      <x v="2"/>
    </i>
    <i r="3">
      <x v="3"/>
    </i>
    <i r="3">
      <x v="4"/>
    </i>
    <i r="2">
      <x v="32"/>
    </i>
    <i r="3">
      <x/>
    </i>
    <i r="3">
      <x v="1"/>
    </i>
    <i r="3">
      <x v="2"/>
    </i>
    <i r="3">
      <x v="3"/>
    </i>
    <i r="3">
      <x v="4"/>
    </i>
    <i>
      <x v="2"/>
    </i>
    <i r="1">
      <x v="2"/>
    </i>
    <i r="2">
      <x v="2"/>
    </i>
    <i r="3">
      <x/>
    </i>
    <i r="3">
      <x v="1"/>
    </i>
    <i r="3">
      <x v="2"/>
    </i>
    <i r="3">
      <x v="3"/>
    </i>
    <i r="3">
      <x v="4"/>
    </i>
    <i r="2">
      <x v="34"/>
    </i>
    <i r="3">
      <x/>
    </i>
    <i r="3">
      <x v="1"/>
    </i>
    <i r="3">
      <x v="2"/>
    </i>
    <i r="3">
      <x v="3"/>
    </i>
    <i r="3">
      <x v="4"/>
    </i>
    <i r="2">
      <x v="35"/>
    </i>
    <i r="3">
      <x/>
    </i>
    <i r="3">
      <x v="1"/>
    </i>
    <i r="3">
      <x v="2"/>
    </i>
    <i r="3">
      <x v="3"/>
    </i>
    <i r="3">
      <x v="4"/>
    </i>
    <i r="1">
      <x v="5"/>
    </i>
    <i r="2">
      <x v="3"/>
    </i>
    <i r="3">
      <x/>
    </i>
    <i r="3">
      <x v="1"/>
    </i>
    <i r="3">
      <x v="2"/>
    </i>
    <i r="3">
      <x v="3"/>
    </i>
    <i r="3">
      <x v="4"/>
    </i>
    <i r="2">
      <x v="9"/>
    </i>
    <i r="3">
      <x/>
    </i>
    <i r="3">
      <x v="1"/>
    </i>
    <i r="3">
      <x v="2"/>
    </i>
    <i r="3">
      <x v="3"/>
    </i>
    <i r="3">
      <x v="4"/>
    </i>
    <i r="2">
      <x v="12"/>
    </i>
    <i r="3">
      <x/>
    </i>
    <i r="3">
      <x v="1"/>
    </i>
    <i r="3">
      <x v="2"/>
    </i>
    <i r="3">
      <x v="4"/>
    </i>
    <i r="2">
      <x v="22"/>
    </i>
    <i r="3">
      <x/>
    </i>
    <i r="3">
      <x v="1"/>
    </i>
    <i r="3">
      <x v="2"/>
    </i>
    <i r="3">
      <x v="4"/>
    </i>
    <i r="1">
      <x v="6"/>
    </i>
    <i r="2">
      <x v="24"/>
    </i>
    <i r="3">
      <x/>
    </i>
    <i r="3">
      <x v="1"/>
    </i>
    <i r="3">
      <x v="2"/>
    </i>
    <i r="3">
      <x v="3"/>
    </i>
    <i r="3">
      <x v="4"/>
    </i>
    <i r="2">
      <x v="28"/>
    </i>
    <i r="3">
      <x/>
    </i>
    <i r="3">
      <x v="1"/>
    </i>
    <i r="3">
      <x v="2"/>
    </i>
    <i r="3">
      <x v="3"/>
    </i>
    <i r="3">
      <x v="4"/>
    </i>
    <i r="2">
      <x v="36"/>
    </i>
    <i r="3">
      <x/>
    </i>
    <i r="3">
      <x v="1"/>
    </i>
    <i r="3">
      <x v="2"/>
    </i>
    <i r="3">
      <x v="3"/>
    </i>
    <i r="3">
      <x v="4"/>
    </i>
    <i>
      <x v="3"/>
    </i>
    <i r="1">
      <x v="3"/>
    </i>
    <i r="2">
      <x v="17"/>
    </i>
    <i r="3">
      <x/>
    </i>
    <i r="3">
      <x v="1"/>
    </i>
    <i r="3">
      <x v="2"/>
    </i>
    <i r="3">
      <x v="3"/>
    </i>
    <i r="3">
      <x v="4"/>
    </i>
    <i r="2">
      <x v="19"/>
    </i>
    <i r="3">
      <x/>
    </i>
    <i r="3">
      <x v="1"/>
    </i>
    <i r="3">
      <x v="2"/>
    </i>
    <i r="3">
      <x v="3"/>
    </i>
    <i r="3">
      <x v="4"/>
    </i>
    <i r="2">
      <x v="29"/>
    </i>
    <i r="3">
      <x/>
    </i>
    <i r="3">
      <x v="1"/>
    </i>
    <i r="3">
      <x v="2"/>
    </i>
    <i r="3">
      <x v="3"/>
    </i>
    <i r="3">
      <x v="4"/>
    </i>
    <i r="1">
      <x v="4"/>
    </i>
    <i r="2">
      <x v="4"/>
    </i>
    <i r="3">
      <x/>
    </i>
    <i r="3">
      <x v="1"/>
    </i>
    <i r="3">
      <x v="2"/>
    </i>
    <i r="3">
      <x v="3"/>
    </i>
    <i r="3">
      <x v="4"/>
    </i>
    <i r="2">
      <x v="11"/>
    </i>
    <i r="3">
      <x/>
    </i>
    <i r="3">
      <x v="1"/>
    </i>
    <i r="3">
      <x v="2"/>
    </i>
    <i r="3">
      <x v="3"/>
    </i>
    <i r="3">
      <x v="4"/>
    </i>
    <i r="2">
      <x v="23"/>
    </i>
    <i r="3">
      <x/>
    </i>
    <i r="3">
      <x v="1"/>
    </i>
    <i r="3">
      <x v="2"/>
    </i>
    <i r="3">
      <x v="3"/>
    </i>
    <i r="3">
      <x v="4"/>
    </i>
    <i r="1">
      <x v="10"/>
    </i>
    <i r="2">
      <x v="5"/>
    </i>
    <i r="3">
      <x/>
    </i>
    <i r="3">
      <x v="2"/>
    </i>
    <i r="3">
      <x v="3"/>
    </i>
    <i r="3">
      <x v="4"/>
    </i>
    <i r="2">
      <x v="16"/>
    </i>
    <i r="3">
      <x/>
    </i>
    <i r="3">
      <x v="1"/>
    </i>
    <i r="3">
      <x v="2"/>
    </i>
    <i r="3">
      <x v="3"/>
    </i>
    <i r="3">
      <x v="4"/>
    </i>
    <i r="2">
      <x v="18"/>
    </i>
    <i r="3">
      <x/>
    </i>
    <i r="3">
      <x v="1"/>
    </i>
    <i r="3">
      <x v="2"/>
    </i>
    <i r="3">
      <x v="3"/>
    </i>
    <i r="3">
      <x v="4"/>
    </i>
    <i t="grand">
      <x/>
    </i>
  </rowItems>
  <colItems count="1">
    <i/>
  </colItems>
  <dataFields count="1">
    <dataField name="Average of LeadTimeDays" fld="4" subtotal="average" baseField="0" baseItem="0" numFmtId="1"/>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8EE8E0D9-928E-4559-BE93-B88EB6B5920A}" name="First Time sales" cacheId="1" applyNumberFormats="0" applyBorderFormats="0" applyFontFormats="0" applyPatternFormats="0" applyAlignmentFormats="0" applyWidthHeightFormats="1" dataCaption="Values" updatedVersion="8" minRefreshableVersion="3" useAutoFormatting="1" rowGrandTotals="0" colGrandTotals="0" itemPrintTitles="1" createdVersion="8" indent="0" outline="1" outlineData="1" multipleFieldFilters="0">
  <location ref="A3:D29" firstHeaderRow="1" firstDataRow="4" firstDataCol="1"/>
  <pivotFields count="36">
    <pivotField showAll="0"/>
    <pivotField numFmtId="165" showAll="0"/>
    <pivotField axis="axisCol" numFmtId="167" showAll="0">
      <items count="469">
        <item x="5"/>
        <item x="455"/>
        <item x="271"/>
        <item x="415"/>
        <item x="181"/>
        <item x="7"/>
        <item x="371"/>
        <item x="184"/>
        <item x="119"/>
        <item x="424"/>
        <item x="122"/>
        <item x="171"/>
        <item x="180"/>
        <item x="312"/>
        <item x="23"/>
        <item x="77"/>
        <item x="426"/>
        <item x="62"/>
        <item x="152"/>
        <item x="147"/>
        <item x="361"/>
        <item x="29"/>
        <item x="159"/>
        <item x="452"/>
        <item x="2"/>
        <item x="107"/>
        <item x="432"/>
        <item x="226"/>
        <item x="336"/>
        <item x="206"/>
        <item x="315"/>
        <item x="211"/>
        <item x="342"/>
        <item x="64"/>
        <item x="278"/>
        <item x="150"/>
        <item x="33"/>
        <item x="50"/>
        <item x="451"/>
        <item x="163"/>
        <item x="89"/>
        <item x="458"/>
        <item x="125"/>
        <item x="290"/>
        <item x="27"/>
        <item x="387"/>
        <item x="153"/>
        <item x="43"/>
        <item x="67"/>
        <item x="460"/>
        <item x="15"/>
        <item x="441"/>
        <item x="410"/>
        <item x="129"/>
        <item x="449"/>
        <item x="177"/>
        <item x="275"/>
        <item x="239"/>
        <item x="406"/>
        <item x="20"/>
        <item x="382"/>
        <item x="362"/>
        <item x="72"/>
        <item x="207"/>
        <item x="373"/>
        <item x="234"/>
        <item x="328"/>
        <item x="408"/>
        <item x="446"/>
        <item x="308"/>
        <item x="109"/>
        <item x="280"/>
        <item x="367"/>
        <item x="75"/>
        <item x="251"/>
        <item x="37"/>
        <item x="264"/>
        <item x="169"/>
        <item x="44"/>
        <item x="87"/>
        <item x="85"/>
        <item x="306"/>
        <item x="186"/>
        <item x="140"/>
        <item x="133"/>
        <item x="422"/>
        <item x="425"/>
        <item x="376"/>
        <item x="47"/>
        <item x="289"/>
        <item x="386"/>
        <item x="256"/>
        <item x="172"/>
        <item x="370"/>
        <item x="245"/>
        <item x="288"/>
        <item x="131"/>
        <item x="203"/>
        <item x="443"/>
        <item x="242"/>
        <item x="235"/>
        <item x="174"/>
        <item x="389"/>
        <item x="115"/>
        <item x="183"/>
        <item x="419"/>
        <item x="66"/>
        <item x="114"/>
        <item x="260"/>
        <item x="417"/>
        <item x="343"/>
        <item x="200"/>
        <item x="161"/>
        <item x="345"/>
        <item x="52"/>
        <item x="429"/>
        <item x="137"/>
        <item x="459"/>
        <item x="73"/>
        <item x="216"/>
        <item x="364"/>
        <item x="158"/>
        <item x="199"/>
        <item x="323"/>
        <item x="204"/>
        <item x="231"/>
        <item x="155"/>
        <item x="327"/>
        <item x="233"/>
        <item x="348"/>
        <item x="176"/>
        <item x="358"/>
        <item x="259"/>
        <item x="282"/>
        <item x="391"/>
        <item x="324"/>
        <item x="250"/>
        <item x="143"/>
        <item x="193"/>
        <item x="276"/>
        <item x="285"/>
        <item x="112"/>
        <item x="106"/>
        <item x="214"/>
        <item x="134"/>
        <item x="294"/>
        <item x="297"/>
        <item x="63"/>
        <item x="374"/>
        <item x="4"/>
        <item x="141"/>
        <item x="340"/>
        <item x="380"/>
        <item x="202"/>
        <item x="195"/>
        <item x="295"/>
        <item x="81"/>
        <item x="240"/>
        <item x="311"/>
        <item x="423"/>
        <item x="113"/>
        <item x="360"/>
        <item x="300"/>
        <item x="279"/>
        <item x="435"/>
        <item x="241"/>
        <item x="39"/>
        <item x="182"/>
        <item x="94"/>
        <item x="347"/>
        <item x="303"/>
        <item x="13"/>
        <item x="84"/>
        <item x="436"/>
        <item x="247"/>
        <item x="10"/>
        <item x="145"/>
        <item x="162"/>
        <item x="383"/>
        <item x="437"/>
        <item x="179"/>
        <item x="128"/>
        <item x="221"/>
        <item x="292"/>
        <item x="142"/>
        <item x="351"/>
        <item x="439"/>
        <item x="354"/>
        <item x="352"/>
        <item x="194"/>
        <item x="397"/>
        <item x="263"/>
        <item x="314"/>
        <item x="428"/>
        <item x="220"/>
        <item x="34"/>
        <item x="307"/>
        <item x="58"/>
        <item x="0"/>
        <item x="450"/>
        <item x="227"/>
        <item x="246"/>
        <item x="68"/>
        <item x="363"/>
        <item x="265"/>
        <item x="248"/>
        <item x="215"/>
        <item x="244"/>
        <item x="149"/>
        <item x="136"/>
        <item x="403"/>
        <item x="82"/>
        <item x="286"/>
        <item x="70"/>
        <item x="413"/>
        <item x="31"/>
        <item x="36"/>
        <item x="395"/>
        <item x="412"/>
        <item x="400"/>
        <item x="230"/>
        <item x="372"/>
        <item x="8"/>
        <item x="375"/>
        <item x="322"/>
        <item x="385"/>
        <item x="393"/>
        <item x="45"/>
        <item x="313"/>
        <item x="22"/>
        <item x="173"/>
        <item x="42"/>
        <item x="98"/>
        <item x="65"/>
        <item x="154"/>
        <item x="398"/>
        <item x="91"/>
        <item x="118"/>
        <item x="101"/>
        <item x="368"/>
        <item x="151"/>
        <item x="416"/>
        <item x="344"/>
        <item x="116"/>
        <item x="274"/>
        <item x="102"/>
        <item x="103"/>
        <item x="369"/>
        <item x="132"/>
        <item x="249"/>
        <item x="269"/>
        <item x="304"/>
        <item x="463"/>
        <item x="104"/>
        <item x="24"/>
        <item x="411"/>
        <item x="287"/>
        <item x="293"/>
        <item x="157"/>
        <item x="320"/>
        <item x="26"/>
        <item x="334"/>
        <item x="19"/>
        <item x="465"/>
        <item x="228"/>
        <item x="453"/>
        <item x="447"/>
        <item x="399"/>
        <item x="144"/>
        <item x="298"/>
        <item x="326"/>
        <item x="175"/>
        <item x="99"/>
        <item x="421"/>
        <item x="456"/>
        <item x="353"/>
        <item x="396"/>
        <item x="365"/>
        <item x="32"/>
        <item x="38"/>
        <item x="74"/>
        <item x="341"/>
        <item x="434"/>
        <item x="225"/>
        <item x="209"/>
        <item x="210"/>
        <item x="331"/>
        <item x="255"/>
        <item x="191"/>
        <item x="187"/>
        <item x="212"/>
        <item x="97"/>
        <item x="197"/>
        <item x="178"/>
        <item x="138"/>
        <item x="366"/>
        <item x="189"/>
        <item x="166"/>
        <item x="88"/>
        <item x="238"/>
        <item x="156"/>
        <item x="407"/>
        <item x="196"/>
        <item x="464"/>
        <item x="46"/>
        <item x="100"/>
        <item x="49"/>
        <item x="462"/>
        <item x="168"/>
        <item x="1"/>
        <item x="404"/>
        <item x="40"/>
        <item x="229"/>
        <item x="291"/>
        <item x="148"/>
        <item x="356"/>
        <item x="61"/>
        <item x="273"/>
        <item x="333"/>
        <item x="48"/>
        <item x="299"/>
        <item x="223"/>
        <item x="444"/>
        <item x="405"/>
        <item x="392"/>
        <item x="127"/>
        <item x="76"/>
        <item x="379"/>
        <item x="302"/>
        <item x="461"/>
        <item x="25"/>
        <item x="219"/>
        <item x="96"/>
        <item x="430"/>
        <item x="390"/>
        <item x="16"/>
        <item x="330"/>
        <item x="126"/>
        <item x="71"/>
        <item x="55"/>
        <item x="337"/>
        <item x="124"/>
        <item x="130"/>
        <item x="359"/>
        <item x="6"/>
        <item x="357"/>
        <item x="272"/>
        <item x="11"/>
        <item x="409"/>
        <item x="316"/>
        <item x="123"/>
        <item x="420"/>
        <item x="283"/>
        <item x="170"/>
        <item x="105"/>
        <item x="335"/>
        <item x="51"/>
        <item x="266"/>
        <item x="93"/>
        <item x="192"/>
        <item x="318"/>
        <item x="167"/>
        <item x="185"/>
        <item x="317"/>
        <item x="414"/>
        <item x="54"/>
        <item x="120"/>
        <item x="146"/>
        <item x="433"/>
        <item x="454"/>
        <item x="243"/>
        <item x="338"/>
        <item x="349"/>
        <item x="467"/>
        <item x="121"/>
        <item x="12"/>
        <item x="339"/>
        <item x="402"/>
        <item x="418"/>
        <item x="252"/>
        <item x="310"/>
        <item x="309"/>
        <item x="381"/>
        <item x="401"/>
        <item x="80"/>
        <item x="3"/>
        <item x="258"/>
        <item x="95"/>
        <item x="277"/>
        <item x="254"/>
        <item x="53"/>
        <item x="28"/>
        <item x="69"/>
        <item x="377"/>
        <item x="261"/>
        <item x="332"/>
        <item x="440"/>
        <item x="160"/>
        <item x="139"/>
        <item x="448"/>
        <item x="222"/>
        <item x="79"/>
        <item x="208"/>
        <item x="60"/>
        <item x="86"/>
        <item x="57"/>
        <item x="355"/>
        <item x="267"/>
        <item x="321"/>
        <item x="78"/>
        <item x="394"/>
        <item x="217"/>
        <item x="253"/>
        <item x="270"/>
        <item x="281"/>
        <item x="9"/>
        <item x="329"/>
        <item x="41"/>
        <item x="262"/>
        <item x="108"/>
        <item x="346"/>
        <item x="56"/>
        <item x="21"/>
        <item x="325"/>
        <item x="296"/>
        <item x="111"/>
        <item x="236"/>
        <item x="268"/>
        <item x="35"/>
        <item x="305"/>
        <item x="438"/>
        <item x="232"/>
        <item x="350"/>
        <item x="110"/>
        <item x="445"/>
        <item x="190"/>
        <item x="201"/>
        <item x="213"/>
        <item x="466"/>
        <item x="18"/>
        <item x="188"/>
        <item x="92"/>
        <item x="319"/>
        <item x="30"/>
        <item x="378"/>
        <item x="90"/>
        <item x="218"/>
        <item x="442"/>
        <item x="117"/>
        <item x="431"/>
        <item x="83"/>
        <item x="205"/>
        <item x="457"/>
        <item x="384"/>
        <item x="301"/>
        <item x="427"/>
        <item x="164"/>
        <item x="198"/>
        <item x="257"/>
        <item x="388"/>
        <item x="14"/>
        <item x="237"/>
        <item x="17"/>
        <item x="59"/>
        <item x="135"/>
        <item x="224"/>
        <item x="284"/>
        <item x="165"/>
        <item t="default"/>
      </items>
    </pivotField>
    <pivotField showAll="0"/>
    <pivotField numFmtId="165" showAll="0"/>
    <pivotField numFmtId="165" showAll="0"/>
    <pivotField numFmtId="1" showAll="0"/>
    <pivotField numFmtId="1" showAll="0"/>
    <pivotField showAll="0"/>
    <pivotField axis="axisRow" numFmtId="164" showAll="0">
      <items count="12">
        <item x="3"/>
        <item x="10"/>
        <item x="6"/>
        <item x="8"/>
        <item x="9"/>
        <item x="1"/>
        <item x="7"/>
        <item x="0"/>
        <item x="5"/>
        <item x="4"/>
        <item x="2"/>
        <item t="default"/>
      </items>
    </pivotField>
    <pivotField showAll="0"/>
    <pivotField axis="axisRow" showAll="0">
      <items count="13">
        <item x="5"/>
        <item x="3"/>
        <item x="9"/>
        <item x="7"/>
        <item x="6"/>
        <item x="4"/>
        <item x="2"/>
        <item x="0"/>
        <item x="1"/>
        <item x="11"/>
        <item x="8"/>
        <item x="10"/>
        <item t="default"/>
      </items>
    </pivotField>
    <pivotField showAll="0"/>
    <pivotField showAll="0"/>
    <pivotField showAll="0"/>
    <pivotField showAll="0"/>
    <pivotField showAll="0"/>
    <pivotField showAll="0"/>
    <pivotField showAll="0"/>
    <pivotField numFmtId="4" showAll="0"/>
    <pivotField numFmtId="2" showAll="0"/>
    <pivotField numFmtId="2" showAll="0"/>
    <pivotField showAll="0"/>
    <pivotField numFmtId="9" showAll="0"/>
    <pivotField numFmtId="9" showAll="0"/>
    <pivotField showAll="0"/>
    <pivotField numFmtId="1" showAll="0"/>
    <pivotField dataField="1" numFmtId="2" showAll="0"/>
    <pivotField numFmtId="2" showAll="0"/>
    <pivotField numFmtId="2" showAll="0"/>
    <pivotField numFmtId="9" showAll="0"/>
    <pivotField axis="axisCol" showAll="0">
      <items count="15">
        <item sd="0" x="0"/>
        <item sd="0" x="1"/>
        <item sd="0" x="2"/>
        <item sd="0" x="3"/>
        <item sd="0" x="4"/>
        <item sd="0" x="5"/>
        <item sd="0" x="6"/>
        <item sd="0" x="7"/>
        <item sd="0" x="8"/>
        <item sd="0" x="9"/>
        <item sd="0" x="10"/>
        <item sd="0" x="11"/>
        <item sd="0" x="12"/>
        <item sd="0" x="13"/>
        <item t="default"/>
      </items>
    </pivotField>
    <pivotField showAll="0">
      <items count="7">
        <item sd="0" x="0"/>
        <item sd="0" x="1"/>
        <item sd="0" x="2"/>
        <item sd="0" x="3"/>
        <item sd="0" x="4"/>
        <item sd="0" x="5"/>
        <item t="default"/>
      </items>
    </pivotField>
    <pivotField axis="axisCol" showAll="0">
      <items count="6">
        <item sd="0" x="0"/>
        <item sd="0" x="1"/>
        <item sd="0" x="2"/>
        <item sd="0" x="3"/>
        <item sd="0" x="4"/>
        <item t="default"/>
      </items>
    </pivotField>
    <pivotField showAll="0">
      <items count="369">
        <item sd="0" x="0"/>
        <item sd="0" x="1"/>
        <item sd="0" x="2"/>
        <item sd="0" x="3"/>
        <item sd="0" x="4"/>
        <item sd="0" x="5"/>
        <item sd="0" x="6"/>
        <item sd="0" x="7"/>
        <item sd="0" x="8"/>
        <item sd="0" x="9"/>
        <item sd="0" x="10"/>
        <item sd="0" x="11"/>
        <item sd="0" x="12"/>
        <item sd="0" x="13"/>
        <item sd="0" x="14"/>
        <item sd="0" x="15"/>
        <item sd="0" x="16"/>
        <item sd="0" x="17"/>
        <item sd="0" x="18"/>
        <item sd="0" x="19"/>
        <item sd="0" x="20"/>
        <item sd="0" x="21"/>
        <item sd="0" x="22"/>
        <item sd="0" x="23"/>
        <item sd="0" x="24"/>
        <item sd="0" x="25"/>
        <item sd="0" x="26"/>
        <item sd="0" x="27"/>
        <item sd="0" x="28"/>
        <item sd="0" x="29"/>
        <item sd="0" x="30"/>
        <item sd="0" x="31"/>
        <item sd="0" x="32"/>
        <item sd="0" x="33"/>
        <item sd="0" x="34"/>
        <item sd="0" x="35"/>
        <item sd="0" x="36"/>
        <item sd="0" x="37"/>
        <item sd="0" x="38"/>
        <item sd="0" x="39"/>
        <item sd="0" x="40"/>
        <item sd="0" x="41"/>
        <item sd="0" x="42"/>
        <item sd="0" x="43"/>
        <item sd="0" x="44"/>
        <item sd="0" x="45"/>
        <item sd="0" x="46"/>
        <item sd="0" x="47"/>
        <item sd="0" x="48"/>
        <item sd="0" x="49"/>
        <item sd="0" x="50"/>
        <item sd="0" x="51"/>
        <item sd="0" x="52"/>
        <item sd="0" x="53"/>
        <item sd="0" x="54"/>
        <item sd="0" x="55"/>
        <item sd="0" x="56"/>
        <item sd="0" x="57"/>
        <item sd="0" x="58"/>
        <item sd="0" x="59"/>
        <item sd="0" x="60"/>
        <item sd="0" x="61"/>
        <item sd="0" x="62"/>
        <item sd="0" x="63"/>
        <item sd="0" x="64"/>
        <item sd="0" x="65"/>
        <item sd="0" x="66"/>
        <item sd="0" x="67"/>
        <item sd="0" x="68"/>
        <item sd="0" x="69"/>
        <item sd="0" x="70"/>
        <item sd="0" x="71"/>
        <item sd="0" x="72"/>
        <item sd="0" x="73"/>
        <item sd="0" x="74"/>
        <item sd="0" x="75"/>
        <item sd="0" x="76"/>
        <item sd="0" x="77"/>
        <item sd="0" x="78"/>
        <item sd="0" x="79"/>
        <item sd="0" x="80"/>
        <item sd="0" x="81"/>
        <item sd="0" x="82"/>
        <item sd="0" x="83"/>
        <item sd="0" x="84"/>
        <item sd="0" x="85"/>
        <item sd="0" x="86"/>
        <item sd="0" x="87"/>
        <item sd="0" x="88"/>
        <item sd="0" x="89"/>
        <item sd="0" x="90"/>
        <item sd="0" x="91"/>
        <item sd="0" x="92"/>
        <item sd="0" x="93"/>
        <item sd="0" x="94"/>
        <item sd="0" x="95"/>
        <item sd="0" x="96"/>
        <item sd="0" x="97"/>
        <item sd="0" x="98"/>
        <item sd="0" x="99"/>
        <item sd="0" x="100"/>
        <item sd="0" x="101"/>
        <item sd="0" x="102"/>
        <item sd="0" x="103"/>
        <item sd="0" x="104"/>
        <item sd="0" x="105"/>
        <item sd="0" x="106"/>
        <item sd="0" x="107"/>
        <item sd="0" x="108"/>
        <item sd="0" x="109"/>
        <item sd="0" x="110"/>
        <item sd="0" x="111"/>
        <item sd="0" x="112"/>
        <item sd="0" x="113"/>
        <item sd="0" x="114"/>
        <item sd="0" x="115"/>
        <item sd="0" x="116"/>
        <item sd="0" x="117"/>
        <item sd="0" x="118"/>
        <item sd="0" x="119"/>
        <item sd="0" x="120"/>
        <item sd="0" x="121"/>
        <item sd="0" x="122"/>
        <item sd="0" x="123"/>
        <item sd="0" x="124"/>
        <item sd="0" x="125"/>
        <item sd="0" x="126"/>
        <item sd="0" x="127"/>
        <item sd="0" x="128"/>
        <item sd="0" x="129"/>
        <item sd="0" x="130"/>
        <item sd="0" x="131"/>
        <item sd="0" x="132"/>
        <item sd="0" x="133"/>
        <item sd="0" x="134"/>
        <item sd="0" x="135"/>
        <item sd="0" x="136"/>
        <item sd="0" x="137"/>
        <item sd="0" x="138"/>
        <item sd="0" x="139"/>
        <item sd="0" x="140"/>
        <item sd="0" x="141"/>
        <item sd="0" x="142"/>
        <item sd="0" x="143"/>
        <item sd="0" x="144"/>
        <item sd="0" x="145"/>
        <item sd="0" x="146"/>
        <item sd="0" x="147"/>
        <item sd="0" x="148"/>
        <item sd="0" x="149"/>
        <item sd="0" x="150"/>
        <item sd="0" x="151"/>
        <item sd="0" x="152"/>
        <item sd="0" x="153"/>
        <item sd="0" x="154"/>
        <item sd="0" x="155"/>
        <item sd="0" x="156"/>
        <item sd="0" x="157"/>
        <item sd="0" x="158"/>
        <item sd="0" x="159"/>
        <item sd="0" x="160"/>
        <item sd="0" x="161"/>
        <item sd="0" x="162"/>
        <item sd="0" x="163"/>
        <item sd="0" x="164"/>
        <item sd="0" x="165"/>
        <item sd="0" x="166"/>
        <item sd="0" x="167"/>
        <item sd="0" x="168"/>
        <item sd="0" x="169"/>
        <item sd="0" x="170"/>
        <item sd="0" x="171"/>
        <item sd="0" x="172"/>
        <item sd="0" x="173"/>
        <item sd="0" x="174"/>
        <item sd="0" x="175"/>
        <item sd="0" x="176"/>
        <item sd="0" x="177"/>
        <item sd="0" x="178"/>
        <item sd="0" x="179"/>
        <item sd="0" x="180"/>
        <item sd="0" x="181"/>
        <item sd="0" x="182"/>
        <item sd="0" x="183"/>
        <item sd="0" x="184"/>
        <item sd="0" x="185"/>
        <item sd="0" x="186"/>
        <item sd="0" x="187"/>
        <item sd="0" x="188"/>
        <item sd="0" x="189"/>
        <item sd="0" x="190"/>
        <item sd="0" x="191"/>
        <item sd="0" x="192"/>
        <item sd="0" x="193"/>
        <item sd="0" x="194"/>
        <item sd="0" x="195"/>
        <item sd="0" x="196"/>
        <item sd="0" x="197"/>
        <item sd="0" x="198"/>
        <item sd="0" x="199"/>
        <item sd="0" x="200"/>
        <item sd="0" x="201"/>
        <item sd="0" x="202"/>
        <item sd="0" x="203"/>
        <item sd="0" x="204"/>
        <item sd="0" x="205"/>
        <item sd="0" x="206"/>
        <item sd="0" x="207"/>
        <item sd="0" x="208"/>
        <item sd="0" x="209"/>
        <item sd="0" x="210"/>
        <item sd="0" x="211"/>
        <item sd="0" x="212"/>
        <item sd="0" x="213"/>
        <item sd="0" x="214"/>
        <item sd="0" x="215"/>
        <item sd="0" x="216"/>
        <item sd="0" x="217"/>
        <item sd="0" x="218"/>
        <item sd="0" x="219"/>
        <item sd="0" x="220"/>
        <item sd="0" x="221"/>
        <item sd="0" x="222"/>
        <item sd="0" x="223"/>
        <item sd="0" x="224"/>
        <item sd="0" x="225"/>
        <item sd="0" x="226"/>
        <item sd="0" x="227"/>
        <item sd="0" x="228"/>
        <item sd="0" x="229"/>
        <item sd="0" x="230"/>
        <item sd="0" x="231"/>
        <item sd="0" x="232"/>
        <item sd="0" x="233"/>
        <item sd="0" x="234"/>
        <item sd="0" x="235"/>
        <item sd="0" x="236"/>
        <item sd="0" x="237"/>
        <item sd="0" x="238"/>
        <item sd="0" x="239"/>
        <item sd="0" x="240"/>
        <item sd="0" x="241"/>
        <item sd="0" x="242"/>
        <item sd="0" x="243"/>
        <item sd="0" x="244"/>
        <item sd="0" x="245"/>
        <item sd="0" x="246"/>
        <item sd="0" x="247"/>
        <item sd="0" x="248"/>
        <item sd="0" x="249"/>
        <item sd="0" x="250"/>
        <item sd="0" x="251"/>
        <item sd="0" x="252"/>
        <item sd="0" x="253"/>
        <item sd="0" x="254"/>
        <item sd="0" x="255"/>
        <item sd="0" x="256"/>
        <item sd="0" x="257"/>
        <item sd="0" x="258"/>
        <item sd="0" x="259"/>
        <item sd="0" x="260"/>
        <item sd="0" x="261"/>
        <item sd="0" x="262"/>
        <item sd="0" x="263"/>
        <item sd="0" x="264"/>
        <item sd="0" x="265"/>
        <item sd="0" x="266"/>
        <item sd="0" x="267"/>
        <item sd="0" x="268"/>
        <item sd="0" x="269"/>
        <item sd="0" x="270"/>
        <item sd="0" x="271"/>
        <item sd="0" x="272"/>
        <item sd="0" x="273"/>
        <item sd="0" x="274"/>
        <item sd="0" x="275"/>
        <item sd="0" x="276"/>
        <item sd="0" x="277"/>
        <item sd="0" x="278"/>
        <item sd="0" x="279"/>
        <item sd="0" x="280"/>
        <item sd="0" x="281"/>
        <item sd="0" x="282"/>
        <item sd="0" x="283"/>
        <item sd="0" x="284"/>
        <item sd="0" x="285"/>
        <item sd="0" x="286"/>
        <item sd="0" x="287"/>
        <item sd="0" x="288"/>
        <item sd="0" x="289"/>
        <item sd="0" x="290"/>
        <item sd="0" x="291"/>
        <item sd="0" x="292"/>
        <item sd="0" x="293"/>
        <item sd="0" x="294"/>
        <item sd="0" x="295"/>
        <item sd="0" x="296"/>
        <item sd="0" x="297"/>
        <item sd="0" x="298"/>
        <item sd="0" x="299"/>
        <item sd="0" x="300"/>
        <item sd="0" x="301"/>
        <item sd="0" x="302"/>
        <item sd="0" x="303"/>
        <item sd="0" x="304"/>
        <item sd="0" x="305"/>
        <item sd="0" x="306"/>
        <item sd="0" x="307"/>
        <item sd="0" x="308"/>
        <item sd="0" x="309"/>
        <item sd="0" x="310"/>
        <item sd="0" x="311"/>
        <item sd="0" x="312"/>
        <item sd="0" x="313"/>
        <item sd="0" x="314"/>
        <item sd="0" x="315"/>
        <item sd="0" x="316"/>
        <item sd="0" x="317"/>
        <item sd="0" x="318"/>
        <item sd="0" x="319"/>
        <item sd="0" x="320"/>
        <item sd="0" x="321"/>
        <item sd="0" x="322"/>
        <item sd="0" x="323"/>
        <item sd="0" x="324"/>
        <item sd="0" x="325"/>
        <item sd="0" x="326"/>
        <item sd="0" x="327"/>
        <item sd="0" x="328"/>
        <item sd="0" x="329"/>
        <item sd="0" x="330"/>
        <item sd="0" x="331"/>
        <item sd="0" x="332"/>
        <item sd="0" x="333"/>
        <item sd="0" x="334"/>
        <item sd="0" x="335"/>
        <item sd="0" x="336"/>
        <item sd="0" x="337"/>
        <item sd="0" x="338"/>
        <item sd="0" x="339"/>
        <item sd="0" x="340"/>
        <item sd="0" x="341"/>
        <item sd="0" x="342"/>
        <item sd="0" x="343"/>
        <item sd="0" x="344"/>
        <item sd="0" x="345"/>
        <item sd="0" x="346"/>
        <item sd="0" x="347"/>
        <item sd="0" x="348"/>
        <item sd="0" x="349"/>
        <item sd="0" x="350"/>
        <item sd="0" x="351"/>
        <item sd="0" x="352"/>
        <item sd="0" x="353"/>
        <item sd="0" x="354"/>
        <item sd="0" x="355"/>
        <item sd="0" x="356"/>
        <item sd="0" x="357"/>
        <item sd="0" x="358"/>
        <item sd="0" x="359"/>
        <item sd="0" x="360"/>
        <item sd="0" x="361"/>
        <item sd="0" x="362"/>
        <item sd="0" x="363"/>
        <item sd="0" x="364"/>
        <item sd="0" x="365"/>
        <item sd="0" x="366"/>
        <item sd="0" x="367"/>
        <item t="default"/>
      </items>
    </pivotField>
    <pivotField showAll="0">
      <items count="15">
        <item sd="0" x="0"/>
        <item sd="0" x="1"/>
        <item sd="0" x="2"/>
        <item sd="0" x="3"/>
        <item sd="0" x="4"/>
        <item sd="0" x="5"/>
        <item sd="0" x="6"/>
        <item sd="0" x="7"/>
        <item sd="0" x="8"/>
        <item sd="0" x="9"/>
        <item sd="0" x="10"/>
        <item sd="0" x="11"/>
        <item sd="0" x="12"/>
        <item sd="0" x="13"/>
        <item t="default"/>
      </items>
    </pivotField>
  </pivotFields>
  <rowFields count="2">
    <field x="9"/>
    <field x="11"/>
  </rowFields>
  <rowItems count="23">
    <i>
      <x/>
    </i>
    <i r="1">
      <x v="1"/>
    </i>
    <i>
      <x v="1"/>
    </i>
    <i r="1">
      <x v="9"/>
    </i>
    <i>
      <x v="2"/>
    </i>
    <i r="1">
      <x v="3"/>
    </i>
    <i>
      <x v="3"/>
    </i>
    <i r="1">
      <x v="2"/>
    </i>
    <i>
      <x v="4"/>
    </i>
    <i r="1">
      <x v="11"/>
    </i>
    <i>
      <x v="5"/>
    </i>
    <i r="1">
      <x v="8"/>
    </i>
    <i>
      <x v="6"/>
    </i>
    <i r="1">
      <x v="10"/>
    </i>
    <i>
      <x v="7"/>
    </i>
    <i r="1">
      <x v="7"/>
    </i>
    <i>
      <x v="8"/>
    </i>
    <i r="1">
      <x v="4"/>
    </i>
    <i>
      <x v="9"/>
    </i>
    <i r="1">
      <x/>
    </i>
    <i r="1">
      <x v="5"/>
    </i>
    <i>
      <x v="10"/>
    </i>
    <i r="1">
      <x v="6"/>
    </i>
  </rowItems>
  <colFields count="3">
    <field x="33"/>
    <field x="31"/>
    <field x="2"/>
  </colFields>
  <colItems count="3">
    <i>
      <x v="1"/>
    </i>
    <i>
      <x v="2"/>
    </i>
    <i>
      <x v="3"/>
    </i>
  </colItems>
  <dataFields count="1">
    <dataField name="Sum of GrossRevenue" fld="27" baseField="0" baseItem="0" numFmtId="2"/>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D556BE9F-27DD-4660-9689-5A5C19A67625}" name="ABC analysis" cacheId="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3:C641" firstHeaderRow="0" firstDataRow="1" firstDataCol="1"/>
  <pivotFields count="36">
    <pivotField showAll="0"/>
    <pivotField numFmtId="165" showAll="0"/>
    <pivotField numFmtId="167" showAll="0">
      <items count="469">
        <item x="5"/>
        <item x="455"/>
        <item x="271"/>
        <item x="415"/>
        <item x="181"/>
        <item x="7"/>
        <item x="371"/>
        <item x="184"/>
        <item x="119"/>
        <item x="424"/>
        <item x="122"/>
        <item x="171"/>
        <item x="180"/>
        <item x="312"/>
        <item x="23"/>
        <item x="77"/>
        <item x="426"/>
        <item x="62"/>
        <item x="152"/>
        <item x="147"/>
        <item x="361"/>
        <item x="29"/>
        <item x="159"/>
        <item x="452"/>
        <item x="2"/>
        <item x="107"/>
        <item x="432"/>
        <item x="226"/>
        <item x="336"/>
        <item x="206"/>
        <item x="315"/>
        <item x="211"/>
        <item x="342"/>
        <item x="64"/>
        <item x="278"/>
        <item x="150"/>
        <item x="33"/>
        <item x="50"/>
        <item x="451"/>
        <item x="163"/>
        <item x="89"/>
        <item x="458"/>
        <item x="125"/>
        <item x="290"/>
        <item x="27"/>
        <item x="387"/>
        <item x="153"/>
        <item x="43"/>
        <item x="67"/>
        <item x="460"/>
        <item x="15"/>
        <item x="441"/>
        <item x="410"/>
        <item x="129"/>
        <item x="449"/>
        <item x="177"/>
        <item x="275"/>
        <item x="239"/>
        <item x="406"/>
        <item x="20"/>
        <item x="382"/>
        <item x="362"/>
        <item x="72"/>
        <item x="207"/>
        <item x="373"/>
        <item x="234"/>
        <item x="328"/>
        <item x="408"/>
        <item x="446"/>
        <item x="308"/>
        <item x="109"/>
        <item x="280"/>
        <item x="367"/>
        <item x="75"/>
        <item x="251"/>
        <item x="37"/>
        <item x="264"/>
        <item x="169"/>
        <item x="44"/>
        <item x="87"/>
        <item x="85"/>
        <item x="306"/>
        <item x="186"/>
        <item x="140"/>
        <item x="133"/>
        <item x="422"/>
        <item x="425"/>
        <item x="376"/>
        <item x="47"/>
        <item x="289"/>
        <item x="386"/>
        <item x="256"/>
        <item x="172"/>
        <item x="370"/>
        <item x="245"/>
        <item x="288"/>
        <item x="131"/>
        <item x="203"/>
        <item x="443"/>
        <item x="242"/>
        <item x="235"/>
        <item x="174"/>
        <item x="389"/>
        <item x="115"/>
        <item x="183"/>
        <item x="419"/>
        <item x="66"/>
        <item x="114"/>
        <item x="260"/>
        <item x="417"/>
        <item x="343"/>
        <item x="200"/>
        <item x="161"/>
        <item x="345"/>
        <item x="52"/>
        <item x="429"/>
        <item x="137"/>
        <item x="459"/>
        <item x="73"/>
        <item x="216"/>
        <item x="364"/>
        <item x="158"/>
        <item x="199"/>
        <item x="323"/>
        <item x="204"/>
        <item x="231"/>
        <item x="155"/>
        <item x="327"/>
        <item x="233"/>
        <item x="348"/>
        <item x="176"/>
        <item x="358"/>
        <item x="259"/>
        <item x="282"/>
        <item x="391"/>
        <item x="324"/>
        <item x="250"/>
        <item x="143"/>
        <item x="193"/>
        <item x="276"/>
        <item x="285"/>
        <item x="112"/>
        <item x="106"/>
        <item x="214"/>
        <item x="134"/>
        <item x="294"/>
        <item x="297"/>
        <item x="63"/>
        <item x="374"/>
        <item x="4"/>
        <item x="141"/>
        <item x="340"/>
        <item x="380"/>
        <item x="202"/>
        <item x="195"/>
        <item x="295"/>
        <item x="81"/>
        <item x="240"/>
        <item x="311"/>
        <item x="423"/>
        <item x="113"/>
        <item x="360"/>
        <item x="300"/>
        <item x="279"/>
        <item x="435"/>
        <item x="241"/>
        <item x="39"/>
        <item x="182"/>
        <item x="94"/>
        <item x="347"/>
        <item x="303"/>
        <item x="13"/>
        <item x="84"/>
        <item x="436"/>
        <item x="247"/>
        <item x="10"/>
        <item x="145"/>
        <item x="162"/>
        <item x="383"/>
        <item x="437"/>
        <item x="179"/>
        <item x="128"/>
        <item x="221"/>
        <item x="292"/>
        <item x="142"/>
        <item x="351"/>
        <item x="439"/>
        <item x="354"/>
        <item x="352"/>
        <item x="194"/>
        <item x="397"/>
        <item x="263"/>
        <item x="314"/>
        <item x="428"/>
        <item x="220"/>
        <item x="34"/>
        <item x="307"/>
        <item x="58"/>
        <item x="0"/>
        <item x="450"/>
        <item x="227"/>
        <item x="246"/>
        <item x="68"/>
        <item x="363"/>
        <item x="265"/>
        <item x="248"/>
        <item x="215"/>
        <item x="244"/>
        <item x="149"/>
        <item x="136"/>
        <item x="403"/>
        <item x="82"/>
        <item x="286"/>
        <item x="70"/>
        <item x="413"/>
        <item x="31"/>
        <item x="36"/>
        <item x="395"/>
        <item x="412"/>
        <item x="400"/>
        <item x="230"/>
        <item x="372"/>
        <item x="8"/>
        <item x="375"/>
        <item x="322"/>
        <item x="385"/>
        <item x="393"/>
        <item x="45"/>
        <item x="313"/>
        <item x="22"/>
        <item x="173"/>
        <item x="42"/>
        <item x="98"/>
        <item x="65"/>
        <item x="154"/>
        <item x="398"/>
        <item x="91"/>
        <item x="118"/>
        <item x="101"/>
        <item x="368"/>
        <item x="151"/>
        <item x="416"/>
        <item x="344"/>
        <item x="116"/>
        <item x="274"/>
        <item x="102"/>
        <item x="103"/>
        <item x="369"/>
        <item x="132"/>
        <item x="249"/>
        <item x="269"/>
        <item x="304"/>
        <item x="463"/>
        <item x="104"/>
        <item x="24"/>
        <item x="411"/>
        <item x="287"/>
        <item x="293"/>
        <item x="157"/>
        <item x="320"/>
        <item x="26"/>
        <item x="334"/>
        <item x="19"/>
        <item x="465"/>
        <item x="228"/>
        <item x="453"/>
        <item x="447"/>
        <item x="399"/>
        <item x="144"/>
        <item x="298"/>
        <item x="326"/>
        <item x="175"/>
        <item x="99"/>
        <item x="421"/>
        <item x="456"/>
        <item x="353"/>
        <item x="396"/>
        <item x="365"/>
        <item x="32"/>
        <item x="38"/>
        <item x="74"/>
        <item x="341"/>
        <item x="434"/>
        <item x="225"/>
        <item x="209"/>
        <item x="210"/>
        <item x="331"/>
        <item x="255"/>
        <item x="191"/>
        <item x="187"/>
        <item x="212"/>
        <item x="97"/>
        <item x="197"/>
        <item x="178"/>
        <item x="138"/>
        <item x="366"/>
        <item x="189"/>
        <item x="166"/>
        <item x="88"/>
        <item x="238"/>
        <item x="156"/>
        <item x="407"/>
        <item x="196"/>
        <item x="464"/>
        <item x="46"/>
        <item x="100"/>
        <item x="49"/>
        <item x="462"/>
        <item x="168"/>
        <item x="1"/>
        <item x="404"/>
        <item x="40"/>
        <item x="229"/>
        <item x="291"/>
        <item x="148"/>
        <item x="356"/>
        <item x="61"/>
        <item x="273"/>
        <item x="333"/>
        <item x="48"/>
        <item x="299"/>
        <item x="223"/>
        <item x="444"/>
        <item x="405"/>
        <item x="392"/>
        <item x="127"/>
        <item x="76"/>
        <item x="379"/>
        <item x="302"/>
        <item x="461"/>
        <item x="25"/>
        <item x="219"/>
        <item x="96"/>
        <item x="430"/>
        <item x="390"/>
        <item x="16"/>
        <item x="330"/>
        <item x="126"/>
        <item x="71"/>
        <item x="55"/>
        <item x="337"/>
        <item x="124"/>
        <item x="130"/>
        <item x="359"/>
        <item x="6"/>
        <item x="357"/>
        <item x="272"/>
        <item x="11"/>
        <item x="409"/>
        <item x="316"/>
        <item x="123"/>
        <item x="420"/>
        <item x="283"/>
        <item x="170"/>
        <item x="105"/>
        <item x="335"/>
        <item x="51"/>
        <item x="266"/>
        <item x="93"/>
        <item x="192"/>
        <item x="318"/>
        <item x="167"/>
        <item x="185"/>
        <item x="317"/>
        <item x="414"/>
        <item x="54"/>
        <item x="120"/>
        <item x="146"/>
        <item x="433"/>
        <item x="454"/>
        <item x="243"/>
        <item x="338"/>
        <item x="349"/>
        <item x="467"/>
        <item x="121"/>
        <item x="12"/>
        <item x="339"/>
        <item x="402"/>
        <item x="418"/>
        <item x="252"/>
        <item x="310"/>
        <item x="309"/>
        <item x="381"/>
        <item x="401"/>
        <item x="80"/>
        <item x="3"/>
        <item x="258"/>
        <item x="95"/>
        <item x="277"/>
        <item x="254"/>
        <item x="53"/>
        <item x="28"/>
        <item x="69"/>
        <item x="377"/>
        <item x="261"/>
        <item x="332"/>
        <item x="440"/>
        <item x="160"/>
        <item x="139"/>
        <item x="448"/>
        <item x="222"/>
        <item x="79"/>
        <item x="208"/>
        <item x="60"/>
        <item x="86"/>
        <item x="57"/>
        <item x="355"/>
        <item x="267"/>
        <item x="321"/>
        <item x="78"/>
        <item x="394"/>
        <item x="217"/>
        <item x="253"/>
        <item x="270"/>
        <item x="281"/>
        <item x="9"/>
        <item x="329"/>
        <item x="41"/>
        <item x="262"/>
        <item x="108"/>
        <item x="346"/>
        <item x="56"/>
        <item x="21"/>
        <item x="325"/>
        <item x="296"/>
        <item x="111"/>
        <item x="236"/>
        <item x="268"/>
        <item x="35"/>
        <item x="305"/>
        <item x="438"/>
        <item x="232"/>
        <item x="350"/>
        <item x="110"/>
        <item x="445"/>
        <item x="190"/>
        <item x="201"/>
        <item x="213"/>
        <item x="466"/>
        <item x="18"/>
        <item x="188"/>
        <item x="92"/>
        <item x="319"/>
        <item x="30"/>
        <item x="378"/>
        <item x="90"/>
        <item x="218"/>
        <item x="442"/>
        <item x="117"/>
        <item x="431"/>
        <item x="83"/>
        <item x="205"/>
        <item x="457"/>
        <item x="384"/>
        <item x="301"/>
        <item x="427"/>
        <item x="164"/>
        <item x="198"/>
        <item x="257"/>
        <item x="388"/>
        <item x="14"/>
        <item x="237"/>
        <item x="17"/>
        <item x="59"/>
        <item x="135"/>
        <item x="224"/>
        <item x="284"/>
        <item x="165"/>
        <item t="default"/>
      </items>
    </pivotField>
    <pivotField showAll="0"/>
    <pivotField numFmtId="165" showAll="0"/>
    <pivotField numFmtId="165" showAll="0"/>
    <pivotField numFmtId="1" showAll="0"/>
    <pivotField numFmtId="1" showAll="0"/>
    <pivotField showAll="0"/>
    <pivotField numFmtId="164" showAll="0">
      <items count="12">
        <item x="3"/>
        <item x="10"/>
        <item x="6"/>
        <item x="8"/>
        <item x="9"/>
        <item x="1"/>
        <item x="7"/>
        <item x="0"/>
        <item x="5"/>
        <item x="4"/>
        <item x="2"/>
        <item t="default"/>
      </items>
    </pivotField>
    <pivotField showAll="0"/>
    <pivotField showAll="0"/>
    <pivotField showAll="0"/>
    <pivotField showAll="0"/>
    <pivotField showAll="0"/>
    <pivotField showAll="0"/>
    <pivotField showAll="0"/>
    <pivotField axis="axisRow" showAll="0">
      <items count="8">
        <item x="6"/>
        <item x="0"/>
        <item x="4"/>
        <item x="5"/>
        <item x="2"/>
        <item x="3"/>
        <item x="1"/>
        <item t="default"/>
      </items>
    </pivotField>
    <pivotField axis="axisRow" showAll="0" sortType="descending">
      <items count="631">
        <item x="139"/>
        <item x="621"/>
        <item x="333"/>
        <item x="415"/>
        <item x="340"/>
        <item x="394"/>
        <item x="441"/>
        <item x="293"/>
        <item x="491"/>
        <item x="587"/>
        <item x="207"/>
        <item x="14"/>
        <item x="478"/>
        <item x="58"/>
        <item x="261"/>
        <item x="59"/>
        <item x="325"/>
        <item x="103"/>
        <item x="170"/>
        <item x="70"/>
        <item x="497"/>
        <item x="416"/>
        <item x="312"/>
        <item x="319"/>
        <item x="489"/>
        <item x="332"/>
        <item x="355"/>
        <item x="516"/>
        <item x="185"/>
        <item x="545"/>
        <item x="221"/>
        <item x="259"/>
        <item x="450"/>
        <item x="521"/>
        <item x="576"/>
        <item x="270"/>
        <item x="22"/>
        <item x="158"/>
        <item x="131"/>
        <item x="154"/>
        <item x="290"/>
        <item x="76"/>
        <item x="113"/>
        <item x="569"/>
        <item x="187"/>
        <item x="618"/>
        <item x="588"/>
        <item x="227"/>
        <item x="552"/>
        <item x="551"/>
        <item x="97"/>
        <item x="460"/>
        <item x="214"/>
        <item x="352"/>
        <item x="299"/>
        <item x="57"/>
        <item x="288"/>
        <item x="50"/>
        <item x="147"/>
        <item x="437"/>
        <item x="346"/>
        <item x="180"/>
        <item x="358"/>
        <item x="142"/>
        <item x="493"/>
        <item x="557"/>
        <item x="465"/>
        <item x="604"/>
        <item x="360"/>
        <item x="592"/>
        <item x="10"/>
        <item x="277"/>
        <item x="18"/>
        <item x="338"/>
        <item x="541"/>
        <item x="292"/>
        <item x="454"/>
        <item x="25"/>
        <item x="209"/>
        <item x="93"/>
        <item x="66"/>
        <item x="77"/>
        <item x="554"/>
        <item x="536"/>
        <item x="306"/>
        <item x="182"/>
        <item x="408"/>
        <item x="109"/>
        <item x="75"/>
        <item x="169"/>
        <item x="513"/>
        <item x="471"/>
        <item x="579"/>
        <item x="607"/>
        <item x="624"/>
        <item x="34"/>
        <item x="172"/>
        <item x="627"/>
        <item x="401"/>
        <item x="126"/>
        <item x="391"/>
        <item x="124"/>
        <item x="484"/>
        <item x="523"/>
        <item x="377"/>
        <item x="24"/>
        <item x="87"/>
        <item x="82"/>
        <item x="324"/>
        <item x="510"/>
        <item x="367"/>
        <item x="458"/>
        <item x="12"/>
        <item x="136"/>
        <item x="9"/>
        <item x="294"/>
        <item x="157"/>
        <item x="464"/>
        <item x="210"/>
        <item x="315"/>
        <item x="467"/>
        <item x="85"/>
        <item x="161"/>
        <item x="260"/>
        <item x="348"/>
        <item x="256"/>
        <item x="573"/>
        <item x="220"/>
        <item x="617"/>
        <item x="594"/>
        <item x="326"/>
        <item x="74"/>
        <item x="171"/>
        <item x="589"/>
        <item x="490"/>
        <item x="518"/>
        <item x="463"/>
        <item x="78"/>
        <item x="519"/>
        <item x="564"/>
        <item x="44"/>
        <item x="127"/>
        <item x="125"/>
        <item x="110"/>
        <item x="568"/>
        <item x="504"/>
        <item x="459"/>
        <item x="451"/>
        <item x="397"/>
        <item x="30"/>
        <item x="230"/>
        <item x="61"/>
        <item x="365"/>
        <item x="222"/>
        <item x="206"/>
        <item x="69"/>
        <item x="250"/>
        <item x="36"/>
        <item x="60"/>
        <item x="105"/>
        <item x="511"/>
        <item x="101"/>
        <item x="86"/>
        <item x="234"/>
        <item x="0"/>
        <item x="37"/>
        <item x="393"/>
        <item x="436"/>
        <item x="403"/>
        <item x="289"/>
        <item x="476"/>
        <item x="237"/>
        <item x="585"/>
        <item x="177"/>
        <item x="300"/>
        <item x="267"/>
        <item x="559"/>
        <item x="323"/>
        <item x="475"/>
        <item x="477"/>
        <item x="533"/>
        <item x="166"/>
        <item x="145"/>
        <item x="295"/>
        <item x="15"/>
        <item x="527"/>
        <item x="445"/>
        <item x="582"/>
        <item x="539"/>
        <item x="349"/>
        <item x="119"/>
        <item x="279"/>
        <item x="246"/>
        <item x="384"/>
        <item x="239"/>
        <item x="370"/>
        <item x="629"/>
        <item x="481"/>
        <item x="146"/>
        <item x="19"/>
        <item x="64"/>
        <item x="264"/>
        <item x="507"/>
        <item x="571"/>
        <item x="345"/>
        <item x="99"/>
        <item x="53"/>
        <item x="362"/>
        <item x="514"/>
        <item x="581"/>
        <item x="71"/>
        <item x="309"/>
        <item x="304"/>
        <item x="542"/>
        <item x="242"/>
        <item x="457"/>
        <item x="603"/>
        <item x="23"/>
        <item x="255"/>
        <item x="508"/>
        <item x="104"/>
        <item x="190"/>
        <item x="563"/>
        <item x="387"/>
        <item x="251"/>
        <item x="151"/>
        <item x="520"/>
        <item x="593"/>
        <item x="368"/>
        <item x="56"/>
        <item x="409"/>
        <item x="275"/>
        <item x="173"/>
        <item x="102"/>
        <item x="388"/>
        <item x="534"/>
        <item x="565"/>
        <item x="425"/>
        <item x="52"/>
        <item x="192"/>
        <item x="407"/>
        <item x="117"/>
        <item x="396"/>
        <item x="424"/>
        <item x="72"/>
        <item x="5"/>
        <item x="598"/>
        <item x="430"/>
        <item x="421"/>
        <item x="283"/>
        <item x="329"/>
        <item x="386"/>
        <item x="111"/>
        <item x="224"/>
        <item x="132"/>
        <item x="20"/>
        <item x="402"/>
        <item x="284"/>
        <item x="33"/>
        <item x="339"/>
        <item x="566"/>
        <item x="314"/>
        <item x="271"/>
        <item x="591"/>
        <item x="216"/>
        <item x="186"/>
        <item x="205"/>
        <item x="96"/>
        <item x="404"/>
        <item x="167"/>
        <item x="140"/>
        <item x="68"/>
        <item x="472"/>
        <item x="509"/>
        <item x="217"/>
        <item x="115"/>
        <item x="247"/>
        <item x="597"/>
        <item x="89"/>
        <item x="328"/>
        <item x="249"/>
        <item x="135"/>
        <item x="273"/>
        <item x="427"/>
        <item x="83"/>
        <item x="398"/>
        <item x="121"/>
        <item x="625"/>
        <item x="418"/>
        <item x="615"/>
        <item x="189"/>
        <item x="351"/>
        <item x="549"/>
        <item x="297"/>
        <item x="51"/>
        <item x="252"/>
        <item x="372"/>
        <item x="432"/>
        <item x="499"/>
        <item x="55"/>
        <item x="204"/>
        <item x="456"/>
        <item x="130"/>
        <item x="63"/>
        <item x="233"/>
        <item x="178"/>
        <item x="305"/>
        <item x="447"/>
        <item x="280"/>
        <item x="298"/>
        <item x="183"/>
        <item x="363"/>
        <item x="389"/>
        <item x="561"/>
        <item x="572"/>
        <item x="522"/>
        <item x="547"/>
        <item x="310"/>
        <item x="195"/>
        <item x="165"/>
        <item x="67"/>
        <item x="453"/>
        <item x="8"/>
        <item x="175"/>
        <item x="556"/>
        <item x="446"/>
        <item x="580"/>
        <item x="191"/>
        <item x="168"/>
        <item x="383"/>
        <item x="258"/>
        <item x="211"/>
        <item x="188"/>
        <item x="79"/>
        <item x="610"/>
        <item x="544"/>
        <item x="6"/>
        <item x="272"/>
        <item x="540"/>
        <item x="431"/>
        <item x="184"/>
        <item x="494"/>
        <item x="254"/>
        <item x="88"/>
        <item x="118"/>
        <item x="531"/>
        <item x="163"/>
        <item x="498"/>
        <item x="318"/>
        <item x="395"/>
        <item x="266"/>
        <item x="160"/>
        <item x="40"/>
        <item x="496"/>
        <item x="311"/>
        <item x="495"/>
        <item x="590"/>
        <item x="380"/>
        <item x="41"/>
        <item x="223"/>
        <item x="226"/>
        <item x="302"/>
        <item x="98"/>
        <item x="341"/>
        <item x="73"/>
        <item x="479"/>
        <item x="90"/>
        <item x="45"/>
        <item x="47"/>
        <item x="144"/>
        <item x="257"/>
        <item x="623"/>
        <item x="438"/>
        <item x="562"/>
        <item x="248"/>
        <item x="483"/>
        <item x="577"/>
        <item x="114"/>
        <item x="21"/>
        <item x="399"/>
        <item x="198"/>
        <item x="376"/>
        <item x="575"/>
        <item x="506"/>
        <item x="307"/>
        <item x="574"/>
        <item x="382"/>
        <item x="357"/>
        <item x="317"/>
        <item x="129"/>
        <item x="517"/>
        <item x="112"/>
        <item x="548"/>
        <item x="321"/>
        <item x="620"/>
        <item x="622"/>
        <item x="80"/>
        <item x="322"/>
        <item x="543"/>
        <item x="48"/>
        <item x="462"/>
        <item x="612"/>
        <item x="379"/>
        <item x="276"/>
        <item x="194"/>
        <item x="611"/>
        <item x="466"/>
        <item x="203"/>
        <item x="600"/>
        <item x="503"/>
        <item x="120"/>
        <item x="108"/>
        <item x="535"/>
        <item x="413"/>
        <item x="84"/>
        <item x="550"/>
        <item x="215"/>
        <item x="378"/>
        <item x="155"/>
        <item x="32"/>
        <item x="433"/>
        <item x="502"/>
        <item x="281"/>
        <item x="123"/>
        <item x="619"/>
        <item x="156"/>
        <item x="538"/>
        <item x="614"/>
        <item x="353"/>
        <item x="331"/>
        <item x="262"/>
        <item x="567"/>
        <item x="529"/>
        <item x="344"/>
        <item x="2"/>
        <item x="29"/>
        <item x="435"/>
        <item x="287"/>
        <item x="54"/>
        <item x="420"/>
        <item x="17"/>
        <item x="282"/>
        <item x="347"/>
        <item x="213"/>
        <item x="343"/>
        <item x="28"/>
        <item x="560"/>
        <item x="512"/>
        <item x="202"/>
        <item x="371"/>
        <item x="327"/>
        <item x="107"/>
        <item x="448"/>
        <item x="238"/>
        <item x="482"/>
        <item x="231"/>
        <item x="422"/>
        <item x="133"/>
        <item x="530"/>
        <item x="268"/>
        <item x="426"/>
        <item x="200"/>
        <item x="392"/>
        <item x="91"/>
        <item x="241"/>
        <item x="286"/>
        <item x="263"/>
        <item x="334"/>
        <item x="412"/>
        <item x="440"/>
        <item x="128"/>
        <item x="570"/>
        <item x="3"/>
        <item x="583"/>
        <item x="149"/>
        <item x="65"/>
        <item x="626"/>
        <item x="245"/>
        <item x="31"/>
        <item x="375"/>
        <item x="197"/>
        <item x="303"/>
        <item x="584"/>
        <item x="361"/>
        <item x="162"/>
        <item x="452"/>
        <item x="428"/>
        <item x="406"/>
        <item x="485"/>
        <item x="553"/>
        <item x="316"/>
        <item x="330"/>
        <item x="488"/>
        <item x="455"/>
        <item x="285"/>
        <item x="278"/>
        <item x="27"/>
        <item x="366"/>
        <item x="94"/>
        <item x="11"/>
        <item x="244"/>
        <item x="225"/>
        <item x="605"/>
        <item x="181"/>
        <item x="578"/>
        <item x="336"/>
        <item x="492"/>
        <item x="122"/>
        <item x="374"/>
        <item x="137"/>
        <item x="141"/>
        <item x="532"/>
        <item x="62"/>
        <item x="100"/>
        <item x="419"/>
        <item x="411"/>
        <item x="505"/>
        <item x="236"/>
        <item x="434"/>
        <item x="106"/>
        <item x="500"/>
        <item x="628"/>
        <item x="159"/>
        <item x="320"/>
        <item x="473"/>
        <item x="586"/>
        <item x="196"/>
        <item x="501"/>
        <item x="335"/>
        <item x="232"/>
        <item x="390"/>
        <item x="474"/>
        <item x="265"/>
        <item x="486"/>
        <item x="49"/>
        <item x="526"/>
        <item x="537"/>
        <item x="410"/>
        <item x="515"/>
        <item x="525"/>
        <item x="439"/>
        <item x="228"/>
        <item x="313"/>
        <item x="449"/>
        <item x="555"/>
        <item x="429"/>
        <item x="46"/>
        <item x="524"/>
        <item x="219"/>
        <item x="253"/>
        <item x="308"/>
        <item x="212"/>
        <item x="42"/>
        <item x="468"/>
        <item x="364"/>
        <item x="369"/>
        <item x="174"/>
        <item x="480"/>
        <item x="164"/>
        <item x="26"/>
        <item x="148"/>
        <item x="143"/>
        <item x="35"/>
        <item x="528"/>
        <item x="595"/>
        <item x="134"/>
        <item x="442"/>
        <item x="342"/>
        <item x="609"/>
        <item x="138"/>
        <item x="193"/>
        <item x="240"/>
        <item x="602"/>
        <item x="176"/>
        <item x="613"/>
        <item x="337"/>
        <item x="243"/>
        <item x="606"/>
        <item x="400"/>
        <item x="218"/>
        <item x="616"/>
        <item x="487"/>
        <item x="417"/>
        <item x="381"/>
        <item x="208"/>
        <item x="601"/>
        <item x="150"/>
        <item x="7"/>
        <item x="423"/>
        <item x="116"/>
        <item x="92"/>
        <item x="301"/>
        <item x="39"/>
        <item x="558"/>
        <item x="359"/>
        <item x="269"/>
        <item x="16"/>
        <item x="461"/>
        <item x="199"/>
        <item x="229"/>
        <item x="470"/>
        <item x="153"/>
        <item x="38"/>
        <item x="350"/>
        <item x="235"/>
        <item x="296"/>
        <item x="444"/>
        <item x="4"/>
        <item x="179"/>
        <item x="152"/>
        <item x="13"/>
        <item x="201"/>
        <item x="373"/>
        <item x="274"/>
        <item x="291"/>
        <item x="385"/>
        <item x="95"/>
        <item x="608"/>
        <item x="1"/>
        <item x="405"/>
        <item x="469"/>
        <item x="356"/>
        <item x="443"/>
        <item x="546"/>
        <item x="81"/>
        <item x="43"/>
        <item x="599"/>
        <item x="596"/>
        <item x="354"/>
        <item x="414"/>
        <item t="default"/>
      </items>
      <autoSortScope>
        <pivotArea dataOnly="0" outline="0" fieldPosition="0">
          <references count="1">
            <reference field="4294967294" count="1" selected="0">
              <x v="0"/>
            </reference>
          </references>
        </pivotArea>
      </autoSortScope>
    </pivotField>
    <pivotField numFmtId="4" showAll="0"/>
    <pivotField numFmtId="2" showAll="0"/>
    <pivotField numFmtId="2" showAll="0"/>
    <pivotField showAll="0"/>
    <pivotField numFmtId="9" showAll="0"/>
    <pivotField numFmtId="9" showAll="0"/>
    <pivotField showAll="0"/>
    <pivotField numFmtId="1" showAll="0"/>
    <pivotField dataField="1" numFmtId="2" showAll="0"/>
    <pivotField numFmtId="2" showAll="0"/>
    <pivotField numFmtId="2" showAll="0"/>
    <pivotField numFmtId="9" showAll="0"/>
    <pivotField showAll="0" defaultSubtotal="0"/>
    <pivotField showAll="0" defaultSubtotal="0"/>
    <pivotField showAll="0" defaultSubtotal="0">
      <items count="5">
        <item x="0"/>
        <item x="1"/>
        <item x="2"/>
        <item x="3"/>
        <item x="4"/>
      </items>
    </pivotField>
    <pivotField showAll="0" defaultSubtotal="0"/>
    <pivotField showAll="0" defaultSubtotal="0">
      <items count="14">
        <item x="0"/>
        <item x="1"/>
        <item x="2"/>
        <item x="3"/>
        <item x="4"/>
        <item x="5"/>
        <item x="6"/>
        <item x="7"/>
        <item x="8"/>
        <item x="9"/>
        <item x="10"/>
        <item x="11"/>
        <item x="12"/>
        <item x="13"/>
      </items>
    </pivotField>
  </pivotFields>
  <rowFields count="2">
    <field x="17"/>
    <field x="18"/>
  </rowFields>
  <rowItems count="638">
    <i>
      <x/>
    </i>
    <i r="1">
      <x v="60"/>
    </i>
    <i r="1">
      <x v="23"/>
    </i>
    <i r="1">
      <x v="82"/>
    </i>
    <i r="1">
      <x v="84"/>
    </i>
    <i r="1">
      <x v="72"/>
    </i>
    <i r="1">
      <x v="41"/>
    </i>
    <i r="1">
      <x v="68"/>
    </i>
    <i r="1">
      <x v="4"/>
    </i>
    <i r="1">
      <x v="50"/>
    </i>
    <i r="1">
      <x v="81"/>
    </i>
    <i r="1">
      <x v="63"/>
    </i>
    <i r="1">
      <x v="6"/>
    </i>
    <i r="1">
      <x v="10"/>
    </i>
    <i r="1">
      <x v="56"/>
    </i>
    <i r="1">
      <x v="44"/>
    </i>
    <i r="1">
      <x v="53"/>
    </i>
    <i r="1">
      <x v="59"/>
    </i>
    <i r="1">
      <x v="86"/>
    </i>
    <i r="1">
      <x v="75"/>
    </i>
    <i r="1">
      <x v="26"/>
    </i>
    <i r="1">
      <x v="12"/>
    </i>
    <i r="1">
      <x v="33"/>
    </i>
    <i r="1">
      <x v="83"/>
    </i>
    <i r="1">
      <x v="49"/>
    </i>
    <i r="1">
      <x v="79"/>
    </i>
    <i r="1">
      <x v="32"/>
    </i>
    <i r="1">
      <x v="40"/>
    </i>
    <i r="1">
      <x v="14"/>
    </i>
    <i r="1">
      <x v="78"/>
    </i>
    <i r="1">
      <x v="80"/>
    </i>
    <i r="1">
      <x v="70"/>
    </i>
    <i r="1">
      <x v="48"/>
    </i>
    <i r="1">
      <x v="29"/>
    </i>
    <i r="1">
      <x v="57"/>
    </i>
    <i r="1">
      <x v="76"/>
    </i>
    <i r="1">
      <x v="18"/>
    </i>
    <i r="1">
      <x v="5"/>
    </i>
    <i r="1">
      <x v="67"/>
    </i>
    <i r="1">
      <x v="58"/>
    </i>
    <i r="1">
      <x v="65"/>
    </i>
    <i r="1">
      <x v="54"/>
    </i>
    <i r="1">
      <x v="9"/>
    </i>
    <i r="1">
      <x v="64"/>
    </i>
    <i r="1">
      <x v="22"/>
    </i>
    <i r="1">
      <x v="39"/>
    </i>
    <i r="1">
      <x v="36"/>
    </i>
    <i r="1">
      <x v="3"/>
    </i>
    <i r="1">
      <x v="1"/>
    </i>
    <i r="1">
      <x v="19"/>
    </i>
    <i r="1">
      <x v="28"/>
    </i>
    <i r="1">
      <x v="37"/>
    </i>
    <i r="1">
      <x v="16"/>
    </i>
    <i r="1">
      <x v="46"/>
    </i>
    <i r="1">
      <x v="20"/>
    </i>
    <i r="1">
      <x v="77"/>
    </i>
    <i r="1">
      <x v="69"/>
    </i>
    <i r="1">
      <x v="21"/>
    </i>
    <i r="1">
      <x v="52"/>
    </i>
    <i r="1">
      <x v="85"/>
    </i>
    <i r="1">
      <x v="11"/>
    </i>
    <i r="1">
      <x v="31"/>
    </i>
    <i r="1">
      <x v="8"/>
    </i>
    <i r="1">
      <x v="7"/>
    </i>
    <i r="1">
      <x v="35"/>
    </i>
    <i r="1">
      <x v="25"/>
    </i>
    <i r="1">
      <x v="34"/>
    </i>
    <i r="1">
      <x v="71"/>
    </i>
    <i r="1">
      <x v="17"/>
    </i>
    <i r="1">
      <x v="2"/>
    </i>
    <i r="1">
      <x v="47"/>
    </i>
    <i r="1">
      <x v="55"/>
    </i>
    <i r="1">
      <x v="74"/>
    </i>
    <i r="1">
      <x v="43"/>
    </i>
    <i r="1">
      <x v="15"/>
    </i>
    <i r="1">
      <x v="38"/>
    </i>
    <i r="1">
      <x v="62"/>
    </i>
    <i r="1">
      <x v="73"/>
    </i>
    <i r="1">
      <x v="66"/>
    </i>
    <i r="1">
      <x v="42"/>
    </i>
    <i r="1">
      <x v="24"/>
    </i>
    <i r="1">
      <x/>
    </i>
    <i r="1">
      <x v="45"/>
    </i>
    <i r="1">
      <x v="27"/>
    </i>
    <i r="1">
      <x v="51"/>
    </i>
    <i r="1">
      <x v="30"/>
    </i>
    <i r="1">
      <x v="87"/>
    </i>
    <i r="1">
      <x v="61"/>
    </i>
    <i r="1">
      <x v="13"/>
    </i>
    <i>
      <x v="1"/>
    </i>
    <i r="1">
      <x v="171"/>
    </i>
    <i r="1">
      <x v="117"/>
    </i>
    <i r="1">
      <x v="100"/>
    </i>
    <i r="1">
      <x v="99"/>
    </i>
    <i r="1">
      <x v="114"/>
    </i>
    <i r="1">
      <x v="160"/>
    </i>
    <i r="1">
      <x v="128"/>
    </i>
    <i r="1">
      <x v="97"/>
    </i>
    <i r="1">
      <x v="158"/>
    </i>
    <i r="1">
      <x v="90"/>
    </i>
    <i r="1">
      <x v="145"/>
    </i>
    <i r="1">
      <x v="151"/>
    </i>
    <i r="1">
      <x v="143"/>
    </i>
    <i r="1">
      <x v="95"/>
    </i>
    <i r="1">
      <x v="124"/>
    </i>
    <i r="1">
      <x v="108"/>
    </i>
    <i r="1">
      <x v="174"/>
    </i>
    <i r="1">
      <x v="120"/>
    </i>
    <i r="1">
      <x v="172"/>
    </i>
    <i r="1">
      <x v="105"/>
    </i>
    <i r="1">
      <x v="111"/>
    </i>
    <i r="1">
      <x v="116"/>
    </i>
    <i r="1">
      <x v="147"/>
    </i>
    <i r="1">
      <x v="123"/>
    </i>
    <i r="1">
      <x v="137"/>
    </i>
    <i r="1">
      <x v="152"/>
    </i>
    <i r="1">
      <x v="166"/>
    </i>
    <i r="1">
      <x v="125"/>
    </i>
    <i r="1">
      <x v="157"/>
    </i>
    <i r="1">
      <x v="110"/>
    </i>
    <i r="1">
      <x v="118"/>
    </i>
    <i r="1">
      <x v="140"/>
    </i>
    <i r="1">
      <x v="175"/>
    </i>
    <i r="1">
      <x v="139"/>
    </i>
    <i r="1">
      <x v="98"/>
    </i>
    <i r="1">
      <x v="91"/>
    </i>
    <i r="1">
      <x v="104"/>
    </i>
    <i r="1">
      <x v="163"/>
    </i>
    <i r="1">
      <x v="162"/>
    </i>
    <i r="1">
      <x v="94"/>
    </i>
    <i r="1">
      <x v="127"/>
    </i>
    <i r="1">
      <x v="148"/>
    </i>
    <i r="1">
      <x v="121"/>
    </i>
    <i r="1">
      <x v="156"/>
    </i>
    <i r="1">
      <x v="159"/>
    </i>
    <i r="1">
      <x v="165"/>
    </i>
    <i r="1">
      <x v="133"/>
    </i>
    <i r="1">
      <x v="169"/>
    </i>
    <i r="1">
      <x v="149"/>
    </i>
    <i r="1">
      <x v="113"/>
    </i>
    <i r="1">
      <x v="155"/>
    </i>
    <i r="1">
      <x v="132"/>
    </i>
    <i r="1">
      <x v="142"/>
    </i>
    <i r="1">
      <x v="115"/>
    </i>
    <i r="1">
      <x v="119"/>
    </i>
    <i r="1">
      <x v="129"/>
    </i>
    <i r="1">
      <x v="168"/>
    </i>
    <i r="1">
      <x v="138"/>
    </i>
    <i r="1">
      <x v="167"/>
    </i>
    <i r="1">
      <x v="88"/>
    </i>
    <i r="1">
      <x v="176"/>
    </i>
    <i r="1">
      <x v="154"/>
    </i>
    <i r="1">
      <x v="134"/>
    </i>
    <i r="1">
      <x v="103"/>
    </i>
    <i r="1">
      <x v="161"/>
    </i>
    <i r="1">
      <x v="92"/>
    </i>
    <i r="1">
      <x v="102"/>
    </i>
    <i r="1">
      <x v="131"/>
    </i>
    <i r="1">
      <x v="122"/>
    </i>
    <i r="1">
      <x v="107"/>
    </i>
    <i r="1">
      <x v="112"/>
    </i>
    <i r="1">
      <x v="164"/>
    </i>
    <i r="1">
      <x v="153"/>
    </i>
    <i r="1">
      <x v="170"/>
    </i>
    <i r="1">
      <x v="109"/>
    </i>
    <i r="1">
      <x v="144"/>
    </i>
    <i r="1">
      <x v="130"/>
    </i>
    <i r="1">
      <x v="89"/>
    </i>
    <i r="1">
      <x v="93"/>
    </i>
    <i r="1">
      <x v="101"/>
    </i>
    <i r="1">
      <x v="136"/>
    </i>
    <i r="1">
      <x v="146"/>
    </i>
    <i r="1">
      <x v="106"/>
    </i>
    <i r="1">
      <x v="135"/>
    </i>
    <i r="1">
      <x v="141"/>
    </i>
    <i r="1">
      <x v="177"/>
    </i>
    <i r="1">
      <x v="150"/>
    </i>
    <i r="1">
      <x v="126"/>
    </i>
    <i r="1">
      <x v="173"/>
    </i>
    <i r="1">
      <x v="96"/>
    </i>
    <i>
      <x v="2"/>
    </i>
    <i r="1">
      <x v="248"/>
    </i>
    <i r="1">
      <x v="207"/>
    </i>
    <i r="1">
      <x v="241"/>
    </i>
    <i r="1">
      <x v="223"/>
    </i>
    <i r="1">
      <x v="226"/>
    </i>
    <i r="1">
      <x v="185"/>
    </i>
    <i r="1">
      <x v="247"/>
    </i>
    <i r="1">
      <x v="236"/>
    </i>
    <i r="1">
      <x v="180"/>
    </i>
    <i r="1">
      <x v="179"/>
    </i>
    <i r="1">
      <x v="209"/>
    </i>
    <i r="1">
      <x v="201"/>
    </i>
    <i r="1">
      <x v="199"/>
    </i>
    <i r="1">
      <x v="197"/>
    </i>
    <i r="1">
      <x v="214"/>
    </i>
    <i r="1">
      <x v="246"/>
    </i>
    <i r="1">
      <x v="232"/>
    </i>
    <i r="1">
      <x v="237"/>
    </i>
    <i r="1">
      <x v="252"/>
    </i>
    <i r="1">
      <x v="229"/>
    </i>
    <i r="1">
      <x v="250"/>
    </i>
    <i r="1">
      <x v="200"/>
    </i>
    <i r="1">
      <x v="205"/>
    </i>
    <i r="1">
      <x v="239"/>
    </i>
    <i r="1">
      <x v="218"/>
    </i>
    <i r="1">
      <x v="255"/>
    </i>
    <i r="1">
      <x v="193"/>
    </i>
    <i r="1">
      <x v="225"/>
    </i>
    <i r="1">
      <x v="183"/>
    </i>
    <i r="1">
      <x v="217"/>
    </i>
    <i r="1">
      <x v="244"/>
    </i>
    <i r="1">
      <x v="251"/>
    </i>
    <i r="1">
      <x v="188"/>
    </i>
    <i r="1">
      <x v="221"/>
    </i>
    <i r="1">
      <x v="203"/>
    </i>
    <i r="1">
      <x v="242"/>
    </i>
    <i r="1">
      <x v="224"/>
    </i>
    <i r="1">
      <x v="257"/>
    </i>
    <i r="1">
      <x v="253"/>
    </i>
    <i r="1">
      <x v="243"/>
    </i>
    <i r="1">
      <x v="235"/>
    </i>
    <i r="1">
      <x v="227"/>
    </i>
    <i r="1">
      <x v="181"/>
    </i>
    <i r="1">
      <x v="213"/>
    </i>
    <i r="1">
      <x v="228"/>
    </i>
    <i r="1">
      <x v="233"/>
    </i>
    <i r="1">
      <x v="204"/>
    </i>
    <i r="1">
      <x v="258"/>
    </i>
    <i r="1">
      <x v="182"/>
    </i>
    <i r="1">
      <x v="220"/>
    </i>
    <i r="1">
      <x v="189"/>
    </i>
    <i r="1">
      <x v="249"/>
    </i>
    <i r="1">
      <x v="208"/>
    </i>
    <i r="1">
      <x v="211"/>
    </i>
    <i r="1">
      <x v="192"/>
    </i>
    <i r="1">
      <x v="186"/>
    </i>
    <i r="1">
      <x v="191"/>
    </i>
    <i r="1">
      <x v="231"/>
    </i>
    <i r="1">
      <x v="254"/>
    </i>
    <i r="1">
      <x v="219"/>
    </i>
    <i r="1">
      <x v="215"/>
    </i>
    <i r="1">
      <x v="184"/>
    </i>
    <i r="1">
      <x v="216"/>
    </i>
    <i r="1">
      <x v="210"/>
    </i>
    <i r="1">
      <x v="212"/>
    </i>
    <i r="1">
      <x v="238"/>
    </i>
    <i r="1">
      <x v="230"/>
    </i>
    <i r="1">
      <x v="256"/>
    </i>
    <i r="1">
      <x v="240"/>
    </i>
    <i r="1">
      <x v="222"/>
    </i>
    <i r="1">
      <x v="245"/>
    </i>
    <i r="1">
      <x v="195"/>
    </i>
    <i r="1">
      <x v="202"/>
    </i>
    <i r="1">
      <x v="187"/>
    </i>
    <i r="1">
      <x v="194"/>
    </i>
    <i r="1">
      <x v="198"/>
    </i>
    <i r="1">
      <x v="206"/>
    </i>
    <i r="1">
      <x v="178"/>
    </i>
    <i r="1">
      <x v="190"/>
    </i>
    <i r="1">
      <x v="234"/>
    </i>
    <i r="1">
      <x v="196"/>
    </i>
    <i>
      <x v="3"/>
    </i>
    <i r="1">
      <x v="323"/>
    </i>
    <i r="1">
      <x v="270"/>
    </i>
    <i r="1">
      <x v="319"/>
    </i>
    <i r="1">
      <x v="303"/>
    </i>
    <i r="1">
      <x v="349"/>
    </i>
    <i r="1">
      <x v="307"/>
    </i>
    <i r="1">
      <x v="352"/>
    </i>
    <i r="1">
      <x v="350"/>
    </i>
    <i r="1">
      <x v="337"/>
    </i>
    <i r="1">
      <x v="296"/>
    </i>
    <i r="1">
      <x v="299"/>
    </i>
    <i r="1">
      <x v="318"/>
    </i>
    <i r="1">
      <x v="317"/>
    </i>
    <i r="1">
      <x v="338"/>
    </i>
    <i r="1">
      <x v="282"/>
    </i>
    <i r="1">
      <x v="332"/>
    </i>
    <i r="1">
      <x v="281"/>
    </i>
    <i r="1">
      <x v="340"/>
    </i>
    <i r="1">
      <x v="266"/>
    </i>
    <i r="1">
      <x v="259"/>
    </i>
    <i r="1">
      <x v="300"/>
    </i>
    <i r="1">
      <x v="260"/>
    </i>
    <i r="1">
      <x v="275"/>
    </i>
    <i r="1">
      <x v="321"/>
    </i>
    <i r="1">
      <x v="286"/>
    </i>
    <i r="1">
      <x v="351"/>
    </i>
    <i r="1">
      <x v="298"/>
    </i>
    <i r="1">
      <x v="295"/>
    </i>
    <i r="1">
      <x v="308"/>
    </i>
    <i r="1">
      <x v="347"/>
    </i>
    <i r="1">
      <x v="291"/>
    </i>
    <i r="1">
      <x v="312"/>
    </i>
    <i r="1">
      <x v="315"/>
    </i>
    <i r="1">
      <x v="329"/>
    </i>
    <i r="1">
      <x v="322"/>
    </i>
    <i r="1">
      <x v="314"/>
    </i>
    <i r="1">
      <x v="320"/>
    </i>
    <i r="1">
      <x v="283"/>
    </i>
    <i r="1">
      <x v="268"/>
    </i>
    <i r="1">
      <x v="285"/>
    </i>
    <i r="1">
      <x v="297"/>
    </i>
    <i r="1">
      <x v="269"/>
    </i>
    <i r="1">
      <x v="346"/>
    </i>
    <i r="1">
      <x v="343"/>
    </i>
    <i r="1">
      <x v="280"/>
    </i>
    <i r="1">
      <x v="316"/>
    </i>
    <i r="1">
      <x v="324"/>
    </i>
    <i r="1">
      <x v="288"/>
    </i>
    <i r="1">
      <x v="334"/>
    </i>
    <i r="1">
      <x v="273"/>
    </i>
    <i r="1">
      <x v="327"/>
    </i>
    <i r="1">
      <x v="310"/>
    </i>
    <i r="1">
      <x v="271"/>
    </i>
    <i r="1">
      <x v="290"/>
    </i>
    <i r="1">
      <x v="313"/>
    </i>
    <i r="1">
      <x v="279"/>
    </i>
    <i r="1">
      <x v="272"/>
    </i>
    <i r="1">
      <x v="301"/>
    </i>
    <i r="1">
      <x v="264"/>
    </i>
    <i r="1">
      <x v="302"/>
    </i>
    <i r="1">
      <x v="311"/>
    </i>
    <i r="1">
      <x v="262"/>
    </i>
    <i r="1">
      <x v="305"/>
    </i>
    <i r="1">
      <x v="328"/>
    </i>
    <i r="1">
      <x v="342"/>
    </i>
    <i r="1">
      <x v="277"/>
    </i>
    <i r="1">
      <x v="344"/>
    </i>
    <i r="1">
      <x v="263"/>
    </i>
    <i r="1">
      <x v="325"/>
    </i>
    <i r="1">
      <x v="304"/>
    </i>
    <i r="1">
      <x v="287"/>
    </i>
    <i r="1">
      <x v="261"/>
    </i>
    <i r="1">
      <x v="333"/>
    </i>
    <i r="1">
      <x v="265"/>
    </i>
    <i r="1">
      <x v="335"/>
    </i>
    <i r="1">
      <x v="341"/>
    </i>
    <i r="1">
      <x v="330"/>
    </i>
    <i r="1">
      <x v="293"/>
    </i>
    <i r="1">
      <x v="348"/>
    </i>
    <i r="1">
      <x v="336"/>
    </i>
    <i r="1">
      <x v="339"/>
    </i>
    <i r="1">
      <x v="274"/>
    </i>
    <i r="1">
      <x v="292"/>
    </i>
    <i r="1">
      <x v="326"/>
    </i>
    <i r="1">
      <x v="331"/>
    </i>
    <i r="1">
      <x v="306"/>
    </i>
    <i r="1">
      <x v="278"/>
    </i>
    <i r="1">
      <x v="276"/>
    </i>
    <i r="1">
      <x v="294"/>
    </i>
    <i r="1">
      <x v="345"/>
    </i>
    <i r="1">
      <x v="284"/>
    </i>
    <i r="1">
      <x v="267"/>
    </i>
    <i r="1">
      <x v="309"/>
    </i>
    <i r="1">
      <x v="289"/>
    </i>
    <i>
      <x v="4"/>
    </i>
    <i r="1">
      <x v="368"/>
    </i>
    <i r="1">
      <x v="405"/>
    </i>
    <i r="1">
      <x v="403"/>
    </i>
    <i r="1">
      <x v="359"/>
    </i>
    <i r="1">
      <x v="396"/>
    </i>
    <i r="1">
      <x v="356"/>
    </i>
    <i r="1">
      <x v="395"/>
    </i>
    <i r="1">
      <x v="387"/>
    </i>
    <i r="1">
      <x v="407"/>
    </i>
    <i r="1">
      <x v="386"/>
    </i>
    <i r="1">
      <x v="381"/>
    </i>
    <i r="1">
      <x v="365"/>
    </i>
    <i r="1">
      <x v="361"/>
    </i>
    <i r="1">
      <x v="397"/>
    </i>
    <i r="1">
      <x v="410"/>
    </i>
    <i r="1">
      <x v="399"/>
    </i>
    <i r="1">
      <x v="428"/>
    </i>
    <i r="1">
      <x v="431"/>
    </i>
    <i r="1">
      <x v="402"/>
    </i>
    <i r="1">
      <x v="371"/>
    </i>
    <i r="1">
      <x v="367"/>
    </i>
    <i r="1">
      <x v="413"/>
    </i>
    <i r="1">
      <x v="355"/>
    </i>
    <i r="1">
      <x v="360"/>
    </i>
    <i r="1">
      <x v="394"/>
    </i>
    <i r="1">
      <x v="392"/>
    </i>
    <i r="1">
      <x v="369"/>
    </i>
    <i r="1">
      <x v="353"/>
    </i>
    <i r="1">
      <x v="375"/>
    </i>
    <i r="1">
      <x v="414"/>
    </i>
    <i r="1">
      <x v="435"/>
    </i>
    <i r="1">
      <x v="437"/>
    </i>
    <i r="1">
      <x v="378"/>
    </i>
    <i r="1">
      <x v="415"/>
    </i>
    <i r="1">
      <x v="401"/>
    </i>
    <i r="1">
      <x v="379"/>
    </i>
    <i r="1">
      <x v="422"/>
    </i>
    <i r="1">
      <x v="388"/>
    </i>
    <i r="1">
      <x v="389"/>
    </i>
    <i r="1">
      <x v="383"/>
    </i>
    <i r="1">
      <x v="416"/>
    </i>
    <i r="1">
      <x v="406"/>
    </i>
    <i r="1">
      <x v="382"/>
    </i>
    <i r="1">
      <x v="357"/>
    </i>
    <i r="1">
      <x v="385"/>
    </i>
    <i r="1">
      <x v="423"/>
    </i>
    <i r="1">
      <x v="398"/>
    </i>
    <i r="1">
      <x v="427"/>
    </i>
    <i r="1">
      <x v="358"/>
    </i>
    <i r="1">
      <x v="409"/>
    </i>
    <i r="1">
      <x v="373"/>
    </i>
    <i r="1">
      <x v="390"/>
    </i>
    <i r="1">
      <x v="419"/>
    </i>
    <i r="1">
      <x v="364"/>
    </i>
    <i r="1">
      <x v="432"/>
    </i>
    <i r="1">
      <x v="418"/>
    </i>
    <i r="1">
      <x v="429"/>
    </i>
    <i r="1">
      <x v="421"/>
    </i>
    <i r="1">
      <x v="380"/>
    </i>
    <i r="1">
      <x v="366"/>
    </i>
    <i r="1">
      <x v="430"/>
    </i>
    <i r="1">
      <x v="412"/>
    </i>
    <i r="1">
      <x v="393"/>
    </i>
    <i r="1">
      <x v="425"/>
    </i>
    <i r="1">
      <x v="417"/>
    </i>
    <i r="1">
      <x v="436"/>
    </i>
    <i r="1">
      <x v="362"/>
    </i>
    <i r="1">
      <x v="376"/>
    </i>
    <i r="1">
      <x v="404"/>
    </i>
    <i r="1">
      <x v="384"/>
    </i>
    <i r="1">
      <x v="374"/>
    </i>
    <i r="1">
      <x v="426"/>
    </i>
    <i r="1">
      <x v="433"/>
    </i>
    <i r="1">
      <x v="372"/>
    </i>
    <i r="1">
      <x v="370"/>
    </i>
    <i r="1">
      <x v="424"/>
    </i>
    <i r="1">
      <x v="420"/>
    </i>
    <i r="1">
      <x v="400"/>
    </i>
    <i r="1">
      <x v="411"/>
    </i>
    <i r="1">
      <x v="377"/>
    </i>
    <i r="1">
      <x v="363"/>
    </i>
    <i r="1">
      <x v="408"/>
    </i>
    <i r="1">
      <x v="354"/>
    </i>
    <i r="1">
      <x v="438"/>
    </i>
    <i r="1">
      <x v="391"/>
    </i>
    <i r="1">
      <x v="434"/>
    </i>
    <i>
      <x v="5"/>
    </i>
    <i r="1">
      <x v="525"/>
    </i>
    <i r="1">
      <x v="513"/>
    </i>
    <i r="1">
      <x v="474"/>
    </i>
    <i r="1">
      <x v="503"/>
    </i>
    <i r="1">
      <x v="486"/>
    </i>
    <i r="1">
      <x v="479"/>
    </i>
    <i r="1">
      <x v="517"/>
    </i>
    <i r="1">
      <x v="440"/>
    </i>
    <i r="1">
      <x v="495"/>
    </i>
    <i r="1">
      <x v="516"/>
    </i>
    <i r="1">
      <x v="489"/>
    </i>
    <i r="1">
      <x v="446"/>
    </i>
    <i r="1">
      <x v="476"/>
    </i>
    <i r="1">
      <x v="508"/>
    </i>
    <i r="1">
      <x v="456"/>
    </i>
    <i r="1">
      <x v="522"/>
    </i>
    <i r="1">
      <x v="502"/>
    </i>
    <i r="1">
      <x v="505"/>
    </i>
    <i r="1">
      <x v="518"/>
    </i>
    <i r="1">
      <x v="478"/>
    </i>
    <i r="1">
      <x v="448"/>
    </i>
    <i r="1">
      <x v="460"/>
    </i>
    <i r="1">
      <x v="443"/>
    </i>
    <i r="1">
      <x v="451"/>
    </i>
    <i r="1">
      <x v="473"/>
    </i>
    <i r="1">
      <x v="523"/>
    </i>
    <i r="1">
      <x v="526"/>
    </i>
    <i r="1">
      <x v="501"/>
    </i>
    <i r="1">
      <x v="487"/>
    </i>
    <i r="1">
      <x v="493"/>
    </i>
    <i r="1">
      <x v="497"/>
    </i>
    <i r="1">
      <x v="463"/>
    </i>
    <i r="1">
      <x v="524"/>
    </i>
    <i r="1">
      <x v="449"/>
    </i>
    <i r="1">
      <x v="468"/>
    </i>
    <i r="1">
      <x v="507"/>
    </i>
    <i r="1">
      <x v="461"/>
    </i>
    <i r="1">
      <x v="514"/>
    </i>
    <i r="1">
      <x v="521"/>
    </i>
    <i r="1">
      <x v="469"/>
    </i>
    <i r="1">
      <x v="452"/>
    </i>
    <i r="1">
      <x v="500"/>
    </i>
    <i r="1">
      <x v="475"/>
    </i>
    <i r="1">
      <x v="485"/>
    </i>
    <i r="1">
      <x v="511"/>
    </i>
    <i r="1">
      <x v="480"/>
    </i>
    <i r="1">
      <x v="462"/>
    </i>
    <i r="1">
      <x v="512"/>
    </i>
    <i r="1">
      <x v="499"/>
    </i>
    <i r="1">
      <x v="439"/>
    </i>
    <i r="1">
      <x v="464"/>
    </i>
    <i r="1">
      <x v="492"/>
    </i>
    <i r="1">
      <x v="490"/>
    </i>
    <i r="1">
      <x v="444"/>
    </i>
    <i r="1">
      <x v="510"/>
    </i>
    <i r="1">
      <x v="484"/>
    </i>
    <i r="1">
      <x v="481"/>
    </i>
    <i r="1">
      <x v="520"/>
    </i>
    <i r="1">
      <x v="504"/>
    </i>
    <i r="1">
      <x v="459"/>
    </i>
    <i r="1">
      <x v="453"/>
    </i>
    <i r="1">
      <x v="455"/>
    </i>
    <i r="1">
      <x v="498"/>
    </i>
    <i r="1">
      <x v="472"/>
    </i>
    <i r="1">
      <x v="447"/>
    </i>
    <i r="1">
      <x v="488"/>
    </i>
    <i r="1">
      <x v="454"/>
    </i>
    <i r="1">
      <x v="467"/>
    </i>
    <i r="1">
      <x v="483"/>
    </i>
    <i r="1">
      <x v="509"/>
    </i>
    <i r="1">
      <x v="496"/>
    </i>
    <i r="1">
      <x v="494"/>
    </i>
    <i r="1">
      <x v="445"/>
    </i>
    <i r="1">
      <x v="450"/>
    </i>
    <i r="1">
      <x v="457"/>
    </i>
    <i r="1">
      <x v="477"/>
    </i>
    <i r="1">
      <x v="470"/>
    </i>
    <i r="1">
      <x v="491"/>
    </i>
    <i r="1">
      <x v="442"/>
    </i>
    <i r="1">
      <x v="515"/>
    </i>
    <i r="1">
      <x v="471"/>
    </i>
    <i r="1">
      <x v="441"/>
    </i>
    <i r="1">
      <x v="458"/>
    </i>
    <i r="1">
      <x v="466"/>
    </i>
    <i r="1">
      <x v="519"/>
    </i>
    <i r="1">
      <x v="482"/>
    </i>
    <i r="1">
      <x v="506"/>
    </i>
    <i r="1">
      <x v="465"/>
    </i>
    <i>
      <x v="6"/>
    </i>
    <i r="1">
      <x v="536"/>
    </i>
    <i r="1">
      <x v="588"/>
    </i>
    <i r="1">
      <x v="598"/>
    </i>
    <i r="1">
      <x v="544"/>
    </i>
    <i r="1">
      <x v="621"/>
    </i>
    <i r="1">
      <x v="616"/>
    </i>
    <i r="1">
      <x v="542"/>
    </i>
    <i r="1">
      <x v="585"/>
    </i>
    <i r="1">
      <x v="552"/>
    </i>
    <i r="1">
      <x v="575"/>
    </i>
    <i r="1">
      <x v="583"/>
    </i>
    <i r="1">
      <x v="600"/>
    </i>
    <i r="1">
      <x v="569"/>
    </i>
    <i r="1">
      <x v="534"/>
    </i>
    <i r="1">
      <x v="563"/>
    </i>
    <i r="1">
      <x v="623"/>
    </i>
    <i r="1">
      <x v="601"/>
    </i>
    <i r="1">
      <x v="533"/>
    </i>
    <i r="1">
      <x v="548"/>
    </i>
    <i r="1">
      <x v="531"/>
    </i>
    <i r="1">
      <x v="596"/>
    </i>
    <i r="1">
      <x v="549"/>
    </i>
    <i r="1">
      <x v="580"/>
    </i>
    <i r="1">
      <x v="619"/>
    </i>
    <i r="1">
      <x v="538"/>
    </i>
    <i r="1">
      <x v="622"/>
    </i>
    <i r="1">
      <x v="610"/>
    </i>
    <i r="1">
      <x v="540"/>
    </i>
    <i r="1">
      <x v="567"/>
    </i>
    <i r="1">
      <x v="629"/>
    </i>
    <i r="1">
      <x v="624"/>
    </i>
    <i r="1">
      <x v="568"/>
    </i>
    <i r="1">
      <x v="618"/>
    </i>
    <i r="1">
      <x v="578"/>
    </i>
    <i r="1">
      <x v="604"/>
    </i>
    <i r="1">
      <x v="541"/>
    </i>
    <i r="1">
      <x v="553"/>
    </i>
    <i r="1">
      <x v="528"/>
    </i>
    <i r="1">
      <x v="584"/>
    </i>
    <i r="1">
      <x v="573"/>
    </i>
    <i r="1">
      <x v="602"/>
    </i>
    <i r="1">
      <x v="560"/>
    </i>
    <i r="1">
      <x v="594"/>
    </i>
    <i r="1">
      <x v="593"/>
    </i>
    <i r="1">
      <x v="545"/>
    </i>
    <i r="1">
      <x v="554"/>
    </i>
    <i r="1">
      <x v="532"/>
    </i>
    <i r="1">
      <x v="543"/>
    </i>
    <i r="1">
      <x v="565"/>
    </i>
    <i r="1">
      <x v="558"/>
    </i>
    <i r="1">
      <x v="613"/>
    </i>
    <i r="1">
      <x v="535"/>
    </i>
    <i r="1">
      <x v="607"/>
    </i>
    <i r="1">
      <x v="527"/>
    </i>
    <i r="1">
      <x v="625"/>
    </i>
    <i r="1">
      <x v="574"/>
    </i>
    <i r="1">
      <x v="620"/>
    </i>
    <i r="1">
      <x v="617"/>
    </i>
    <i r="1">
      <x v="590"/>
    </i>
    <i r="1">
      <x v="561"/>
    </i>
    <i r="1">
      <x v="591"/>
    </i>
    <i r="1">
      <x v="615"/>
    </i>
    <i r="1">
      <x v="547"/>
    </i>
    <i r="1">
      <x v="586"/>
    </i>
    <i r="1">
      <x v="595"/>
    </i>
    <i r="1">
      <x v="626"/>
    </i>
    <i r="1">
      <x v="599"/>
    </i>
    <i r="1">
      <x v="546"/>
    </i>
    <i r="1">
      <x v="551"/>
    </i>
    <i r="1">
      <x v="537"/>
    </i>
    <i r="1">
      <x v="562"/>
    </i>
    <i r="1">
      <x v="579"/>
    </i>
    <i r="1">
      <x v="566"/>
    </i>
    <i r="1">
      <x v="572"/>
    </i>
    <i r="1">
      <x v="550"/>
    </i>
    <i r="1">
      <x v="557"/>
    </i>
    <i r="1">
      <x v="611"/>
    </i>
    <i r="1">
      <x v="555"/>
    </i>
    <i r="1">
      <x v="571"/>
    </i>
    <i r="1">
      <x v="608"/>
    </i>
    <i r="1">
      <x v="627"/>
    </i>
    <i r="1">
      <x v="570"/>
    </i>
    <i r="1">
      <x v="605"/>
    </i>
    <i r="1">
      <x v="609"/>
    </i>
    <i r="1">
      <x v="603"/>
    </i>
    <i r="1">
      <x v="612"/>
    </i>
    <i r="1">
      <x v="597"/>
    </i>
    <i r="1">
      <x v="581"/>
    </i>
    <i r="1">
      <x v="592"/>
    </i>
    <i r="1">
      <x v="564"/>
    </i>
    <i r="1">
      <x v="529"/>
    </i>
    <i r="1">
      <x v="577"/>
    </i>
    <i r="1">
      <x v="530"/>
    </i>
    <i r="1">
      <x v="539"/>
    </i>
    <i r="1">
      <x v="556"/>
    </i>
    <i r="1">
      <x v="606"/>
    </i>
    <i r="1">
      <x v="559"/>
    </i>
    <i r="1">
      <x v="628"/>
    </i>
    <i r="1">
      <x v="614"/>
    </i>
    <i r="1">
      <x v="589"/>
    </i>
    <i r="1">
      <x v="576"/>
    </i>
    <i r="1">
      <x v="582"/>
    </i>
    <i r="1">
      <x v="587"/>
    </i>
    <i t="grand">
      <x/>
    </i>
  </rowItems>
  <colFields count="1">
    <field x="-2"/>
  </colFields>
  <colItems count="2">
    <i>
      <x/>
    </i>
    <i i="1">
      <x v="1"/>
    </i>
  </colItems>
  <dataFields count="2">
    <dataField name="Sum of GrossRevenue" fld="27" baseField="0" baseItem="0" numFmtId="2"/>
    <dataField name="Cumulative Revenue %" fld="27" baseField="18" baseItem="0" numFmtId="10">
      <extLst>
        <ext xmlns:x14="http://schemas.microsoft.com/office/spreadsheetml/2009/9/main" uri="{E15A36E0-9728-4e99-A89B-3F7291B0FE68}">
          <x14:dataField pivotShowAs="percentOfRunningTotal"/>
        </ext>
      </extLst>
    </dataField>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0.xml><?xml version="1.0" encoding="utf-8"?>
<pivotTableDefinition xmlns="http://schemas.openxmlformats.org/spreadsheetml/2006/main" xmlns:mc="http://schemas.openxmlformats.org/markup-compatibility/2006" xmlns:xr="http://schemas.microsoft.com/office/spreadsheetml/2014/revision" mc:Ignorable="xr" xr:uid="{2AA2C92B-BF58-47EB-A7E4-AA884935F17B}" name="salesperson productivity" cacheId="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3:D19" firstHeaderRow="0" firstDataRow="1" firstDataCol="1"/>
  <pivotFields count="36">
    <pivotField dataField="1" showAll="0"/>
    <pivotField numFmtId="165" showAll="0"/>
    <pivotField numFmtId="167" showAll="0">
      <items count="469">
        <item x="5"/>
        <item x="455"/>
        <item x="271"/>
        <item x="415"/>
        <item x="181"/>
        <item x="7"/>
        <item x="371"/>
        <item x="184"/>
        <item x="119"/>
        <item x="424"/>
        <item x="122"/>
        <item x="171"/>
        <item x="180"/>
        <item x="312"/>
        <item x="23"/>
        <item x="77"/>
        <item x="426"/>
        <item x="62"/>
        <item x="152"/>
        <item x="147"/>
        <item x="361"/>
        <item x="29"/>
        <item x="159"/>
        <item x="452"/>
        <item x="2"/>
        <item x="107"/>
        <item x="432"/>
        <item x="226"/>
        <item x="336"/>
        <item x="206"/>
        <item x="315"/>
        <item x="211"/>
        <item x="342"/>
        <item x="64"/>
        <item x="278"/>
        <item x="150"/>
        <item x="33"/>
        <item x="50"/>
        <item x="451"/>
        <item x="163"/>
        <item x="89"/>
        <item x="458"/>
        <item x="125"/>
        <item x="290"/>
        <item x="27"/>
        <item x="387"/>
        <item x="153"/>
        <item x="43"/>
        <item x="67"/>
        <item x="460"/>
        <item x="15"/>
        <item x="441"/>
        <item x="410"/>
        <item x="129"/>
        <item x="449"/>
        <item x="177"/>
        <item x="275"/>
        <item x="239"/>
        <item x="406"/>
        <item x="20"/>
        <item x="382"/>
        <item x="362"/>
        <item x="72"/>
        <item x="207"/>
        <item x="373"/>
        <item x="234"/>
        <item x="328"/>
        <item x="408"/>
        <item x="446"/>
        <item x="308"/>
        <item x="109"/>
        <item x="280"/>
        <item x="367"/>
        <item x="75"/>
        <item x="251"/>
        <item x="37"/>
        <item x="264"/>
        <item x="169"/>
        <item x="44"/>
        <item x="87"/>
        <item x="85"/>
        <item x="306"/>
        <item x="186"/>
        <item x="140"/>
        <item x="133"/>
        <item x="422"/>
        <item x="425"/>
        <item x="376"/>
        <item x="47"/>
        <item x="289"/>
        <item x="386"/>
        <item x="256"/>
        <item x="172"/>
        <item x="370"/>
        <item x="245"/>
        <item x="288"/>
        <item x="131"/>
        <item x="203"/>
        <item x="443"/>
        <item x="242"/>
        <item x="235"/>
        <item x="174"/>
        <item x="389"/>
        <item x="115"/>
        <item x="183"/>
        <item x="419"/>
        <item x="66"/>
        <item x="114"/>
        <item x="260"/>
        <item x="417"/>
        <item x="343"/>
        <item x="200"/>
        <item x="161"/>
        <item x="345"/>
        <item x="52"/>
        <item x="429"/>
        <item x="137"/>
        <item x="459"/>
        <item x="73"/>
        <item x="216"/>
        <item x="364"/>
        <item x="158"/>
        <item x="199"/>
        <item x="323"/>
        <item x="204"/>
        <item x="231"/>
        <item x="155"/>
        <item x="327"/>
        <item x="233"/>
        <item x="348"/>
        <item x="176"/>
        <item x="358"/>
        <item x="259"/>
        <item x="282"/>
        <item x="391"/>
        <item x="324"/>
        <item x="250"/>
        <item x="143"/>
        <item x="193"/>
        <item x="276"/>
        <item x="285"/>
        <item x="112"/>
        <item x="106"/>
        <item x="214"/>
        <item x="134"/>
        <item x="294"/>
        <item x="297"/>
        <item x="63"/>
        <item x="374"/>
        <item x="4"/>
        <item x="141"/>
        <item x="340"/>
        <item x="380"/>
        <item x="202"/>
        <item x="195"/>
        <item x="295"/>
        <item x="81"/>
        <item x="240"/>
        <item x="311"/>
        <item x="423"/>
        <item x="113"/>
        <item x="360"/>
        <item x="300"/>
        <item x="279"/>
        <item x="435"/>
        <item x="241"/>
        <item x="39"/>
        <item x="182"/>
        <item x="94"/>
        <item x="347"/>
        <item x="303"/>
        <item x="13"/>
        <item x="84"/>
        <item x="436"/>
        <item x="247"/>
        <item x="10"/>
        <item x="145"/>
        <item x="162"/>
        <item x="383"/>
        <item x="437"/>
        <item x="179"/>
        <item x="128"/>
        <item x="221"/>
        <item x="292"/>
        <item x="142"/>
        <item x="351"/>
        <item x="439"/>
        <item x="354"/>
        <item x="352"/>
        <item x="194"/>
        <item x="397"/>
        <item x="263"/>
        <item x="314"/>
        <item x="428"/>
        <item x="220"/>
        <item x="34"/>
        <item x="307"/>
        <item x="58"/>
        <item x="0"/>
        <item x="450"/>
        <item x="227"/>
        <item x="246"/>
        <item x="68"/>
        <item x="363"/>
        <item x="265"/>
        <item x="248"/>
        <item x="215"/>
        <item x="244"/>
        <item x="149"/>
        <item x="136"/>
        <item x="403"/>
        <item x="82"/>
        <item x="286"/>
        <item x="70"/>
        <item x="413"/>
        <item x="31"/>
        <item x="36"/>
        <item x="395"/>
        <item x="412"/>
        <item x="400"/>
        <item x="230"/>
        <item x="372"/>
        <item x="8"/>
        <item x="375"/>
        <item x="322"/>
        <item x="385"/>
        <item x="393"/>
        <item x="45"/>
        <item x="313"/>
        <item x="22"/>
        <item x="173"/>
        <item x="42"/>
        <item x="98"/>
        <item x="65"/>
        <item x="154"/>
        <item x="398"/>
        <item x="91"/>
        <item x="118"/>
        <item x="101"/>
        <item x="368"/>
        <item x="151"/>
        <item x="416"/>
        <item x="344"/>
        <item x="116"/>
        <item x="274"/>
        <item x="102"/>
        <item x="103"/>
        <item x="369"/>
        <item x="132"/>
        <item x="249"/>
        <item x="269"/>
        <item x="304"/>
        <item x="463"/>
        <item x="104"/>
        <item x="24"/>
        <item x="411"/>
        <item x="287"/>
        <item x="293"/>
        <item x="157"/>
        <item x="320"/>
        <item x="26"/>
        <item x="334"/>
        <item x="19"/>
        <item x="465"/>
        <item x="228"/>
        <item x="453"/>
        <item x="447"/>
        <item x="399"/>
        <item x="144"/>
        <item x="298"/>
        <item x="326"/>
        <item x="175"/>
        <item x="99"/>
        <item x="421"/>
        <item x="456"/>
        <item x="353"/>
        <item x="396"/>
        <item x="365"/>
        <item x="32"/>
        <item x="38"/>
        <item x="74"/>
        <item x="341"/>
        <item x="434"/>
        <item x="225"/>
        <item x="209"/>
        <item x="210"/>
        <item x="331"/>
        <item x="255"/>
        <item x="191"/>
        <item x="187"/>
        <item x="212"/>
        <item x="97"/>
        <item x="197"/>
        <item x="178"/>
        <item x="138"/>
        <item x="366"/>
        <item x="189"/>
        <item x="166"/>
        <item x="88"/>
        <item x="238"/>
        <item x="156"/>
        <item x="407"/>
        <item x="196"/>
        <item x="464"/>
        <item x="46"/>
        <item x="100"/>
        <item x="49"/>
        <item x="462"/>
        <item x="168"/>
        <item x="1"/>
        <item x="404"/>
        <item x="40"/>
        <item x="229"/>
        <item x="291"/>
        <item x="148"/>
        <item x="356"/>
        <item x="61"/>
        <item x="273"/>
        <item x="333"/>
        <item x="48"/>
        <item x="299"/>
        <item x="223"/>
        <item x="444"/>
        <item x="405"/>
        <item x="392"/>
        <item x="127"/>
        <item x="76"/>
        <item x="379"/>
        <item x="302"/>
        <item x="461"/>
        <item x="25"/>
        <item x="219"/>
        <item x="96"/>
        <item x="430"/>
        <item x="390"/>
        <item x="16"/>
        <item x="330"/>
        <item x="126"/>
        <item x="71"/>
        <item x="55"/>
        <item x="337"/>
        <item x="124"/>
        <item x="130"/>
        <item x="359"/>
        <item x="6"/>
        <item x="357"/>
        <item x="272"/>
        <item x="11"/>
        <item x="409"/>
        <item x="316"/>
        <item x="123"/>
        <item x="420"/>
        <item x="283"/>
        <item x="170"/>
        <item x="105"/>
        <item x="335"/>
        <item x="51"/>
        <item x="266"/>
        <item x="93"/>
        <item x="192"/>
        <item x="318"/>
        <item x="167"/>
        <item x="185"/>
        <item x="317"/>
        <item x="414"/>
        <item x="54"/>
        <item x="120"/>
        <item x="146"/>
        <item x="433"/>
        <item x="454"/>
        <item x="243"/>
        <item x="338"/>
        <item x="349"/>
        <item x="467"/>
        <item x="121"/>
        <item x="12"/>
        <item x="339"/>
        <item x="402"/>
        <item x="418"/>
        <item x="252"/>
        <item x="310"/>
        <item x="309"/>
        <item x="381"/>
        <item x="401"/>
        <item x="80"/>
        <item x="3"/>
        <item x="258"/>
        <item x="95"/>
        <item x="277"/>
        <item x="254"/>
        <item x="53"/>
        <item x="28"/>
        <item x="69"/>
        <item x="377"/>
        <item x="261"/>
        <item x="332"/>
        <item x="440"/>
        <item x="160"/>
        <item x="139"/>
        <item x="448"/>
        <item x="222"/>
        <item x="79"/>
        <item x="208"/>
        <item x="60"/>
        <item x="86"/>
        <item x="57"/>
        <item x="355"/>
        <item x="267"/>
        <item x="321"/>
        <item x="78"/>
        <item x="394"/>
        <item x="217"/>
        <item x="253"/>
        <item x="270"/>
        <item x="281"/>
        <item x="9"/>
        <item x="329"/>
        <item x="41"/>
        <item x="262"/>
        <item x="108"/>
        <item x="346"/>
        <item x="56"/>
        <item x="21"/>
        <item x="325"/>
        <item x="296"/>
        <item x="111"/>
        <item x="236"/>
        <item x="268"/>
        <item x="35"/>
        <item x="305"/>
        <item x="438"/>
        <item x="232"/>
        <item x="350"/>
        <item x="110"/>
        <item x="445"/>
        <item x="190"/>
        <item x="201"/>
        <item x="213"/>
        <item x="466"/>
        <item x="18"/>
        <item x="188"/>
        <item x="92"/>
        <item x="319"/>
        <item x="30"/>
        <item x="378"/>
        <item x="90"/>
        <item x="218"/>
        <item x="442"/>
        <item x="117"/>
        <item x="431"/>
        <item x="83"/>
        <item x="205"/>
        <item x="457"/>
        <item x="384"/>
        <item x="301"/>
        <item x="427"/>
        <item x="164"/>
        <item x="198"/>
        <item x="257"/>
        <item x="388"/>
        <item x="14"/>
        <item x="237"/>
        <item x="17"/>
        <item x="59"/>
        <item x="135"/>
        <item x="224"/>
        <item x="284"/>
        <item x="165"/>
        <item t="default"/>
      </items>
    </pivotField>
    <pivotField showAll="0"/>
    <pivotField numFmtId="165" showAll="0"/>
    <pivotField numFmtId="165" showAll="0"/>
    <pivotField numFmtId="1" showAll="0"/>
    <pivotField numFmtId="1" showAll="0"/>
    <pivotField showAll="0"/>
    <pivotField numFmtId="164" showAll="0">
      <items count="12">
        <item x="3"/>
        <item x="10"/>
        <item x="6"/>
        <item x="8"/>
        <item x="9"/>
        <item x="1"/>
        <item x="7"/>
        <item x="0"/>
        <item x="5"/>
        <item x="4"/>
        <item x="2"/>
        <item t="default"/>
      </items>
    </pivotField>
    <pivotField showAll="0"/>
    <pivotField showAll="0"/>
    <pivotField showAll="0"/>
    <pivotField showAll="0"/>
    <pivotField showAll="0"/>
    <pivotField showAll="0"/>
    <pivotField axis="axisRow" showAll="0">
      <items count="16">
        <item x="8"/>
        <item x="5"/>
        <item x="0"/>
        <item sd="0" x="14"/>
        <item sd="0" x="6"/>
        <item sd="0" x="9"/>
        <item sd="0" x="3"/>
        <item sd="0" x="10"/>
        <item sd="0" x="2"/>
        <item sd="0" x="1"/>
        <item sd="0" x="11"/>
        <item sd="0" x="4"/>
        <item sd="0" x="12"/>
        <item sd="0" x="13"/>
        <item sd="0" x="7"/>
        <item t="default"/>
      </items>
    </pivotField>
    <pivotField showAll="0"/>
    <pivotField showAll="0"/>
    <pivotField numFmtId="4" showAll="0"/>
    <pivotField numFmtId="2" showAll="0"/>
    <pivotField numFmtId="2" showAll="0"/>
    <pivotField showAll="0"/>
    <pivotField numFmtId="9" showAll="0"/>
    <pivotField numFmtId="9" showAll="0"/>
    <pivotField showAll="0"/>
    <pivotField numFmtId="1" showAll="0"/>
    <pivotField dataField="1" numFmtId="2" showAll="0"/>
    <pivotField numFmtId="2" showAll="0"/>
    <pivotField dataField="1" numFmtId="2" showAll="0"/>
    <pivotField numFmtId="9" showAll="0"/>
    <pivotField showAll="0" defaultSubtotal="0">
      <items count="14">
        <item sd="0" x="0"/>
        <item sd="0" x="1"/>
        <item sd="0" x="2"/>
        <item sd="0" x="3"/>
        <item sd="0" x="4"/>
        <item sd="0" x="5"/>
        <item sd="0" x="6"/>
        <item sd="0" x="7"/>
        <item sd="0" x="8"/>
        <item sd="0" x="9"/>
        <item sd="0" x="10"/>
        <item sd="0" x="11"/>
        <item sd="0" x="12"/>
        <item sd="0" x="13"/>
      </items>
    </pivotField>
    <pivotField showAll="0" defaultSubtotal="0">
      <items count="6">
        <item sd="0" x="0"/>
        <item sd="0" x="1"/>
        <item sd="0" x="2"/>
        <item sd="0" x="3"/>
        <item sd="0" x="4"/>
        <item sd="0" x="5"/>
      </items>
    </pivotField>
    <pivotField showAll="0" defaultSubtotal="0">
      <items count="5">
        <item sd="0" x="0"/>
        <item x="1"/>
        <item sd="0" x="2"/>
        <item sd="0" x="3"/>
        <item sd="0" x="4"/>
      </items>
    </pivotField>
    <pivotField showAll="0" defaultSubtotal="0"/>
    <pivotField showAll="0" defaultSubtotal="0">
      <items count="14">
        <item x="0"/>
        <item x="1"/>
        <item x="2"/>
        <item x="3"/>
        <item x="4"/>
        <item x="5"/>
        <item x="6"/>
        <item x="7"/>
        <item x="8"/>
        <item x="9"/>
        <item x="10"/>
        <item x="11"/>
        <item x="12"/>
        <item x="13"/>
      </items>
    </pivotField>
  </pivotFields>
  <rowFields count="1">
    <field x="16"/>
  </rowFields>
  <rowItems count="16">
    <i>
      <x/>
    </i>
    <i>
      <x v="1"/>
    </i>
    <i>
      <x v="2"/>
    </i>
    <i>
      <x v="3"/>
    </i>
    <i>
      <x v="4"/>
    </i>
    <i>
      <x v="5"/>
    </i>
    <i>
      <x v="6"/>
    </i>
    <i>
      <x v="7"/>
    </i>
    <i>
      <x v="8"/>
    </i>
    <i>
      <x v="9"/>
    </i>
    <i>
      <x v="10"/>
    </i>
    <i>
      <x v="11"/>
    </i>
    <i>
      <x v="12"/>
    </i>
    <i>
      <x v="13"/>
    </i>
    <i>
      <x v="14"/>
    </i>
    <i t="grand">
      <x/>
    </i>
  </rowItems>
  <colFields count="1">
    <field x="-2"/>
  </colFields>
  <colItems count="3">
    <i>
      <x/>
    </i>
    <i i="1">
      <x v="1"/>
    </i>
    <i i="2">
      <x v="2"/>
    </i>
  </colItems>
  <dataFields count="3">
    <dataField name="Sum of GrossRevenue" fld="27" baseField="0" baseItem="0" numFmtId="2"/>
    <dataField name="Sum of GrossProfit" fld="29" baseField="0" baseItem="0" numFmtId="2"/>
    <dataField name="Count of OrderID" fld="0" subtotal="count"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1.xml><?xml version="1.0" encoding="utf-8"?>
<pivotTableDefinition xmlns="http://schemas.openxmlformats.org/spreadsheetml/2006/main" xmlns:mc="http://schemas.openxmlformats.org/markup-compatibility/2006" xmlns:xr="http://schemas.microsoft.com/office/spreadsheetml/2014/revision" mc:Ignorable="xr" xr:uid="{21700541-0425-45C9-9E21-8DC4D7FB1EFF}" name="channel cannibalization" cacheId="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3:G9" firstHeaderRow="1" firstDataRow="2" firstDataCol="1"/>
  <pivotFields count="36">
    <pivotField showAll="0"/>
    <pivotField numFmtId="165" showAll="0"/>
    <pivotField numFmtId="167" showAll="0">
      <items count="469">
        <item x="5"/>
        <item x="455"/>
        <item x="271"/>
        <item x="415"/>
        <item x="181"/>
        <item x="7"/>
        <item x="371"/>
        <item x="184"/>
        <item x="119"/>
        <item x="424"/>
        <item x="122"/>
        <item x="171"/>
        <item x="180"/>
        <item x="312"/>
        <item x="23"/>
        <item x="77"/>
        <item x="426"/>
        <item x="62"/>
        <item x="152"/>
        <item x="147"/>
        <item x="361"/>
        <item x="29"/>
        <item x="159"/>
        <item x="452"/>
        <item x="2"/>
        <item x="107"/>
        <item x="432"/>
        <item x="226"/>
        <item x="336"/>
        <item x="206"/>
        <item x="315"/>
        <item x="211"/>
        <item x="342"/>
        <item x="64"/>
        <item x="278"/>
        <item x="150"/>
        <item x="33"/>
        <item x="50"/>
        <item x="451"/>
        <item x="163"/>
        <item x="89"/>
        <item x="458"/>
        <item x="125"/>
        <item x="290"/>
        <item x="27"/>
        <item x="387"/>
        <item x="153"/>
        <item x="43"/>
        <item x="67"/>
        <item x="460"/>
        <item x="15"/>
        <item x="441"/>
        <item x="410"/>
        <item x="129"/>
        <item x="449"/>
        <item x="177"/>
        <item x="275"/>
        <item x="239"/>
        <item x="406"/>
        <item x="20"/>
        <item x="382"/>
        <item x="362"/>
        <item x="72"/>
        <item x="207"/>
        <item x="373"/>
        <item x="234"/>
        <item x="328"/>
        <item x="408"/>
        <item x="446"/>
        <item x="308"/>
        <item x="109"/>
        <item x="280"/>
        <item x="367"/>
        <item x="75"/>
        <item x="251"/>
        <item x="37"/>
        <item x="264"/>
        <item x="169"/>
        <item x="44"/>
        <item x="87"/>
        <item x="85"/>
        <item x="306"/>
        <item x="186"/>
        <item x="140"/>
        <item x="133"/>
        <item x="422"/>
        <item x="425"/>
        <item x="376"/>
        <item x="47"/>
        <item x="289"/>
        <item x="386"/>
        <item x="256"/>
        <item x="172"/>
        <item x="370"/>
        <item x="245"/>
        <item x="288"/>
        <item x="131"/>
        <item x="203"/>
        <item x="443"/>
        <item x="242"/>
        <item x="235"/>
        <item x="174"/>
        <item x="389"/>
        <item x="115"/>
        <item x="183"/>
        <item x="419"/>
        <item x="66"/>
        <item x="114"/>
        <item x="260"/>
        <item x="417"/>
        <item x="343"/>
        <item x="200"/>
        <item x="161"/>
        <item x="345"/>
        <item x="52"/>
        <item x="429"/>
        <item x="137"/>
        <item x="459"/>
        <item x="73"/>
        <item x="216"/>
        <item x="364"/>
        <item x="158"/>
        <item x="199"/>
        <item x="323"/>
        <item x="204"/>
        <item x="231"/>
        <item x="155"/>
        <item x="327"/>
        <item x="233"/>
        <item x="348"/>
        <item x="176"/>
        <item x="358"/>
        <item x="259"/>
        <item x="282"/>
        <item x="391"/>
        <item x="324"/>
        <item x="250"/>
        <item x="143"/>
        <item x="193"/>
        <item x="276"/>
        <item x="285"/>
        <item x="112"/>
        <item x="106"/>
        <item x="214"/>
        <item x="134"/>
        <item x="294"/>
        <item x="297"/>
        <item x="63"/>
        <item x="374"/>
        <item x="4"/>
        <item x="141"/>
        <item x="340"/>
        <item x="380"/>
        <item x="202"/>
        <item x="195"/>
        <item x="295"/>
        <item x="81"/>
        <item x="240"/>
        <item x="311"/>
        <item x="423"/>
        <item x="113"/>
        <item x="360"/>
        <item x="300"/>
        <item x="279"/>
        <item x="435"/>
        <item x="241"/>
        <item x="39"/>
        <item x="182"/>
        <item x="94"/>
        <item x="347"/>
        <item x="303"/>
        <item x="13"/>
        <item x="84"/>
        <item x="436"/>
        <item x="247"/>
        <item x="10"/>
        <item x="145"/>
        <item x="162"/>
        <item x="383"/>
        <item x="437"/>
        <item x="179"/>
        <item x="128"/>
        <item x="221"/>
        <item x="292"/>
        <item x="142"/>
        <item x="351"/>
        <item x="439"/>
        <item x="354"/>
        <item x="352"/>
        <item x="194"/>
        <item x="397"/>
        <item x="263"/>
        <item x="314"/>
        <item x="428"/>
        <item x="220"/>
        <item x="34"/>
        <item x="307"/>
        <item x="58"/>
        <item x="0"/>
        <item x="450"/>
        <item x="227"/>
        <item x="246"/>
        <item x="68"/>
        <item x="363"/>
        <item x="265"/>
        <item x="248"/>
        <item x="215"/>
        <item x="244"/>
        <item x="149"/>
        <item x="136"/>
        <item x="403"/>
        <item x="82"/>
        <item x="286"/>
        <item x="70"/>
        <item x="413"/>
        <item x="31"/>
        <item x="36"/>
        <item x="395"/>
        <item x="412"/>
        <item x="400"/>
        <item x="230"/>
        <item x="372"/>
        <item x="8"/>
        <item x="375"/>
        <item x="322"/>
        <item x="385"/>
        <item x="393"/>
        <item x="45"/>
        <item x="313"/>
        <item x="22"/>
        <item x="173"/>
        <item x="42"/>
        <item x="98"/>
        <item x="65"/>
        <item x="154"/>
        <item x="398"/>
        <item x="91"/>
        <item x="118"/>
        <item x="101"/>
        <item x="368"/>
        <item x="151"/>
        <item x="416"/>
        <item x="344"/>
        <item x="116"/>
        <item x="274"/>
        <item x="102"/>
        <item x="103"/>
        <item x="369"/>
        <item x="132"/>
        <item x="249"/>
        <item x="269"/>
        <item x="304"/>
        <item x="463"/>
        <item x="104"/>
        <item x="24"/>
        <item x="411"/>
        <item x="287"/>
        <item x="293"/>
        <item x="157"/>
        <item x="320"/>
        <item x="26"/>
        <item x="334"/>
        <item x="19"/>
        <item x="465"/>
        <item x="228"/>
        <item x="453"/>
        <item x="447"/>
        <item x="399"/>
        <item x="144"/>
        <item x="298"/>
        <item x="326"/>
        <item x="175"/>
        <item x="99"/>
        <item x="421"/>
        <item x="456"/>
        <item x="353"/>
        <item x="396"/>
        <item x="365"/>
        <item x="32"/>
        <item x="38"/>
        <item x="74"/>
        <item x="341"/>
        <item x="434"/>
        <item x="225"/>
        <item x="209"/>
        <item x="210"/>
        <item x="331"/>
        <item x="255"/>
        <item x="191"/>
        <item x="187"/>
        <item x="212"/>
        <item x="97"/>
        <item x="197"/>
        <item x="178"/>
        <item x="138"/>
        <item x="366"/>
        <item x="189"/>
        <item x="166"/>
        <item x="88"/>
        <item x="238"/>
        <item x="156"/>
        <item x="407"/>
        <item x="196"/>
        <item x="464"/>
        <item x="46"/>
        <item x="100"/>
        <item x="49"/>
        <item x="462"/>
        <item x="168"/>
        <item x="1"/>
        <item x="404"/>
        <item x="40"/>
        <item x="229"/>
        <item x="291"/>
        <item x="148"/>
        <item x="356"/>
        <item x="61"/>
        <item x="273"/>
        <item x="333"/>
        <item x="48"/>
        <item x="299"/>
        <item x="223"/>
        <item x="444"/>
        <item x="405"/>
        <item x="392"/>
        <item x="127"/>
        <item x="76"/>
        <item x="379"/>
        <item x="302"/>
        <item x="461"/>
        <item x="25"/>
        <item x="219"/>
        <item x="96"/>
        <item x="430"/>
        <item x="390"/>
        <item x="16"/>
        <item x="330"/>
        <item x="126"/>
        <item x="71"/>
        <item x="55"/>
        <item x="337"/>
        <item x="124"/>
        <item x="130"/>
        <item x="359"/>
        <item x="6"/>
        <item x="357"/>
        <item x="272"/>
        <item x="11"/>
        <item x="409"/>
        <item x="316"/>
        <item x="123"/>
        <item x="420"/>
        <item x="283"/>
        <item x="170"/>
        <item x="105"/>
        <item x="335"/>
        <item x="51"/>
        <item x="266"/>
        <item x="93"/>
        <item x="192"/>
        <item x="318"/>
        <item x="167"/>
        <item x="185"/>
        <item x="317"/>
        <item x="414"/>
        <item x="54"/>
        <item x="120"/>
        <item x="146"/>
        <item x="433"/>
        <item x="454"/>
        <item x="243"/>
        <item x="338"/>
        <item x="349"/>
        <item x="467"/>
        <item x="121"/>
        <item x="12"/>
        <item x="339"/>
        <item x="402"/>
        <item x="418"/>
        <item x="252"/>
        <item x="310"/>
        <item x="309"/>
        <item x="381"/>
        <item x="401"/>
        <item x="80"/>
        <item x="3"/>
        <item x="258"/>
        <item x="95"/>
        <item x="277"/>
        <item x="254"/>
        <item x="53"/>
        <item x="28"/>
        <item x="69"/>
        <item x="377"/>
        <item x="261"/>
        <item x="332"/>
        <item x="440"/>
        <item x="160"/>
        <item x="139"/>
        <item x="448"/>
        <item x="222"/>
        <item x="79"/>
        <item x="208"/>
        <item x="60"/>
        <item x="86"/>
        <item x="57"/>
        <item x="355"/>
        <item x="267"/>
        <item x="321"/>
        <item x="78"/>
        <item x="394"/>
        <item x="217"/>
        <item x="253"/>
        <item x="270"/>
        <item x="281"/>
        <item x="9"/>
        <item x="329"/>
        <item x="41"/>
        <item x="262"/>
        <item x="108"/>
        <item x="346"/>
        <item x="56"/>
        <item x="21"/>
        <item x="325"/>
        <item x="296"/>
        <item x="111"/>
        <item x="236"/>
        <item x="268"/>
        <item x="35"/>
        <item x="305"/>
        <item x="438"/>
        <item x="232"/>
        <item x="350"/>
        <item x="110"/>
        <item x="445"/>
        <item x="190"/>
        <item x="201"/>
        <item x="213"/>
        <item x="466"/>
        <item x="18"/>
        <item x="188"/>
        <item x="92"/>
        <item x="319"/>
        <item x="30"/>
        <item x="378"/>
        <item x="90"/>
        <item x="218"/>
        <item x="442"/>
        <item x="117"/>
        <item x="431"/>
        <item x="83"/>
        <item x="205"/>
        <item x="457"/>
        <item x="384"/>
        <item x="301"/>
        <item x="427"/>
        <item x="164"/>
        <item x="198"/>
        <item x="257"/>
        <item x="388"/>
        <item x="14"/>
        <item x="237"/>
        <item x="17"/>
        <item x="59"/>
        <item x="135"/>
        <item x="224"/>
        <item x="284"/>
        <item x="165"/>
        <item t="default"/>
      </items>
    </pivotField>
    <pivotField showAll="0"/>
    <pivotField numFmtId="165" showAll="0"/>
    <pivotField numFmtId="165" showAll="0"/>
    <pivotField numFmtId="1" showAll="0"/>
    <pivotField numFmtId="1" showAll="0"/>
    <pivotField showAll="0"/>
    <pivotField numFmtId="164" showAll="0">
      <items count="12">
        <item x="3"/>
        <item x="10"/>
        <item x="6"/>
        <item x="8"/>
        <item x="9"/>
        <item x="1"/>
        <item x="7"/>
        <item x="0"/>
        <item x="5"/>
        <item x="4"/>
        <item x="2"/>
        <item t="default"/>
      </items>
    </pivotField>
    <pivotField axis="axisRow" showAll="0">
      <items count="5">
        <item x="0"/>
        <item x="2"/>
        <item x="1"/>
        <item x="3"/>
        <item t="default"/>
      </items>
    </pivotField>
    <pivotField showAll="0"/>
    <pivotField showAll="0"/>
    <pivotField showAll="0"/>
    <pivotField showAll="0"/>
    <pivotField axis="axisCol" showAll="0">
      <items count="6">
        <item x="4"/>
        <item x="3"/>
        <item x="2"/>
        <item x="1"/>
        <item x="0"/>
        <item t="default"/>
      </items>
    </pivotField>
    <pivotField showAll="0"/>
    <pivotField showAll="0"/>
    <pivotField showAll="0"/>
    <pivotField numFmtId="4" showAll="0"/>
    <pivotField numFmtId="2" showAll="0"/>
    <pivotField numFmtId="2" showAll="0"/>
    <pivotField showAll="0"/>
    <pivotField numFmtId="9" showAll="0"/>
    <pivotField numFmtId="9" showAll="0"/>
    <pivotField showAll="0"/>
    <pivotField numFmtId="1" showAll="0"/>
    <pivotField dataField="1" numFmtId="2" showAll="0"/>
    <pivotField numFmtId="2" showAll="0"/>
    <pivotField numFmtId="2" showAll="0"/>
    <pivotField numFmtId="9" showAll="0"/>
    <pivotField showAll="0" defaultSubtotal="0"/>
    <pivotField showAll="0" defaultSubtotal="0"/>
    <pivotField showAll="0" defaultSubtotal="0">
      <items count="5">
        <item x="0"/>
        <item x="1"/>
        <item x="2"/>
        <item x="3"/>
        <item x="4"/>
      </items>
    </pivotField>
    <pivotField showAll="0" defaultSubtotal="0"/>
    <pivotField showAll="0" defaultSubtotal="0">
      <items count="14">
        <item x="0"/>
        <item x="1"/>
        <item x="2"/>
        <item x="3"/>
        <item x="4"/>
        <item x="5"/>
        <item x="6"/>
        <item x="7"/>
        <item x="8"/>
        <item x="9"/>
        <item x="10"/>
        <item x="11"/>
        <item x="12"/>
        <item x="13"/>
      </items>
    </pivotField>
  </pivotFields>
  <rowFields count="1">
    <field x="10"/>
  </rowFields>
  <rowItems count="5">
    <i>
      <x/>
    </i>
    <i>
      <x v="1"/>
    </i>
    <i>
      <x v="2"/>
    </i>
    <i>
      <x v="3"/>
    </i>
    <i t="grand">
      <x/>
    </i>
  </rowItems>
  <colFields count="1">
    <field x="15"/>
  </colFields>
  <colItems count="6">
    <i>
      <x/>
    </i>
    <i>
      <x v="1"/>
    </i>
    <i>
      <x v="2"/>
    </i>
    <i>
      <x v="3"/>
    </i>
    <i>
      <x v="4"/>
    </i>
    <i t="grand">
      <x/>
    </i>
  </colItems>
  <dataFields count="1">
    <dataField name="Sum of GrossRevenue" fld="27" showDataAs="percentOfRow" baseField="0" baseItem="0" numFmtId="10"/>
  </dataFields>
  <conditionalFormats count="1">
    <conditionalFormat priority="1">
      <pivotAreas count="4">
        <pivotArea type="data" collapsedLevelsAreSubtotals="1" fieldPosition="0">
          <references count="3">
            <reference field="4294967294" count="1" selected="0">
              <x v="0"/>
            </reference>
            <reference field="10" count="1">
              <x v="1"/>
            </reference>
            <reference field="15" count="1" selected="0">
              <x v="3"/>
            </reference>
          </references>
        </pivotArea>
        <pivotArea type="data" collapsedLevelsAreSubtotals="1" fieldPosition="0">
          <references count="3">
            <reference field="4294967294" count="1" selected="0">
              <x v="0"/>
            </reference>
            <reference field="10" count="1">
              <x v="3"/>
            </reference>
            <reference field="15" count="1" selected="0">
              <x v="3"/>
            </reference>
          </references>
        </pivotArea>
        <pivotArea type="data" collapsedLevelsAreSubtotals="1" fieldPosition="0">
          <references count="3">
            <reference field="4294967294" count="1" selected="0">
              <x v="0"/>
            </reference>
            <reference field="10" count="1">
              <x v="1"/>
            </reference>
            <reference field="15" count="1" selected="0">
              <x v="4"/>
            </reference>
          </references>
        </pivotArea>
        <pivotArea type="data" collapsedLevelsAreSubtotals="1" fieldPosition="0">
          <references count="3">
            <reference field="4294967294" count="1" selected="0">
              <x v="0"/>
            </reference>
            <reference field="10" count="1">
              <x v="3"/>
            </reference>
            <reference field="15" count="1" selected="0">
              <x v="4"/>
            </reference>
          </references>
        </pivotArea>
      </pivotAreas>
    </conditionalFormat>
  </conditional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2.xml><?xml version="1.0" encoding="utf-8"?>
<pivotTableDefinition xmlns="http://schemas.openxmlformats.org/spreadsheetml/2006/main" xmlns:mc="http://schemas.openxmlformats.org/markup-compatibility/2006" xmlns:xr="http://schemas.microsoft.com/office/spreadsheetml/2014/revision" mc:Ignorable="xr" xr:uid="{77C74E05-5716-474E-B3F2-8059290920FC}" name="7 Day target" cacheId="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3:D101" firstHeaderRow="1" firstDataRow="2" firstDataCol="1"/>
  <pivotFields count="36">
    <pivotField dataField="1" showAll="0"/>
    <pivotField numFmtId="165" showAll="0"/>
    <pivotField numFmtId="167" showAll="0">
      <items count="469">
        <item x="5"/>
        <item x="455"/>
        <item x="271"/>
        <item x="415"/>
        <item x="181"/>
        <item x="7"/>
        <item x="371"/>
        <item x="184"/>
        <item x="119"/>
        <item x="424"/>
        <item x="122"/>
        <item x="171"/>
        <item x="180"/>
        <item x="312"/>
        <item x="23"/>
        <item x="77"/>
        <item x="426"/>
        <item x="62"/>
        <item x="152"/>
        <item x="147"/>
        <item x="361"/>
        <item x="29"/>
        <item x="159"/>
        <item x="452"/>
        <item x="2"/>
        <item x="107"/>
        <item x="432"/>
        <item x="226"/>
        <item x="336"/>
        <item x="206"/>
        <item x="315"/>
        <item x="211"/>
        <item x="342"/>
        <item x="64"/>
        <item x="278"/>
        <item x="150"/>
        <item x="33"/>
        <item x="50"/>
        <item x="451"/>
        <item x="163"/>
        <item x="89"/>
        <item x="458"/>
        <item x="125"/>
        <item x="290"/>
        <item x="27"/>
        <item x="387"/>
        <item x="153"/>
        <item x="43"/>
        <item x="67"/>
        <item x="460"/>
        <item x="15"/>
        <item x="441"/>
        <item x="410"/>
        <item x="129"/>
        <item x="449"/>
        <item x="177"/>
        <item x="275"/>
        <item x="239"/>
        <item x="406"/>
        <item x="20"/>
        <item x="382"/>
        <item x="362"/>
        <item x="72"/>
        <item x="207"/>
        <item x="373"/>
        <item x="234"/>
        <item x="328"/>
        <item x="408"/>
        <item x="446"/>
        <item x="308"/>
        <item x="109"/>
        <item x="280"/>
        <item x="367"/>
        <item x="75"/>
        <item x="251"/>
        <item x="37"/>
        <item x="264"/>
        <item x="169"/>
        <item x="44"/>
        <item x="87"/>
        <item x="85"/>
        <item x="306"/>
        <item x="186"/>
        <item x="140"/>
        <item x="133"/>
        <item x="422"/>
        <item x="425"/>
        <item x="376"/>
        <item x="47"/>
        <item x="289"/>
        <item x="386"/>
        <item x="256"/>
        <item x="172"/>
        <item x="370"/>
        <item x="245"/>
        <item x="288"/>
        <item x="131"/>
        <item x="203"/>
        <item x="443"/>
        <item x="242"/>
        <item x="235"/>
        <item x="174"/>
        <item x="389"/>
        <item x="115"/>
        <item x="183"/>
        <item x="419"/>
        <item x="66"/>
        <item x="114"/>
        <item x="260"/>
        <item x="417"/>
        <item x="343"/>
        <item x="200"/>
        <item x="161"/>
        <item x="345"/>
        <item x="52"/>
        <item x="429"/>
        <item x="137"/>
        <item x="459"/>
        <item x="73"/>
        <item x="216"/>
        <item x="364"/>
        <item x="158"/>
        <item x="199"/>
        <item x="323"/>
        <item x="204"/>
        <item x="231"/>
        <item x="155"/>
        <item x="327"/>
        <item x="233"/>
        <item x="348"/>
        <item x="176"/>
        <item x="358"/>
        <item x="259"/>
        <item x="282"/>
        <item x="391"/>
        <item x="324"/>
        <item x="250"/>
        <item x="143"/>
        <item x="193"/>
        <item x="276"/>
        <item x="285"/>
        <item x="112"/>
        <item x="106"/>
        <item x="214"/>
        <item x="134"/>
        <item x="294"/>
        <item x="297"/>
        <item x="63"/>
        <item x="374"/>
        <item x="4"/>
        <item x="141"/>
        <item x="340"/>
        <item x="380"/>
        <item x="202"/>
        <item x="195"/>
        <item x="295"/>
        <item x="81"/>
        <item x="240"/>
        <item x="311"/>
        <item x="423"/>
        <item x="113"/>
        <item x="360"/>
        <item x="300"/>
        <item x="279"/>
        <item x="435"/>
        <item x="241"/>
        <item x="39"/>
        <item x="182"/>
        <item x="94"/>
        <item x="347"/>
        <item x="303"/>
        <item x="13"/>
        <item x="84"/>
        <item x="436"/>
        <item x="247"/>
        <item x="10"/>
        <item x="145"/>
        <item x="162"/>
        <item x="383"/>
        <item x="437"/>
        <item x="179"/>
        <item x="128"/>
        <item x="221"/>
        <item x="292"/>
        <item x="142"/>
        <item x="351"/>
        <item x="439"/>
        <item x="354"/>
        <item x="352"/>
        <item x="194"/>
        <item x="397"/>
        <item x="263"/>
        <item x="314"/>
        <item x="428"/>
        <item x="220"/>
        <item x="34"/>
        <item x="307"/>
        <item x="58"/>
        <item x="0"/>
        <item x="450"/>
        <item x="227"/>
        <item x="246"/>
        <item x="68"/>
        <item x="363"/>
        <item x="265"/>
        <item x="248"/>
        <item x="215"/>
        <item x="244"/>
        <item x="149"/>
        <item x="136"/>
        <item x="403"/>
        <item x="82"/>
        <item x="286"/>
        <item x="70"/>
        <item x="413"/>
        <item x="31"/>
        <item x="36"/>
        <item x="395"/>
        <item x="412"/>
        <item x="400"/>
        <item x="230"/>
        <item x="372"/>
        <item x="8"/>
        <item x="375"/>
        <item x="322"/>
        <item x="385"/>
        <item x="393"/>
        <item x="45"/>
        <item x="313"/>
        <item x="22"/>
        <item x="173"/>
        <item x="42"/>
        <item x="98"/>
        <item x="65"/>
        <item x="154"/>
        <item x="398"/>
        <item x="91"/>
        <item x="118"/>
        <item x="101"/>
        <item x="368"/>
        <item x="151"/>
        <item x="416"/>
        <item x="344"/>
        <item x="116"/>
        <item x="274"/>
        <item x="102"/>
        <item x="103"/>
        <item x="369"/>
        <item x="132"/>
        <item x="249"/>
        <item x="269"/>
        <item x="304"/>
        <item x="463"/>
        <item x="104"/>
        <item x="24"/>
        <item x="411"/>
        <item x="287"/>
        <item x="293"/>
        <item x="157"/>
        <item x="320"/>
        <item x="26"/>
        <item x="334"/>
        <item x="19"/>
        <item x="465"/>
        <item x="228"/>
        <item x="453"/>
        <item x="447"/>
        <item x="399"/>
        <item x="144"/>
        <item x="298"/>
        <item x="326"/>
        <item x="175"/>
        <item x="99"/>
        <item x="421"/>
        <item x="456"/>
        <item x="353"/>
        <item x="396"/>
        <item x="365"/>
        <item x="32"/>
        <item x="38"/>
        <item x="74"/>
        <item x="341"/>
        <item x="434"/>
        <item x="225"/>
        <item x="209"/>
        <item x="210"/>
        <item x="331"/>
        <item x="255"/>
        <item x="191"/>
        <item x="187"/>
        <item x="212"/>
        <item x="97"/>
        <item x="197"/>
        <item x="178"/>
        <item x="138"/>
        <item x="366"/>
        <item x="189"/>
        <item x="166"/>
        <item x="88"/>
        <item x="238"/>
        <item x="156"/>
        <item x="407"/>
        <item x="196"/>
        <item x="464"/>
        <item x="46"/>
        <item x="100"/>
        <item x="49"/>
        <item x="462"/>
        <item x="168"/>
        <item x="1"/>
        <item x="404"/>
        <item x="40"/>
        <item x="229"/>
        <item x="291"/>
        <item x="148"/>
        <item x="356"/>
        <item x="61"/>
        <item x="273"/>
        <item x="333"/>
        <item x="48"/>
        <item x="299"/>
        <item x="223"/>
        <item x="444"/>
        <item x="405"/>
        <item x="392"/>
        <item x="127"/>
        <item x="76"/>
        <item x="379"/>
        <item x="302"/>
        <item x="461"/>
        <item x="25"/>
        <item x="219"/>
        <item x="96"/>
        <item x="430"/>
        <item x="390"/>
        <item x="16"/>
        <item x="330"/>
        <item x="126"/>
        <item x="71"/>
        <item x="55"/>
        <item x="337"/>
        <item x="124"/>
        <item x="130"/>
        <item x="359"/>
        <item x="6"/>
        <item x="357"/>
        <item x="272"/>
        <item x="11"/>
        <item x="409"/>
        <item x="316"/>
        <item x="123"/>
        <item x="420"/>
        <item x="283"/>
        <item x="170"/>
        <item x="105"/>
        <item x="335"/>
        <item x="51"/>
        <item x="266"/>
        <item x="93"/>
        <item x="192"/>
        <item x="318"/>
        <item x="167"/>
        <item x="185"/>
        <item x="317"/>
        <item x="414"/>
        <item x="54"/>
        <item x="120"/>
        <item x="146"/>
        <item x="433"/>
        <item x="454"/>
        <item x="243"/>
        <item x="338"/>
        <item x="349"/>
        <item x="467"/>
        <item x="121"/>
        <item x="12"/>
        <item x="339"/>
        <item x="402"/>
        <item x="418"/>
        <item x="252"/>
        <item x="310"/>
        <item x="309"/>
        <item x="381"/>
        <item x="401"/>
        <item x="80"/>
        <item x="3"/>
        <item x="258"/>
        <item x="95"/>
        <item x="277"/>
        <item x="254"/>
        <item x="53"/>
        <item x="28"/>
        <item x="69"/>
        <item x="377"/>
        <item x="261"/>
        <item x="332"/>
        <item x="440"/>
        <item x="160"/>
        <item x="139"/>
        <item x="448"/>
        <item x="222"/>
        <item x="79"/>
        <item x="208"/>
        <item x="60"/>
        <item x="86"/>
        <item x="57"/>
        <item x="355"/>
        <item x="267"/>
        <item x="321"/>
        <item x="78"/>
        <item x="394"/>
        <item x="217"/>
        <item x="253"/>
        <item x="270"/>
        <item x="281"/>
        <item x="9"/>
        <item x="329"/>
        <item x="41"/>
        <item x="262"/>
        <item x="108"/>
        <item x="346"/>
        <item x="56"/>
        <item x="21"/>
        <item x="325"/>
        <item x="296"/>
        <item x="111"/>
        <item x="236"/>
        <item x="268"/>
        <item x="35"/>
        <item x="305"/>
        <item x="438"/>
        <item x="232"/>
        <item x="350"/>
        <item x="110"/>
        <item x="445"/>
        <item x="190"/>
        <item x="201"/>
        <item x="213"/>
        <item x="466"/>
        <item x="18"/>
        <item x="188"/>
        <item x="92"/>
        <item x="319"/>
        <item x="30"/>
        <item x="378"/>
        <item x="90"/>
        <item x="218"/>
        <item x="442"/>
        <item x="117"/>
        <item x="431"/>
        <item x="83"/>
        <item x="205"/>
        <item x="457"/>
        <item x="384"/>
        <item x="301"/>
        <item x="427"/>
        <item x="164"/>
        <item x="198"/>
        <item x="257"/>
        <item x="388"/>
        <item x="14"/>
        <item x="237"/>
        <item x="17"/>
        <item x="59"/>
        <item x="135"/>
        <item x="224"/>
        <item x="284"/>
        <item x="165"/>
        <item t="default"/>
      </items>
    </pivotField>
    <pivotField showAll="0"/>
    <pivotField numFmtId="165" showAll="0"/>
    <pivotField numFmtId="165" showAll="0"/>
    <pivotField numFmtId="1" showAll="0"/>
    <pivotField numFmtId="1" showAll="0"/>
    <pivotField axis="axisCol" showAll="0">
      <items count="3">
        <item x="0"/>
        <item x="1"/>
        <item t="default"/>
      </items>
    </pivotField>
    <pivotField numFmtId="164" showAll="0">
      <items count="12">
        <item x="3"/>
        <item x="10"/>
        <item x="6"/>
        <item x="8"/>
        <item x="9"/>
        <item x="1"/>
        <item x="7"/>
        <item x="0"/>
        <item x="5"/>
        <item x="4"/>
        <item x="2"/>
        <item t="default"/>
      </items>
    </pivotField>
    <pivotField showAll="0"/>
    <pivotField axis="axisRow" showAll="0">
      <items count="13">
        <item x="5"/>
        <item x="3"/>
        <item x="9"/>
        <item x="7"/>
        <item x="6"/>
        <item x="4"/>
        <item x="2"/>
        <item x="0"/>
        <item x="1"/>
        <item x="11"/>
        <item x="8"/>
        <item x="10"/>
        <item t="default"/>
      </items>
    </pivotField>
    <pivotField showAll="0"/>
    <pivotField showAll="0"/>
    <pivotField showAll="0"/>
    <pivotField showAll="0"/>
    <pivotField showAll="0"/>
    <pivotField axis="axisRow" showAll="0">
      <items count="8">
        <item x="6"/>
        <item x="0"/>
        <item x="4"/>
        <item x="5"/>
        <item x="2"/>
        <item x="3"/>
        <item x="1"/>
        <item t="default"/>
      </items>
    </pivotField>
    <pivotField showAll="0"/>
    <pivotField numFmtId="4" showAll="0"/>
    <pivotField numFmtId="2" showAll="0"/>
    <pivotField numFmtId="2" showAll="0"/>
    <pivotField showAll="0"/>
    <pivotField numFmtId="9" showAll="0"/>
    <pivotField numFmtId="9" showAll="0"/>
    <pivotField showAll="0"/>
    <pivotField numFmtId="1" showAll="0"/>
    <pivotField numFmtId="2" showAll="0"/>
    <pivotField numFmtId="2" showAll="0"/>
    <pivotField numFmtId="2" showAll="0"/>
    <pivotField numFmtId="9" showAll="0"/>
    <pivotField showAll="0" defaultSubtotal="0"/>
    <pivotField showAll="0" defaultSubtotal="0"/>
    <pivotField showAll="0" defaultSubtotal="0">
      <items count="5">
        <item x="0"/>
        <item x="1"/>
        <item x="2"/>
        <item x="3"/>
        <item x="4"/>
      </items>
    </pivotField>
    <pivotField showAll="0" defaultSubtotal="0"/>
    <pivotField showAll="0" defaultSubtotal="0">
      <items count="14">
        <item x="0"/>
        <item x="1"/>
        <item x="2"/>
        <item x="3"/>
        <item x="4"/>
        <item x="5"/>
        <item x="6"/>
        <item x="7"/>
        <item x="8"/>
        <item x="9"/>
        <item x="10"/>
        <item x="11"/>
        <item x="12"/>
        <item x="13"/>
      </items>
    </pivotField>
  </pivotFields>
  <rowFields count="2">
    <field x="11"/>
    <field x="17"/>
  </rowFields>
  <rowItems count="97">
    <i>
      <x/>
    </i>
    <i r="1">
      <x/>
    </i>
    <i r="1">
      <x v="1"/>
    </i>
    <i r="1">
      <x v="2"/>
    </i>
    <i r="1">
      <x v="3"/>
    </i>
    <i r="1">
      <x v="4"/>
    </i>
    <i r="1">
      <x v="5"/>
    </i>
    <i r="1">
      <x v="6"/>
    </i>
    <i>
      <x v="1"/>
    </i>
    <i r="1">
      <x/>
    </i>
    <i r="1">
      <x v="1"/>
    </i>
    <i r="1">
      <x v="2"/>
    </i>
    <i r="1">
      <x v="3"/>
    </i>
    <i r="1">
      <x v="4"/>
    </i>
    <i r="1">
      <x v="5"/>
    </i>
    <i r="1">
      <x v="6"/>
    </i>
    <i>
      <x v="2"/>
    </i>
    <i r="1">
      <x/>
    </i>
    <i r="1">
      <x v="1"/>
    </i>
    <i r="1">
      <x v="2"/>
    </i>
    <i r="1">
      <x v="3"/>
    </i>
    <i r="1">
      <x v="4"/>
    </i>
    <i r="1">
      <x v="5"/>
    </i>
    <i r="1">
      <x v="6"/>
    </i>
    <i>
      <x v="3"/>
    </i>
    <i r="1">
      <x/>
    </i>
    <i r="1">
      <x v="1"/>
    </i>
    <i r="1">
      <x v="2"/>
    </i>
    <i r="1">
      <x v="3"/>
    </i>
    <i r="1">
      <x v="4"/>
    </i>
    <i r="1">
      <x v="5"/>
    </i>
    <i r="1">
      <x v="6"/>
    </i>
    <i>
      <x v="4"/>
    </i>
    <i r="1">
      <x/>
    </i>
    <i r="1">
      <x v="1"/>
    </i>
    <i r="1">
      <x v="2"/>
    </i>
    <i r="1">
      <x v="3"/>
    </i>
    <i r="1">
      <x v="4"/>
    </i>
    <i r="1">
      <x v="5"/>
    </i>
    <i r="1">
      <x v="6"/>
    </i>
    <i>
      <x v="5"/>
    </i>
    <i r="1">
      <x/>
    </i>
    <i r="1">
      <x v="1"/>
    </i>
    <i r="1">
      <x v="2"/>
    </i>
    <i r="1">
      <x v="3"/>
    </i>
    <i r="1">
      <x v="4"/>
    </i>
    <i r="1">
      <x v="5"/>
    </i>
    <i r="1">
      <x v="6"/>
    </i>
    <i>
      <x v="6"/>
    </i>
    <i r="1">
      <x/>
    </i>
    <i r="1">
      <x v="1"/>
    </i>
    <i r="1">
      <x v="2"/>
    </i>
    <i r="1">
      <x v="3"/>
    </i>
    <i r="1">
      <x v="4"/>
    </i>
    <i r="1">
      <x v="5"/>
    </i>
    <i r="1">
      <x v="6"/>
    </i>
    <i>
      <x v="7"/>
    </i>
    <i r="1">
      <x/>
    </i>
    <i r="1">
      <x v="1"/>
    </i>
    <i r="1">
      <x v="2"/>
    </i>
    <i r="1">
      <x v="3"/>
    </i>
    <i r="1">
      <x v="4"/>
    </i>
    <i r="1">
      <x v="5"/>
    </i>
    <i r="1">
      <x v="6"/>
    </i>
    <i>
      <x v="8"/>
    </i>
    <i r="1">
      <x/>
    </i>
    <i r="1">
      <x v="1"/>
    </i>
    <i r="1">
      <x v="2"/>
    </i>
    <i r="1">
      <x v="3"/>
    </i>
    <i r="1">
      <x v="4"/>
    </i>
    <i r="1">
      <x v="5"/>
    </i>
    <i r="1">
      <x v="6"/>
    </i>
    <i>
      <x v="9"/>
    </i>
    <i r="1">
      <x/>
    </i>
    <i r="1">
      <x v="1"/>
    </i>
    <i r="1">
      <x v="2"/>
    </i>
    <i r="1">
      <x v="3"/>
    </i>
    <i r="1">
      <x v="4"/>
    </i>
    <i r="1">
      <x v="5"/>
    </i>
    <i r="1">
      <x v="6"/>
    </i>
    <i>
      <x v="10"/>
    </i>
    <i r="1">
      <x/>
    </i>
    <i r="1">
      <x v="1"/>
    </i>
    <i r="1">
      <x v="2"/>
    </i>
    <i r="1">
      <x v="3"/>
    </i>
    <i r="1">
      <x v="4"/>
    </i>
    <i r="1">
      <x v="5"/>
    </i>
    <i r="1">
      <x v="6"/>
    </i>
    <i>
      <x v="11"/>
    </i>
    <i r="1">
      <x/>
    </i>
    <i r="1">
      <x v="1"/>
    </i>
    <i r="1">
      <x v="2"/>
    </i>
    <i r="1">
      <x v="3"/>
    </i>
    <i r="1">
      <x v="4"/>
    </i>
    <i r="1">
      <x v="5"/>
    </i>
    <i r="1">
      <x v="6"/>
    </i>
    <i t="grand">
      <x/>
    </i>
  </rowItems>
  <colFields count="1">
    <field x="8"/>
  </colFields>
  <colItems count="3">
    <i>
      <x/>
    </i>
    <i>
      <x v="1"/>
    </i>
    <i t="grand">
      <x/>
    </i>
  </colItems>
  <dataFields count="1">
    <dataField name="Count of OrderID" fld="0" subtotal="count" showDataAs="percentOfRow" baseField="0" baseItem="0" numFmtId="10"/>
  </dataFields>
  <formats count="1">
    <format dxfId="41">
      <pivotArea collapsedLevelsAreSubtotals="1" fieldPosition="0">
        <references count="3">
          <reference field="8" count="1" selected="0">
            <x v="1"/>
          </reference>
          <reference field="11" count="1" selected="0">
            <x v="0"/>
          </reference>
          <reference field="17" count="1">
            <x v="1"/>
          </reference>
        </references>
      </pivotArea>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3.xml><?xml version="1.0" encoding="utf-8"?>
<pivotTableDefinition xmlns="http://schemas.openxmlformats.org/spreadsheetml/2006/main" xmlns:mc="http://schemas.openxmlformats.org/markup-compatibility/2006" xmlns:xr="http://schemas.microsoft.com/office/spreadsheetml/2014/revision" mc:Ignorable="xr" xr:uid="{A9683E26-0B92-4A59-9D68-90A7048D90B3}" name="Discount compliance" cacheId="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3:D69" firstHeaderRow="1" firstDataRow="2" firstDataCol="1"/>
  <pivotFields count="36">
    <pivotField dataField="1" showAll="0"/>
    <pivotField numFmtId="165" showAll="0"/>
    <pivotField numFmtId="167" showAll="0">
      <items count="469">
        <item x="5"/>
        <item x="455"/>
        <item x="271"/>
        <item x="415"/>
        <item x="181"/>
        <item x="7"/>
        <item x="371"/>
        <item x="184"/>
        <item x="119"/>
        <item x="424"/>
        <item x="122"/>
        <item x="171"/>
        <item x="180"/>
        <item x="312"/>
        <item x="23"/>
        <item x="77"/>
        <item x="426"/>
        <item x="62"/>
        <item x="152"/>
        <item x="147"/>
        <item x="361"/>
        <item x="29"/>
        <item x="159"/>
        <item x="452"/>
        <item x="2"/>
        <item x="107"/>
        <item x="432"/>
        <item x="226"/>
        <item x="336"/>
        <item x="206"/>
        <item x="315"/>
        <item x="211"/>
        <item x="342"/>
        <item x="64"/>
        <item x="278"/>
        <item x="150"/>
        <item x="33"/>
        <item x="50"/>
        <item x="451"/>
        <item x="163"/>
        <item x="89"/>
        <item x="458"/>
        <item x="125"/>
        <item x="290"/>
        <item x="27"/>
        <item x="387"/>
        <item x="153"/>
        <item x="43"/>
        <item x="67"/>
        <item x="460"/>
        <item x="15"/>
        <item x="441"/>
        <item x="410"/>
        <item x="129"/>
        <item x="449"/>
        <item x="177"/>
        <item x="275"/>
        <item x="239"/>
        <item x="406"/>
        <item x="20"/>
        <item x="382"/>
        <item x="362"/>
        <item x="72"/>
        <item x="207"/>
        <item x="373"/>
        <item x="234"/>
        <item x="328"/>
        <item x="408"/>
        <item x="446"/>
        <item x="308"/>
        <item x="109"/>
        <item x="280"/>
        <item x="367"/>
        <item x="75"/>
        <item x="251"/>
        <item x="37"/>
        <item x="264"/>
        <item x="169"/>
        <item x="44"/>
        <item x="87"/>
        <item x="85"/>
        <item x="306"/>
        <item x="186"/>
        <item x="140"/>
        <item x="133"/>
        <item x="422"/>
        <item x="425"/>
        <item x="376"/>
        <item x="47"/>
        <item x="289"/>
        <item x="386"/>
        <item x="256"/>
        <item x="172"/>
        <item x="370"/>
        <item x="245"/>
        <item x="288"/>
        <item x="131"/>
        <item x="203"/>
        <item x="443"/>
        <item x="242"/>
        <item x="235"/>
        <item x="174"/>
        <item x="389"/>
        <item x="115"/>
        <item x="183"/>
        <item x="419"/>
        <item x="66"/>
        <item x="114"/>
        <item x="260"/>
        <item x="417"/>
        <item x="343"/>
        <item x="200"/>
        <item x="161"/>
        <item x="345"/>
        <item x="52"/>
        <item x="429"/>
        <item x="137"/>
        <item x="459"/>
        <item x="73"/>
        <item x="216"/>
        <item x="364"/>
        <item x="158"/>
        <item x="199"/>
        <item x="323"/>
        <item x="204"/>
        <item x="231"/>
        <item x="155"/>
        <item x="327"/>
        <item x="233"/>
        <item x="348"/>
        <item x="176"/>
        <item x="358"/>
        <item x="259"/>
        <item x="282"/>
        <item x="391"/>
        <item x="324"/>
        <item x="250"/>
        <item x="143"/>
        <item x="193"/>
        <item x="276"/>
        <item x="285"/>
        <item x="112"/>
        <item x="106"/>
        <item x="214"/>
        <item x="134"/>
        <item x="294"/>
        <item x="297"/>
        <item x="63"/>
        <item x="374"/>
        <item x="4"/>
        <item x="141"/>
        <item x="340"/>
        <item x="380"/>
        <item x="202"/>
        <item x="195"/>
        <item x="295"/>
        <item x="81"/>
        <item x="240"/>
        <item x="311"/>
        <item x="423"/>
        <item x="113"/>
        <item x="360"/>
        <item x="300"/>
        <item x="279"/>
        <item x="435"/>
        <item x="241"/>
        <item x="39"/>
        <item x="182"/>
        <item x="94"/>
        <item x="347"/>
        <item x="303"/>
        <item x="13"/>
        <item x="84"/>
        <item x="436"/>
        <item x="247"/>
        <item x="10"/>
        <item x="145"/>
        <item x="162"/>
        <item x="383"/>
        <item x="437"/>
        <item x="179"/>
        <item x="128"/>
        <item x="221"/>
        <item x="292"/>
        <item x="142"/>
        <item x="351"/>
        <item x="439"/>
        <item x="354"/>
        <item x="352"/>
        <item x="194"/>
        <item x="397"/>
        <item x="263"/>
        <item x="314"/>
        <item x="428"/>
        <item x="220"/>
        <item x="34"/>
        <item x="307"/>
        <item x="58"/>
        <item x="0"/>
        <item x="450"/>
        <item x="227"/>
        <item x="246"/>
        <item x="68"/>
        <item x="363"/>
        <item x="265"/>
        <item x="248"/>
        <item x="215"/>
        <item x="244"/>
        <item x="149"/>
        <item x="136"/>
        <item x="403"/>
        <item x="82"/>
        <item x="286"/>
        <item x="70"/>
        <item x="413"/>
        <item x="31"/>
        <item x="36"/>
        <item x="395"/>
        <item x="412"/>
        <item x="400"/>
        <item x="230"/>
        <item x="372"/>
        <item x="8"/>
        <item x="375"/>
        <item x="322"/>
        <item x="385"/>
        <item x="393"/>
        <item x="45"/>
        <item x="313"/>
        <item x="22"/>
        <item x="173"/>
        <item x="42"/>
        <item x="98"/>
        <item x="65"/>
        <item x="154"/>
        <item x="398"/>
        <item x="91"/>
        <item x="118"/>
        <item x="101"/>
        <item x="368"/>
        <item x="151"/>
        <item x="416"/>
        <item x="344"/>
        <item x="116"/>
        <item x="274"/>
        <item x="102"/>
        <item x="103"/>
        <item x="369"/>
        <item x="132"/>
        <item x="249"/>
        <item x="269"/>
        <item x="304"/>
        <item x="463"/>
        <item x="104"/>
        <item x="24"/>
        <item x="411"/>
        <item x="287"/>
        <item x="293"/>
        <item x="157"/>
        <item x="320"/>
        <item x="26"/>
        <item x="334"/>
        <item x="19"/>
        <item x="465"/>
        <item x="228"/>
        <item x="453"/>
        <item x="447"/>
        <item x="399"/>
        <item x="144"/>
        <item x="298"/>
        <item x="326"/>
        <item x="175"/>
        <item x="99"/>
        <item x="421"/>
        <item x="456"/>
        <item x="353"/>
        <item x="396"/>
        <item x="365"/>
        <item x="32"/>
        <item x="38"/>
        <item x="74"/>
        <item x="341"/>
        <item x="434"/>
        <item x="225"/>
        <item x="209"/>
        <item x="210"/>
        <item x="331"/>
        <item x="255"/>
        <item x="191"/>
        <item x="187"/>
        <item x="212"/>
        <item x="97"/>
        <item x="197"/>
        <item x="178"/>
        <item x="138"/>
        <item x="366"/>
        <item x="189"/>
        <item x="166"/>
        <item x="88"/>
        <item x="238"/>
        <item x="156"/>
        <item x="407"/>
        <item x="196"/>
        <item x="464"/>
        <item x="46"/>
        <item x="100"/>
        <item x="49"/>
        <item x="462"/>
        <item x="168"/>
        <item x="1"/>
        <item x="404"/>
        <item x="40"/>
        <item x="229"/>
        <item x="291"/>
        <item x="148"/>
        <item x="356"/>
        <item x="61"/>
        <item x="273"/>
        <item x="333"/>
        <item x="48"/>
        <item x="299"/>
        <item x="223"/>
        <item x="444"/>
        <item x="405"/>
        <item x="392"/>
        <item x="127"/>
        <item x="76"/>
        <item x="379"/>
        <item x="302"/>
        <item x="461"/>
        <item x="25"/>
        <item x="219"/>
        <item x="96"/>
        <item x="430"/>
        <item x="390"/>
        <item x="16"/>
        <item x="330"/>
        <item x="126"/>
        <item x="71"/>
        <item x="55"/>
        <item x="337"/>
        <item x="124"/>
        <item x="130"/>
        <item x="359"/>
        <item x="6"/>
        <item x="357"/>
        <item x="272"/>
        <item x="11"/>
        <item x="409"/>
        <item x="316"/>
        <item x="123"/>
        <item x="420"/>
        <item x="283"/>
        <item x="170"/>
        <item x="105"/>
        <item x="335"/>
        <item x="51"/>
        <item x="266"/>
        <item x="93"/>
        <item x="192"/>
        <item x="318"/>
        <item x="167"/>
        <item x="185"/>
        <item x="317"/>
        <item x="414"/>
        <item x="54"/>
        <item x="120"/>
        <item x="146"/>
        <item x="433"/>
        <item x="454"/>
        <item x="243"/>
        <item x="338"/>
        <item x="349"/>
        <item x="467"/>
        <item x="121"/>
        <item x="12"/>
        <item x="339"/>
        <item x="402"/>
        <item x="418"/>
        <item x="252"/>
        <item x="310"/>
        <item x="309"/>
        <item x="381"/>
        <item x="401"/>
        <item x="80"/>
        <item x="3"/>
        <item x="258"/>
        <item x="95"/>
        <item x="277"/>
        <item x="254"/>
        <item x="53"/>
        <item x="28"/>
        <item x="69"/>
        <item x="377"/>
        <item x="261"/>
        <item x="332"/>
        <item x="440"/>
        <item x="160"/>
        <item x="139"/>
        <item x="448"/>
        <item x="222"/>
        <item x="79"/>
        <item x="208"/>
        <item x="60"/>
        <item x="86"/>
        <item x="57"/>
        <item x="355"/>
        <item x="267"/>
        <item x="321"/>
        <item x="78"/>
        <item x="394"/>
        <item x="217"/>
        <item x="253"/>
        <item x="270"/>
        <item x="281"/>
        <item x="9"/>
        <item x="329"/>
        <item x="41"/>
        <item x="262"/>
        <item x="108"/>
        <item x="346"/>
        <item x="56"/>
        <item x="21"/>
        <item x="325"/>
        <item x="296"/>
        <item x="111"/>
        <item x="236"/>
        <item x="268"/>
        <item x="35"/>
        <item x="305"/>
        <item x="438"/>
        <item x="232"/>
        <item x="350"/>
        <item x="110"/>
        <item x="445"/>
        <item x="190"/>
        <item x="201"/>
        <item x="213"/>
        <item x="466"/>
        <item x="18"/>
        <item x="188"/>
        <item x="92"/>
        <item x="319"/>
        <item x="30"/>
        <item x="378"/>
        <item x="90"/>
        <item x="218"/>
        <item x="442"/>
        <item x="117"/>
        <item x="431"/>
        <item x="83"/>
        <item x="205"/>
        <item x="457"/>
        <item x="384"/>
        <item x="301"/>
        <item x="427"/>
        <item x="164"/>
        <item x="198"/>
        <item x="257"/>
        <item x="388"/>
        <item x="14"/>
        <item x="237"/>
        <item x="17"/>
        <item x="59"/>
        <item x="135"/>
        <item x="224"/>
        <item x="284"/>
        <item x="165"/>
        <item t="default"/>
      </items>
    </pivotField>
    <pivotField showAll="0"/>
    <pivotField numFmtId="165" showAll="0"/>
    <pivotField numFmtId="165" showAll="0"/>
    <pivotField numFmtId="1" showAll="0"/>
    <pivotField numFmtId="1" showAll="0"/>
    <pivotField showAll="0"/>
    <pivotField numFmtId="164" showAll="0">
      <items count="12">
        <item x="3"/>
        <item x="10"/>
        <item x="6"/>
        <item x="8"/>
        <item x="9"/>
        <item x="1"/>
        <item x="7"/>
        <item x="0"/>
        <item x="5"/>
        <item x="4"/>
        <item x="2"/>
        <item t="default"/>
      </items>
    </pivotField>
    <pivotField axis="axisRow" showAll="0">
      <items count="5">
        <item x="0"/>
        <item x="2"/>
        <item x="1"/>
        <item x="3"/>
        <item t="default"/>
      </items>
    </pivotField>
    <pivotField showAll="0"/>
    <pivotField showAll="0"/>
    <pivotField showAll="0"/>
    <pivotField showAll="0"/>
    <pivotField showAll="0"/>
    <pivotField axis="axisRow" showAll="0">
      <items count="16">
        <item x="8"/>
        <item x="5"/>
        <item x="0"/>
        <item x="14"/>
        <item x="6"/>
        <item x="9"/>
        <item x="3"/>
        <item x="10"/>
        <item x="2"/>
        <item x="1"/>
        <item x="11"/>
        <item x="4"/>
        <item x="12"/>
        <item x="13"/>
        <item x="7"/>
        <item t="default"/>
      </items>
    </pivotField>
    <pivotField showAll="0"/>
    <pivotField showAll="0"/>
    <pivotField numFmtId="4" showAll="0"/>
    <pivotField numFmtId="2" showAll="0"/>
    <pivotField numFmtId="2" showAll="0"/>
    <pivotField showAll="0"/>
    <pivotField numFmtId="9" showAll="0"/>
    <pivotField numFmtId="9" showAll="0"/>
    <pivotField axis="axisCol" showAll="0">
      <items count="3">
        <item x="0"/>
        <item x="1"/>
        <item t="default"/>
      </items>
    </pivotField>
    <pivotField numFmtId="1" showAll="0"/>
    <pivotField numFmtId="2" showAll="0"/>
    <pivotField numFmtId="2" showAll="0"/>
    <pivotField numFmtId="2" showAll="0"/>
    <pivotField numFmtId="9" showAll="0"/>
    <pivotField showAll="0" defaultSubtotal="0"/>
    <pivotField showAll="0" defaultSubtotal="0"/>
    <pivotField showAll="0" defaultSubtotal="0">
      <items count="5">
        <item x="0"/>
        <item x="1"/>
        <item x="2"/>
        <item x="3"/>
        <item x="4"/>
      </items>
    </pivotField>
    <pivotField showAll="0" defaultSubtotal="0"/>
    <pivotField showAll="0" defaultSubtotal="0">
      <items count="14">
        <item x="0"/>
        <item x="1"/>
        <item x="2"/>
        <item x="3"/>
        <item x="4"/>
        <item x="5"/>
        <item x="6"/>
        <item x="7"/>
        <item x="8"/>
        <item x="9"/>
        <item x="10"/>
        <item x="11"/>
        <item x="12"/>
        <item x="13"/>
      </items>
    </pivotField>
  </pivotFields>
  <rowFields count="2">
    <field x="10"/>
    <field x="16"/>
  </rowFields>
  <rowItems count="65">
    <i>
      <x/>
    </i>
    <i r="1">
      <x/>
    </i>
    <i r="1">
      <x v="1"/>
    </i>
    <i r="1">
      <x v="2"/>
    </i>
    <i r="1">
      <x v="3"/>
    </i>
    <i r="1">
      <x v="4"/>
    </i>
    <i r="1">
      <x v="5"/>
    </i>
    <i r="1">
      <x v="6"/>
    </i>
    <i r="1">
      <x v="7"/>
    </i>
    <i r="1">
      <x v="8"/>
    </i>
    <i r="1">
      <x v="9"/>
    </i>
    <i r="1">
      <x v="10"/>
    </i>
    <i r="1">
      <x v="11"/>
    </i>
    <i r="1">
      <x v="12"/>
    </i>
    <i r="1">
      <x v="13"/>
    </i>
    <i r="1">
      <x v="14"/>
    </i>
    <i>
      <x v="1"/>
    </i>
    <i r="1">
      <x/>
    </i>
    <i r="1">
      <x v="1"/>
    </i>
    <i r="1">
      <x v="2"/>
    </i>
    <i r="1">
      <x v="3"/>
    </i>
    <i r="1">
      <x v="4"/>
    </i>
    <i r="1">
      <x v="5"/>
    </i>
    <i r="1">
      <x v="6"/>
    </i>
    <i r="1">
      <x v="7"/>
    </i>
    <i r="1">
      <x v="8"/>
    </i>
    <i r="1">
      <x v="9"/>
    </i>
    <i r="1">
      <x v="10"/>
    </i>
    <i r="1">
      <x v="11"/>
    </i>
    <i r="1">
      <x v="12"/>
    </i>
    <i r="1">
      <x v="13"/>
    </i>
    <i r="1">
      <x v="14"/>
    </i>
    <i>
      <x v="2"/>
    </i>
    <i r="1">
      <x/>
    </i>
    <i r="1">
      <x v="1"/>
    </i>
    <i r="1">
      <x v="2"/>
    </i>
    <i r="1">
      <x v="3"/>
    </i>
    <i r="1">
      <x v="4"/>
    </i>
    <i r="1">
      <x v="5"/>
    </i>
    <i r="1">
      <x v="6"/>
    </i>
    <i r="1">
      <x v="7"/>
    </i>
    <i r="1">
      <x v="8"/>
    </i>
    <i r="1">
      <x v="9"/>
    </i>
    <i r="1">
      <x v="10"/>
    </i>
    <i r="1">
      <x v="11"/>
    </i>
    <i r="1">
      <x v="12"/>
    </i>
    <i r="1">
      <x v="13"/>
    </i>
    <i r="1">
      <x v="14"/>
    </i>
    <i>
      <x v="3"/>
    </i>
    <i r="1">
      <x/>
    </i>
    <i r="1">
      <x v="1"/>
    </i>
    <i r="1">
      <x v="2"/>
    </i>
    <i r="1">
      <x v="3"/>
    </i>
    <i r="1">
      <x v="4"/>
    </i>
    <i r="1">
      <x v="5"/>
    </i>
    <i r="1">
      <x v="6"/>
    </i>
    <i r="1">
      <x v="7"/>
    </i>
    <i r="1">
      <x v="8"/>
    </i>
    <i r="1">
      <x v="9"/>
    </i>
    <i r="1">
      <x v="10"/>
    </i>
    <i r="1">
      <x v="11"/>
    </i>
    <i r="1">
      <x v="12"/>
    </i>
    <i r="1">
      <x v="13"/>
    </i>
    <i r="1">
      <x v="14"/>
    </i>
    <i t="grand">
      <x/>
    </i>
  </rowItems>
  <colFields count="1">
    <field x="25"/>
  </colFields>
  <colItems count="3">
    <i>
      <x/>
    </i>
    <i>
      <x v="1"/>
    </i>
    <i t="grand">
      <x/>
    </i>
  </colItems>
  <dataFields count="1">
    <dataField name="Count of OrderID" fld="0" subtotal="count" showDataAs="percentOfRow" baseField="0" baseItem="0" numFmtId="10"/>
  </dataFields>
  <conditionalFormats count="4">
    <conditionalFormat priority="1">
      <pivotAreas count="1">
        <pivotArea type="data" collapsedLevelsAreSubtotals="1" fieldPosition="0">
          <references count="4">
            <reference field="4294967294" count="1" selected="0">
              <x v="0"/>
            </reference>
            <reference field="10" count="1" selected="0">
              <x v="3"/>
            </reference>
            <reference field="16" count="15">
              <x v="0"/>
              <x v="1"/>
              <x v="2"/>
              <x v="3"/>
              <x v="4"/>
              <x v="5"/>
              <x v="6"/>
              <x v="7"/>
              <x v="8"/>
              <x v="9"/>
              <x v="10"/>
              <x v="11"/>
              <x v="12"/>
              <x v="13"/>
              <x v="14"/>
            </reference>
            <reference field="25" count="1" selected="0">
              <x v="1"/>
            </reference>
          </references>
        </pivotArea>
      </pivotAreas>
    </conditionalFormat>
    <conditionalFormat priority="2">
      <pivotAreas count="1">
        <pivotArea type="data" collapsedLevelsAreSubtotals="1" fieldPosition="0">
          <references count="4">
            <reference field="4294967294" count="1" selected="0">
              <x v="0"/>
            </reference>
            <reference field="10" count="1" selected="0">
              <x v="2"/>
            </reference>
            <reference field="16" count="15">
              <x v="0"/>
              <x v="1"/>
              <x v="2"/>
              <x v="3"/>
              <x v="4"/>
              <x v="5"/>
              <x v="6"/>
              <x v="7"/>
              <x v="8"/>
              <x v="9"/>
              <x v="10"/>
              <x v="11"/>
              <x v="12"/>
              <x v="13"/>
              <x v="14"/>
            </reference>
            <reference field="25" count="1" selected="0">
              <x v="1"/>
            </reference>
          </references>
        </pivotArea>
      </pivotAreas>
    </conditionalFormat>
    <conditionalFormat priority="3">
      <pivotAreas count="1">
        <pivotArea type="data" collapsedLevelsAreSubtotals="1" fieldPosition="0">
          <references count="4">
            <reference field="4294967294" count="1" selected="0">
              <x v="0"/>
            </reference>
            <reference field="10" count="1" selected="0">
              <x v="1"/>
            </reference>
            <reference field="16" count="15">
              <x v="0"/>
              <x v="1"/>
              <x v="2"/>
              <x v="3"/>
              <x v="4"/>
              <x v="5"/>
              <x v="6"/>
              <x v="7"/>
              <x v="8"/>
              <x v="9"/>
              <x v="10"/>
              <x v="11"/>
              <x v="12"/>
              <x v="13"/>
              <x v="14"/>
            </reference>
            <reference field="25" count="1" selected="0">
              <x v="1"/>
            </reference>
          </references>
        </pivotArea>
      </pivotAreas>
    </conditionalFormat>
    <conditionalFormat priority="4">
      <pivotAreas count="1">
        <pivotArea type="data" collapsedLevelsAreSubtotals="1" fieldPosition="0">
          <references count="4">
            <reference field="4294967294" count="1" selected="0">
              <x v="0"/>
            </reference>
            <reference field="10" count="1" selected="0">
              <x v="0"/>
            </reference>
            <reference field="16" count="15">
              <x v="0"/>
              <x v="1"/>
              <x v="2"/>
              <x v="3"/>
              <x v="4"/>
              <x v="5"/>
              <x v="6"/>
              <x v="7"/>
              <x v="8"/>
              <x v="9"/>
              <x v="10"/>
              <x v="11"/>
              <x v="12"/>
              <x v="13"/>
              <x v="14"/>
            </reference>
            <reference field="25" count="1" selected="0">
              <x v="1"/>
            </reference>
          </references>
        </pivotArea>
      </pivotAreas>
    </conditionalFormat>
  </conditional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OrderDate__________mmm_yyyy" xr10:uid="{2C8E2DD0-BBA5-43A5-A60E-669618DB2D99}" sourceName="OrderDate         (mmm-yyyy)">
  <pivotTables>
    <pivotTable tabId="17" name="Revenue by month"/>
    <pivotTable tabId="17" name="profit(region/channel)"/>
    <pivotTable tabId="17" name="Top 10 SKU"/>
  </pivotTables>
  <data>
    <tabular pivotCacheId="339345228">
      <items count="468">
        <i x="5" s="1"/>
        <i x="455" s="1"/>
        <i x="271" s="1"/>
        <i x="415" s="1"/>
        <i x="181" s="1"/>
        <i x="7" s="1"/>
        <i x="371" s="1"/>
        <i x="184" s="1"/>
        <i x="119" s="1"/>
        <i x="424" s="1"/>
        <i x="122" s="1"/>
        <i x="171" s="1"/>
        <i x="180" s="1"/>
        <i x="312" s="1"/>
        <i x="23" s="1"/>
        <i x="77" s="1"/>
        <i x="426" s="1"/>
        <i x="62" s="1"/>
        <i x="152" s="1"/>
        <i x="147" s="1"/>
        <i x="361" s="1"/>
        <i x="29" s="1"/>
        <i x="159" s="1"/>
        <i x="452" s="1"/>
        <i x="2" s="1"/>
        <i x="107" s="1"/>
        <i x="432" s="1"/>
        <i x="226" s="1"/>
        <i x="336" s="1"/>
        <i x="206" s="1"/>
        <i x="315" s="1"/>
        <i x="211" s="1"/>
        <i x="342" s="1"/>
        <i x="64" s="1"/>
        <i x="278" s="1"/>
        <i x="150" s="1"/>
        <i x="33" s="1"/>
        <i x="50" s="1"/>
        <i x="451" s="1"/>
        <i x="163" s="1"/>
        <i x="89" s="1"/>
        <i x="458" s="1"/>
        <i x="125" s="1"/>
        <i x="290" s="1"/>
        <i x="27" s="1"/>
        <i x="387" s="1"/>
        <i x="153" s="1"/>
        <i x="43" s="1"/>
        <i x="67" s="1"/>
        <i x="460" s="1"/>
        <i x="15" s="1"/>
        <i x="441" s="1"/>
        <i x="410" s="1"/>
        <i x="129" s="1"/>
        <i x="449" s="1"/>
        <i x="177" s="1"/>
        <i x="275" s="1"/>
        <i x="239" s="1"/>
        <i x="406" s="1"/>
        <i x="20" s="1"/>
        <i x="382" s="1"/>
        <i x="362" s="1"/>
        <i x="72" s="1"/>
        <i x="207" s="1"/>
        <i x="373" s="1"/>
        <i x="234" s="1"/>
        <i x="328" s="1"/>
        <i x="408" s="1"/>
        <i x="446" s="1"/>
        <i x="308" s="1"/>
        <i x="109" s="1"/>
        <i x="280" s="1"/>
        <i x="367" s="1"/>
        <i x="75" s="1"/>
        <i x="251" s="1"/>
        <i x="37" s="1"/>
        <i x="264" s="1"/>
        <i x="169" s="1"/>
        <i x="44" s="1"/>
        <i x="87" s="1"/>
        <i x="85" s="1"/>
        <i x="306" s="1"/>
        <i x="186" s="1"/>
        <i x="140" s="1"/>
        <i x="133" s="1"/>
        <i x="422" s="1"/>
        <i x="425" s="1"/>
        <i x="376" s="1"/>
        <i x="47" s="1"/>
        <i x="289" s="1"/>
        <i x="386" s="1"/>
        <i x="256" s="1"/>
        <i x="172" s="1"/>
        <i x="370" s="1"/>
        <i x="245" s="1"/>
        <i x="288" s="1"/>
        <i x="131" s="1"/>
        <i x="203" s="1"/>
        <i x="443" s="1"/>
        <i x="242" s="1"/>
        <i x="235" s="1"/>
        <i x="174" s="1"/>
        <i x="389" s="1"/>
        <i x="115" s="1"/>
        <i x="183" s="1"/>
        <i x="419" s="1"/>
        <i x="66" s="1"/>
        <i x="114" s="1"/>
        <i x="260" s="1"/>
        <i x="417" s="1"/>
        <i x="343" s="1"/>
        <i x="200" s="1"/>
        <i x="161" s="1"/>
        <i x="345" s="1"/>
        <i x="52" s="1"/>
        <i x="429" s="1"/>
        <i x="137" s="1"/>
        <i x="459" s="1"/>
        <i x="73" s="1"/>
        <i x="216" s="1"/>
        <i x="364" s="1"/>
        <i x="158" s="1"/>
        <i x="199" s="1"/>
        <i x="323" s="1"/>
        <i x="204" s="1"/>
        <i x="231" s="1"/>
        <i x="155" s="1"/>
        <i x="327" s="1"/>
        <i x="233" s="1"/>
        <i x="348" s="1"/>
        <i x="176" s="1"/>
        <i x="358" s="1"/>
        <i x="259" s="1"/>
        <i x="282" s="1"/>
        <i x="391" s="1"/>
        <i x="324" s="1"/>
        <i x="250" s="1"/>
        <i x="143" s="1"/>
        <i x="193" s="1"/>
        <i x="276" s="1"/>
        <i x="285" s="1"/>
        <i x="112" s="1"/>
        <i x="106" s="1"/>
        <i x="214" s="1"/>
        <i x="134" s="1"/>
        <i x="294" s="1"/>
        <i x="297" s="1"/>
        <i x="63" s="1"/>
        <i x="374" s="1"/>
        <i x="4" s="1"/>
        <i x="141" s="1"/>
        <i x="340" s="1"/>
        <i x="380" s="1"/>
        <i x="202" s="1"/>
        <i x="195" s="1"/>
        <i x="295" s="1"/>
        <i x="81" s="1"/>
        <i x="240" s="1"/>
        <i x="311" s="1"/>
        <i x="423" s="1"/>
        <i x="113" s="1"/>
        <i x="360" s="1"/>
        <i x="300" s="1"/>
        <i x="279" s="1"/>
        <i x="435" s="1"/>
        <i x="241" s="1"/>
        <i x="39" s="1"/>
        <i x="182" s="1"/>
        <i x="94" s="1"/>
        <i x="347" s="1"/>
        <i x="303" s="1"/>
        <i x="13" s="1"/>
        <i x="84" s="1"/>
        <i x="436" s="1"/>
        <i x="247" s="1"/>
        <i x="10" s="1"/>
        <i x="145" s="1"/>
        <i x="162" s="1"/>
        <i x="383" s="1"/>
        <i x="437" s="1"/>
        <i x="179" s="1"/>
        <i x="128" s="1"/>
        <i x="221" s="1"/>
        <i x="292" s="1"/>
        <i x="142" s="1"/>
        <i x="351" s="1"/>
        <i x="439" s="1"/>
        <i x="354" s="1"/>
        <i x="352" s="1"/>
        <i x="194" s="1"/>
        <i x="397" s="1"/>
        <i x="263" s="1"/>
        <i x="314" s="1"/>
        <i x="428" s="1"/>
        <i x="220" s="1"/>
        <i x="34" s="1"/>
        <i x="307" s="1"/>
        <i x="58" s="1"/>
        <i x="0" s="1"/>
        <i x="450" s="1"/>
        <i x="227" s="1"/>
        <i x="246" s="1"/>
        <i x="68" s="1"/>
        <i x="363" s="1"/>
        <i x="265" s="1"/>
        <i x="248" s="1"/>
        <i x="215" s="1"/>
        <i x="244" s="1"/>
        <i x="149" s="1"/>
        <i x="136" s="1"/>
        <i x="403" s="1"/>
        <i x="82" s="1"/>
        <i x="286" s="1"/>
        <i x="70" s="1"/>
        <i x="413" s="1"/>
        <i x="31" s="1"/>
        <i x="36" s="1"/>
        <i x="395" s="1"/>
        <i x="412" s="1"/>
        <i x="400" s="1"/>
        <i x="230" s="1"/>
        <i x="372" s="1"/>
        <i x="8" s="1"/>
        <i x="375" s="1"/>
        <i x="322" s="1"/>
        <i x="385" s="1"/>
        <i x="393" s="1"/>
        <i x="45" s="1"/>
        <i x="313" s="1"/>
        <i x="22" s="1"/>
        <i x="173" s="1"/>
        <i x="42" s="1"/>
        <i x="98" s="1"/>
        <i x="65" s="1"/>
        <i x="154" s="1"/>
        <i x="398" s="1"/>
        <i x="91" s="1"/>
        <i x="118" s="1"/>
        <i x="101" s="1"/>
        <i x="368" s="1"/>
        <i x="151" s="1"/>
        <i x="416" s="1"/>
        <i x="344" s="1"/>
        <i x="116" s="1"/>
        <i x="274" s="1"/>
        <i x="102" s="1"/>
        <i x="103" s="1"/>
        <i x="369" s="1"/>
        <i x="132" s="1"/>
        <i x="249" s="1"/>
        <i x="269" s="1"/>
        <i x="304" s="1"/>
        <i x="463" s="1"/>
        <i x="104" s="1"/>
        <i x="24" s="1"/>
        <i x="411" s="1"/>
        <i x="287" s="1"/>
        <i x="293" s="1"/>
        <i x="157" s="1"/>
        <i x="320" s="1"/>
        <i x="26" s="1"/>
        <i x="334" s="1"/>
        <i x="19" s="1"/>
        <i x="465" s="1"/>
        <i x="228" s="1"/>
        <i x="453" s="1"/>
        <i x="447" s="1"/>
        <i x="399" s="1"/>
        <i x="144" s="1"/>
        <i x="298" s="1"/>
        <i x="326" s="1"/>
        <i x="175" s="1"/>
        <i x="99" s="1"/>
        <i x="421" s="1"/>
        <i x="456" s="1"/>
        <i x="353" s="1"/>
        <i x="396" s="1"/>
        <i x="365" s="1"/>
        <i x="32" s="1"/>
        <i x="38" s="1"/>
        <i x="74" s="1"/>
        <i x="341" s="1"/>
        <i x="434" s="1"/>
        <i x="225" s="1"/>
        <i x="209" s="1"/>
        <i x="210" s="1"/>
        <i x="331" s="1"/>
        <i x="255" s="1"/>
        <i x="191" s="1"/>
        <i x="187" s="1"/>
        <i x="212" s="1"/>
        <i x="97" s="1"/>
        <i x="197" s="1"/>
        <i x="178" s="1"/>
        <i x="138" s="1"/>
        <i x="366" s="1"/>
        <i x="189" s="1"/>
        <i x="166" s="1"/>
        <i x="88" s="1"/>
        <i x="238" s="1"/>
        <i x="156" s="1"/>
        <i x="407" s="1"/>
        <i x="196" s="1"/>
        <i x="464" s="1"/>
        <i x="46" s="1"/>
        <i x="100" s="1"/>
        <i x="49" s="1"/>
        <i x="462" s="1"/>
        <i x="168" s="1"/>
        <i x="1" s="1"/>
        <i x="404" s="1"/>
        <i x="40" s="1"/>
        <i x="229" s="1"/>
        <i x="291" s="1"/>
        <i x="148" s="1"/>
        <i x="356" s="1"/>
        <i x="61" s="1"/>
        <i x="273" s="1"/>
        <i x="333" s="1"/>
        <i x="48" s="1"/>
        <i x="299" s="1"/>
        <i x="223" s="1"/>
        <i x="444" s="1"/>
        <i x="405" s="1"/>
        <i x="392" s="1"/>
        <i x="127" s="1"/>
        <i x="76" s="1"/>
        <i x="379" s="1"/>
        <i x="302" s="1"/>
        <i x="461" s="1"/>
        <i x="25" s="1"/>
        <i x="219" s="1"/>
        <i x="96" s="1"/>
        <i x="430" s="1"/>
        <i x="390" s="1"/>
        <i x="16" s="1"/>
        <i x="330" s="1"/>
        <i x="126" s="1"/>
        <i x="71" s="1"/>
        <i x="55" s="1"/>
        <i x="337" s="1"/>
        <i x="124" s="1"/>
        <i x="130" s="1"/>
        <i x="359" s="1"/>
        <i x="6" s="1"/>
        <i x="357" s="1"/>
        <i x="272" s="1"/>
        <i x="11" s="1"/>
        <i x="409" s="1"/>
        <i x="316" s="1"/>
        <i x="123" s="1"/>
        <i x="420" s="1"/>
        <i x="283" s="1"/>
        <i x="170" s="1"/>
        <i x="105" s="1"/>
        <i x="335" s="1"/>
        <i x="51" s="1"/>
        <i x="266" s="1"/>
        <i x="93" s="1"/>
        <i x="192" s="1"/>
        <i x="318" s="1"/>
        <i x="167" s="1"/>
        <i x="185" s="1"/>
        <i x="317" s="1"/>
        <i x="414" s="1"/>
        <i x="54" s="1"/>
        <i x="120" s="1"/>
        <i x="146" s="1"/>
        <i x="433" s="1"/>
        <i x="454" s="1"/>
        <i x="243" s="1"/>
        <i x="338" s="1"/>
        <i x="349" s="1"/>
        <i x="467" s="1"/>
        <i x="121" s="1"/>
        <i x="12" s="1"/>
        <i x="339" s="1"/>
        <i x="402" s="1"/>
        <i x="418" s="1"/>
        <i x="252" s="1"/>
        <i x="310" s="1"/>
        <i x="309" s="1"/>
        <i x="381" s="1"/>
        <i x="401" s="1"/>
        <i x="80" s="1"/>
        <i x="3" s="1"/>
        <i x="258" s="1"/>
        <i x="95" s="1"/>
        <i x="277" s="1"/>
        <i x="254" s="1"/>
        <i x="53" s="1"/>
        <i x="28" s="1"/>
        <i x="69" s="1"/>
        <i x="377" s="1"/>
        <i x="261" s="1"/>
        <i x="332" s="1"/>
        <i x="440" s="1"/>
        <i x="160" s="1"/>
        <i x="139" s="1"/>
        <i x="448" s="1"/>
        <i x="222" s="1"/>
        <i x="79" s="1"/>
        <i x="208" s="1"/>
        <i x="60" s="1"/>
        <i x="86" s="1"/>
        <i x="57" s="1"/>
        <i x="355" s="1"/>
        <i x="267" s="1"/>
        <i x="321" s="1"/>
        <i x="78" s="1"/>
        <i x="394" s="1"/>
        <i x="217" s="1"/>
        <i x="253" s="1"/>
        <i x="270" s="1"/>
        <i x="281" s="1"/>
        <i x="9" s="1"/>
        <i x="329" s="1"/>
        <i x="41" s="1"/>
        <i x="262" s="1"/>
        <i x="108" s="1"/>
        <i x="346" s="1"/>
        <i x="56" s="1"/>
        <i x="21" s="1"/>
        <i x="325" s="1"/>
        <i x="296" s="1"/>
        <i x="111" s="1"/>
        <i x="236" s="1"/>
        <i x="268" s="1"/>
        <i x="35" s="1"/>
        <i x="305" s="1"/>
        <i x="438" s="1"/>
        <i x="232" s="1"/>
        <i x="350" s="1"/>
        <i x="110" s="1"/>
        <i x="445" s="1"/>
        <i x="190" s="1"/>
        <i x="201" s="1"/>
        <i x="213" s="1"/>
        <i x="466" s="1"/>
        <i x="18" s="1"/>
        <i x="188" s="1"/>
        <i x="92" s="1"/>
        <i x="319" s="1"/>
        <i x="30" s="1"/>
        <i x="378" s="1"/>
        <i x="90" s="1"/>
        <i x="218" s="1"/>
        <i x="442" s="1"/>
        <i x="117" s="1"/>
        <i x="431" s="1"/>
        <i x="83" s="1"/>
        <i x="205" s="1"/>
        <i x="457" s="1"/>
        <i x="384" s="1"/>
        <i x="301" s="1"/>
        <i x="427" s="1"/>
        <i x="164" s="1"/>
        <i x="198" s="1"/>
        <i x="257" s="1"/>
        <i x="388" s="1"/>
        <i x="14" s="1"/>
        <i x="237" s="1"/>
        <i x="17" s="1"/>
        <i x="59" s="1"/>
        <i x="135" s="1"/>
        <i x="224" s="1"/>
        <i x="284" s="1"/>
        <i x="165"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egion" xr10:uid="{E84DC8BC-AE1E-4935-AEA9-D40422FA8307}" sourceName="Region">
  <pivotTables>
    <pivotTable tabId="17" name="Revenue by month"/>
    <pivotTable tabId="17" name="profit(region/channel)"/>
    <pivotTable tabId="17" name="Top 10 SKU"/>
  </pivotTables>
  <data>
    <tabular pivotCacheId="339345228">
      <items count="4">
        <i x="0" s="1"/>
        <i x="2" s="1"/>
        <i x="1" s="1"/>
        <i x="3"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ountry" xr10:uid="{D27B6FC9-BFB5-4B78-8277-E4D02D73A3D7}" sourceName="Country">
  <pivotTables>
    <pivotTable tabId="17" name="Revenue by month"/>
    <pivotTable tabId="17" name="profit(region/channel)"/>
    <pivotTable tabId="17" name="Top 10 SKU"/>
  </pivotTables>
  <data>
    <tabular pivotCacheId="339345228">
      <items count="12">
        <i x="5" s="1"/>
        <i x="3" s="1"/>
        <i x="9" s="1"/>
        <i x="7" s="1"/>
        <i x="6" s="1"/>
        <i x="4" s="1"/>
        <i x="2" s="1"/>
        <i x="0" s="1"/>
        <i x="1" s="1"/>
        <i x="11" s="1"/>
        <i x="8" s="1"/>
        <i x="10" s="1"/>
      </items>
    </tabular>
  </data>
</slicerCacheDefinition>
</file>

<file path=xl/slicerCaches/slicerCache4.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hannel" xr10:uid="{530CFF76-7666-4494-8A26-0999022D352B}" sourceName="Channel">
  <pivotTables>
    <pivotTable tabId="17" name="Revenue by month"/>
    <pivotTable tabId="17" name="profit(region/channel)"/>
    <pivotTable tabId="17" name="Top 10 SKU"/>
  </pivotTables>
  <data>
    <tabular pivotCacheId="339345228">
      <items count="5">
        <i x="4" s="1"/>
        <i x="3" s="1"/>
        <i x="2" s="1"/>
        <i x="1" s="1"/>
        <i x="0" s="1"/>
      </items>
    </tabular>
  </data>
</slicerCacheDefinition>
</file>

<file path=xl/slicerCaches/slicerCache5.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alesperson" xr10:uid="{23C29B7D-CFEE-4F59-B76F-0E0002B8EFCA}" sourceName="Salesperson">
  <pivotTables>
    <pivotTable tabId="17" name="Revenue by month"/>
    <pivotTable tabId="17" name="profit(region/channel)"/>
    <pivotTable tabId="17" name="Top 10 SKU"/>
  </pivotTables>
  <data>
    <tabular pivotCacheId="339345228">
      <items count="15">
        <i x="8" s="1"/>
        <i x="5" s="1"/>
        <i x="0" s="1"/>
        <i x="14" s="1"/>
        <i x="6" s="1"/>
        <i x="9" s="1"/>
        <i x="3" s="1"/>
        <i x="10" s="1"/>
        <i x="2" s="1"/>
        <i x="1" s="1"/>
        <i x="11" s="1"/>
        <i x="4" s="1"/>
        <i x="12" s="1"/>
        <i x="13" s="1"/>
        <i x="7" s="1"/>
      </items>
    </tabular>
  </data>
</slicerCacheDefinition>
</file>

<file path=xl/slicerCaches/slicerCache6.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ProductCategory" xr10:uid="{48BC1D3E-5198-4794-8879-39C508A7FF00}" sourceName="ProductCategory">
  <pivotTables>
    <pivotTable tabId="17" name="Revenue by month"/>
    <pivotTable tabId="17" name="profit(region/channel)"/>
    <pivotTable tabId="17" name="Top 10 SKU"/>
  </pivotTables>
  <data>
    <tabular pivotCacheId="339345228">
      <items count="7">
        <i x="6" s="1"/>
        <i x="0" s="1"/>
        <i x="4" s="1"/>
        <i x="5" s="1"/>
        <i x="2" s="1"/>
        <i x="3" s="1"/>
        <i x="1"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OrderDate         (mmm-yyyy)" xr10:uid="{D07D04DC-423D-4EA4-A6A8-CBF9F7632207}" cache="Slicer_OrderDate__________mmm_yyyy" caption="OrderDate         (mmm-yyyy)" style="Slicer Style 1" rowHeight="241300"/>
  <slicer name="Region" xr10:uid="{ED4FA1A8-5620-4C31-80D2-6354AEAC30DB}" cache="Slicer_Region" caption="Region" startItem="1" style="Slicer Style 1" rowHeight="241300"/>
  <slicer name="Country" xr10:uid="{DA5A5C78-3B53-47FD-9576-FEF68097550F}" cache="Slicer_Country" caption="Country" startItem="8" style="Slicer Style 1" rowHeight="241300"/>
  <slicer name="Channel" xr10:uid="{99EFA88B-71FE-43D0-9610-CEADD62DBA4B}" cache="Slicer_Channel" caption="Channel" style="Slicer Style 1" rowHeight="241300"/>
  <slicer name="Salesperson" xr10:uid="{1A9E91AE-8199-4861-B931-B489DDFB8B72}" cache="Slicer_Salesperson" caption="Salesperson" style="Slicer Style 1" rowHeight="241300"/>
  <slicer name="ProductCategory" xr10:uid="{10044F68-7F6D-4933-BAC9-AC73A102CB53}" cache="Slicer_ProductCategory" caption="ProductCategory" style="Slicer Style 1" rowHeight="24130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8C544D61-5024-45A2-90BD-0FA6B08F315B}" name="Table1" displayName="Table1" ref="A1:AJ633" totalsRowShown="0" headerRowDxfId="5">
  <autoFilter ref="A1:AJ633" xr:uid="{8C544D61-5024-45A2-90BD-0FA6B08F315B}"/>
  <tableColumns count="36">
    <tableColumn id="1" xr3:uid="{C1CFA56E-B778-4AAB-AC02-AEAEBA3FDDC3}" name="Column1"/>
    <tableColumn id="2" xr3:uid="{DF379EC7-7FE3-4D52-AFC0-936A42AE7BE9}" name="OrderDate" dataDxfId="27"/>
    <tableColumn id="3" xr3:uid="{265C8EAB-9D57-4883-9C08-3A9B643134BA}" name="OrderDate         (mmm-yyyy)" dataDxfId="26"/>
    <tableColumn id="4" xr3:uid="{21D000CC-AED8-453F-A92A-4B7304101118}" name="Order Quarter" dataDxfId="25">
      <calculatedColumnFormula>"Q"&amp;ROUNDUP(MONTH(B2)/3,0)&amp;"-"&amp;YEAR(B2)</calculatedColumnFormula>
    </tableColumn>
    <tableColumn id="5" xr3:uid="{0E4B79F7-7C2E-4531-833B-6565E3969780}" name="RequiredDate" dataDxfId="24"/>
    <tableColumn id="6" xr3:uid="{5525D4AD-F825-459F-B71F-8B3AC3399A7A}" name="Cleaned RequiredDate" dataDxfId="23"/>
    <tableColumn id="7" xr3:uid="{C1D0A4C1-C2E6-451B-8421-E7AD0DE13CCC}" name="LeadTimeDays" dataDxfId="22">
      <calculatedColumnFormula>E2-B2</calculatedColumnFormula>
    </tableColumn>
    <tableColumn id="8" xr3:uid="{961C248D-CED9-4AEC-84B4-2B1BBFD3CA29}" name="Cleaned LeadTimeDays" dataDxfId="21">
      <calculatedColumnFormula>F2-B2</calculatedColumnFormula>
    </tableColumn>
    <tableColumn id="9" xr3:uid="{5F86D68B-DBAA-49C9-8F2E-21D7C01E90AC}" name="Target Met             (7 days)">
      <calculatedColumnFormula>IF(H2&lt;=7, "Yes", "No")</calculatedColumnFormula>
    </tableColumn>
    <tableColumn id="10" xr3:uid="{8967723C-1B01-4AB8-A555-6B3629F1D736}" name="StartDate" dataDxfId="20">
      <calculatedColumnFormula>_xlfn.MINIFS($B$2:$B$633, $L$2:$L$633, L2)</calculatedColumnFormula>
    </tableColumn>
    <tableColumn id="11" xr3:uid="{1E2477F7-5D0D-4158-9D79-5D9955EC0C02}" name="Region"/>
    <tableColumn id="12" xr3:uid="{4210AAEC-4705-40FF-8D09-14977DFFDBF3}" name="Country"/>
    <tableColumn id="13" xr3:uid="{7A8D59C2-E470-4C06-AE6B-5767B216B8DF}" name="City"/>
    <tableColumn id="14" xr3:uid="{BA19AA8A-C57D-4395-962B-D5E53E88B91A}" name="Region hierarchy">
      <calculatedColumnFormula>_xlfn.TEXTJOIN(" - ", TRUE, K2:M2)</calculatedColumnFormula>
    </tableColumn>
    <tableColumn id="15" xr3:uid="{BCE50648-BADD-4CD2-8336-3778046360BF}" name="CustomerSegment"/>
    <tableColumn id="16" xr3:uid="{3AB529BF-6441-4468-BCF7-9F1D5A4DE9DF}" name="Channel"/>
    <tableColumn id="17" xr3:uid="{4DF0C749-A760-4753-8963-B37B31D68B87}" name="Salesperson"/>
    <tableColumn id="18" xr3:uid="{2C07FC6F-98FC-4C85-AFBE-FF6B681C5752}" name="ProductCategory"/>
    <tableColumn id="19" xr3:uid="{54E0199E-73F0-41FA-A0FE-BC7BCCA89E09}" name="SKU"/>
    <tableColumn id="20" xr3:uid="{29CACF77-3FFD-49F4-A389-399DD3FC751F}" name="UnitCost" dataDxfId="19"/>
    <tableColumn id="21" xr3:uid="{3D2D9771-5BC6-46AD-913F-8FE4162EC7C3}" name="UnitPrice" dataDxfId="18"/>
    <tableColumn id="22" xr3:uid="{5FC36236-7B07-412A-A613-FBF0116B67E7}" name="Cleaned UnitPrice" dataDxfId="17">
      <calculatedColumnFormula>ABS(U2)</calculatedColumnFormula>
    </tableColumn>
    <tableColumn id="23" xr3:uid="{F8D51702-1F6F-43DB-8B9A-B0A3C280D5C8}" name="PriceBand" dataDxfId="16">
      <calculatedColumnFormula>IF(V2 &lt;= _xlfn.PERCENTILE.INC($V$2:$V$633, 0.33), "Low", IF(V2 &lt;= _xlfn.PERCENTILE.INC($V$2:$V$633, 0.67), "Medium", "High"))</calculatedColumnFormula>
    </tableColumn>
    <tableColumn id="24" xr3:uid="{F4323A22-44F6-4208-9FB0-114ACD7F9BDE}" name="DiscountPct" dataDxfId="15" dataCellStyle="Percent"/>
    <tableColumn id="25" xr3:uid="{C71951D0-93D0-4FB5-8807-DE2BDE678492}" name="Cleaned DiscountPct" dataDxfId="14" dataCellStyle="Percent">
      <calculatedColumnFormula>IF(X2&gt;30%,AVERAGEIF($X$2:$X$633,"&lt;30%"),X2)</calculatedColumnFormula>
    </tableColumn>
    <tableColumn id="26" xr3:uid="{B74FFD0A-7AF6-4018-9043-586CA97372E1}" name="Discount(&gt;20%)">
      <calculatedColumnFormula>IF(Y2&gt;0.2, "Yes", "No")</calculatedColumnFormula>
    </tableColumn>
    <tableColumn id="27" xr3:uid="{0A91E9EA-1FDA-40A7-AEC9-76C51E22D63F}" name="Quantity" dataDxfId="13"/>
    <tableColumn id="28" xr3:uid="{C469E26B-AB50-4166-BF89-F4916A1A0C66}" name="GrossRevenue" dataDxfId="12">
      <calculatedColumnFormula>U2*AA2*(1-Y2)</calculatedColumnFormula>
    </tableColumn>
    <tableColumn id="29" xr3:uid="{0A1B2BC3-EE11-4ED4-AFF6-D0BF29871552}" name="CostOfGoods" dataDxfId="11">
      <calculatedColumnFormula>T2*AA2</calculatedColumnFormula>
    </tableColumn>
    <tableColumn id="30" xr3:uid="{6178AA7E-4FB1-4562-8559-D5BB2725B8A0}" name="GrossProfit" dataDxfId="10">
      <calculatedColumnFormula>AB2-AC2</calculatedColumnFormula>
    </tableColumn>
    <tableColumn id="31" xr3:uid="{61F2F624-7054-49E9-BABA-18CF480C59AA}" name="MarginPct" dataDxfId="9" dataCellStyle="Percent">
      <calculatedColumnFormula xml:space="preserve"> IF(AB2=0, 0, AD2 / AB2)</calculatedColumnFormula>
    </tableColumn>
    <tableColumn id="32" xr3:uid="{FB7D892C-4850-4550-9EFE-638A28222973}" name="DiscountPct (Scenario)" dataDxfId="8">
      <calculatedColumnFormula>MIN(Y2,'Scenario Modeling'!$B$2)</calculatedColumnFormula>
    </tableColumn>
    <tableColumn id="33" xr3:uid="{132D7A36-1550-4888-A30F-37FD29F2EA9D}" name="Quantity (Scenario)">
      <calculatedColumnFormula>ROUND(AA2 * (1 + 'Scenario Modeling'!$B$4), 0)</calculatedColumnFormula>
    </tableColumn>
    <tableColumn id="34" xr3:uid="{A0375423-B09F-4E5D-A588-5532DD1EF692}" name="UnitCost (Scenario)">
      <calculatedColumnFormula>T2 * (1 + 'Scenario Modeling'!$B$3)</calculatedColumnFormula>
    </tableColumn>
    <tableColumn id="35" xr3:uid="{046D3945-A3C5-49D1-96BC-09072CA41FDF}" name="GrossRevenue            (Scenario)" dataDxfId="7">
      <calculatedColumnFormula>V2 * AG2 * (1 - AF2)</calculatedColumnFormula>
    </tableColumn>
    <tableColumn id="36" xr3:uid="{E8C9001A-171D-4DD4-B898-92374DA60B55}" name="GrossProfit(Scenario)" dataDxfId="6">
      <calculatedColumnFormula>AI2 - (AH2 * AG2)</calculatedColumnFormula>
    </tableColumn>
  </tableColumns>
  <tableStyleInfo name="TableStyleMedium9" showFirstColumn="0" showLastColumn="0" showRowStripes="1" showColumnStripes="0"/>
</table>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2.xml.rels><?xml version="1.0" encoding="UTF-8" standalone="yes"?>
<Relationships xmlns="http://schemas.openxmlformats.org/package/2006/relationships"><Relationship Id="rId1" Type="http://schemas.openxmlformats.org/officeDocument/2006/relationships/table" Target="../tables/table1.xml"/></Relationships>
</file>

<file path=xl/worksheets/_rels/sheet4.xml.rels><?xml version="1.0" encoding="UTF-8" standalone="yes"?>
<Relationships xmlns="http://schemas.openxmlformats.org/package/2006/relationships"><Relationship Id="rId2" Type="http://schemas.microsoft.com/office/2007/relationships/slicer" Target="../slicers/slicer1.xml"/><Relationship Id="rId1" Type="http://schemas.openxmlformats.org/officeDocument/2006/relationships/drawing" Target="../drawings/drawing1.xml"/></Relationships>
</file>

<file path=xl/worksheets/_rels/sheet5.xml.rels><?xml version="1.0" encoding="UTF-8" standalone="yes"?>
<Relationships xmlns="http://schemas.openxmlformats.org/package/2006/relationships"><Relationship Id="rId3" Type="http://schemas.openxmlformats.org/officeDocument/2006/relationships/pivotTable" Target="../pivotTables/pivotTable3.xml"/><Relationship Id="rId2" Type="http://schemas.openxmlformats.org/officeDocument/2006/relationships/pivotTable" Target="../pivotTables/pivotTable2.xml"/><Relationship Id="rId1" Type="http://schemas.openxmlformats.org/officeDocument/2006/relationships/pivotTable" Target="../pivotTables/pivotTable1.xml"/></Relationships>
</file>

<file path=xl/worksheets/_rels/sheet7.xml.rels><?xml version="1.0" encoding="UTF-8" standalone="yes"?>
<Relationships xmlns="http://schemas.openxmlformats.org/package/2006/relationships"><Relationship Id="rId1" Type="http://schemas.openxmlformats.org/officeDocument/2006/relationships/pivotTable" Target="../pivotTables/pivotTable4.xml"/></Relationships>
</file>

<file path=xl/worksheets/_rels/sheet8.xml.rels><?xml version="1.0" encoding="UTF-8" standalone="yes"?>
<Relationships xmlns="http://schemas.openxmlformats.org/package/2006/relationships"><Relationship Id="rId1" Type="http://schemas.openxmlformats.org/officeDocument/2006/relationships/pivotTable" Target="../pivotTables/pivotTable5.xml"/></Relationships>
</file>

<file path=xl/worksheets/_rels/sheet9.xml.rels><?xml version="1.0" encoding="UTF-8" standalone="yes"?>
<Relationships xmlns="http://schemas.openxmlformats.org/package/2006/relationships"><Relationship Id="rId1" Type="http://schemas.openxmlformats.org/officeDocument/2006/relationships/pivotTable" Target="../pivotTables/pivotTable6.xml"/></Relationships>
</file>

<file path=xl/worksheets/_rels/sheet10.xml.rels><?xml version="1.0" encoding="UTF-8" standalone="yes"?>
<Relationships xmlns="http://schemas.openxmlformats.org/package/2006/relationships"><Relationship Id="rId1" Type="http://schemas.openxmlformats.org/officeDocument/2006/relationships/pivotTable" Target="../pivotTables/pivotTable7.xml"/></Relationships>
</file>

<file path=xl/worksheets/_rels/sheet11.xml.rels><?xml version="1.0" encoding="UTF-8" standalone="yes"?>
<Relationships xmlns="http://schemas.openxmlformats.org/package/2006/relationships"><Relationship Id="rId1" Type="http://schemas.openxmlformats.org/officeDocument/2006/relationships/pivotTable" Target="../pivotTables/pivotTable8.xml"/></Relationships>
</file>

<file path=xl/worksheets/_rels/sheet12.xml.rels><?xml version="1.0" encoding="UTF-8" standalone="yes"?>
<Relationships xmlns="http://schemas.openxmlformats.org/package/2006/relationships"><Relationship Id="rId1" Type="http://schemas.openxmlformats.org/officeDocument/2006/relationships/pivotTable" Target="../pivotTables/pivotTable9.xml"/></Relationships>
</file>

<file path=xl/worksheets/_rels/sheet13.xml.rels><?xml version="1.0" encoding="UTF-8" standalone="yes"?>
<Relationships xmlns="http://schemas.openxmlformats.org/package/2006/relationships"><Relationship Id="rId1" Type="http://schemas.openxmlformats.org/officeDocument/2006/relationships/pivotTable" Target="../pivotTables/pivotTable10.xml"/></Relationships>
</file>

<file path=xl/worksheets/_rels/sheet14.xml.rels><?xml version="1.0" encoding="UTF-8" standalone="yes"?>
<Relationships xmlns="http://schemas.openxmlformats.org/package/2006/relationships"><Relationship Id="rId1" Type="http://schemas.openxmlformats.org/officeDocument/2006/relationships/pivotTable" Target="../pivotTables/pivotTable11.xml"/></Relationships>
</file>

<file path=xl/worksheets/_rels/sheet15.xml.rels><?xml version="1.0" encoding="UTF-8" standalone="yes"?>
<Relationships xmlns="http://schemas.openxmlformats.org/package/2006/relationships"><Relationship Id="rId1" Type="http://schemas.openxmlformats.org/officeDocument/2006/relationships/pivotTable" Target="../pivotTables/pivotTable12.xml"/></Relationships>
</file>

<file path=xl/worksheets/_rels/sheet16.xml.rels><?xml version="1.0" encoding="UTF-8" standalone="yes"?>
<Relationships xmlns="http://schemas.openxmlformats.org/package/2006/relationships"><Relationship Id="rId1" Type="http://schemas.openxmlformats.org/officeDocument/2006/relationships/pivotTable" Target="../pivotTables/pivotTable13.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O633"/>
  <sheetViews>
    <sheetView workbookViewId="0">
      <selection activeCell="O13" sqref="O13"/>
    </sheetView>
  </sheetViews>
  <sheetFormatPr defaultRowHeight="15"/>
  <sheetData>
    <row r="1" spans="1:15">
      <c r="A1" s="1" t="s">
        <v>0</v>
      </c>
      <c r="B1" s="1" t="s">
        <v>1</v>
      </c>
      <c r="C1" s="1" t="s">
        <v>2</v>
      </c>
      <c r="D1" s="1" t="s">
        <v>3</v>
      </c>
      <c r="E1" s="1" t="s">
        <v>4</v>
      </c>
      <c r="F1" s="1" t="s">
        <v>5</v>
      </c>
      <c r="G1" s="1" t="s">
        <v>6</v>
      </c>
      <c r="H1" s="1" t="s">
        <v>7</v>
      </c>
      <c r="I1" s="1" t="s">
        <v>8</v>
      </c>
      <c r="J1" s="1" t="s">
        <v>9</v>
      </c>
      <c r="K1" s="1" t="s">
        <v>10</v>
      </c>
      <c r="L1" s="1" t="s">
        <v>11</v>
      </c>
      <c r="M1" s="1" t="s">
        <v>12</v>
      </c>
      <c r="N1" s="1" t="s">
        <v>13</v>
      </c>
      <c r="O1" s="1" t="s">
        <v>14</v>
      </c>
    </row>
    <row r="2" spans="1:15">
      <c r="A2" t="s">
        <v>15</v>
      </c>
      <c r="B2" s="2">
        <v>45362</v>
      </c>
      <c r="C2" s="2">
        <v>45388</v>
      </c>
      <c r="D2" t="s">
        <v>646</v>
      </c>
      <c r="E2" t="s">
        <v>650</v>
      </c>
      <c r="F2" t="s">
        <v>662</v>
      </c>
      <c r="G2" t="s">
        <v>701</v>
      </c>
      <c r="H2" t="s">
        <v>707</v>
      </c>
      <c r="I2" t="s">
        <v>712</v>
      </c>
      <c r="J2" t="s">
        <v>727</v>
      </c>
      <c r="K2" t="s">
        <v>734</v>
      </c>
      <c r="L2">
        <v>279.24</v>
      </c>
      <c r="M2">
        <v>608.9</v>
      </c>
      <c r="N2">
        <v>0.112</v>
      </c>
      <c r="O2">
        <v>9</v>
      </c>
    </row>
    <row r="3" spans="1:15">
      <c r="A3" t="s">
        <v>16</v>
      </c>
      <c r="B3" s="2">
        <v>45588</v>
      </c>
      <c r="C3" s="2">
        <v>45587</v>
      </c>
      <c r="D3" t="s">
        <v>646</v>
      </c>
      <c r="E3" t="s">
        <v>651</v>
      </c>
      <c r="F3" t="s">
        <v>663</v>
      </c>
      <c r="G3" t="s">
        <v>702</v>
      </c>
      <c r="H3" t="s">
        <v>708</v>
      </c>
      <c r="I3" t="s">
        <v>713</v>
      </c>
      <c r="J3" t="s">
        <v>728</v>
      </c>
      <c r="K3" t="s">
        <v>735</v>
      </c>
      <c r="L3">
        <v>1084.3900000000001</v>
      </c>
      <c r="M3">
        <v>759.33</v>
      </c>
      <c r="N3">
        <v>0.23699999999999999</v>
      </c>
      <c r="O3">
        <v>31</v>
      </c>
    </row>
    <row r="4" spans="1:15">
      <c r="A4" t="s">
        <v>17</v>
      </c>
      <c r="B4" s="2">
        <v>44985</v>
      </c>
      <c r="C4" s="2">
        <v>45010</v>
      </c>
      <c r="D4" t="s">
        <v>646</v>
      </c>
      <c r="E4" t="s">
        <v>650</v>
      </c>
      <c r="F4" t="s">
        <v>664</v>
      </c>
      <c r="G4" t="s">
        <v>701</v>
      </c>
      <c r="H4" t="s">
        <v>707</v>
      </c>
      <c r="I4" t="s">
        <v>714</v>
      </c>
      <c r="J4" t="s">
        <v>729</v>
      </c>
      <c r="K4" t="s">
        <v>736</v>
      </c>
      <c r="L4">
        <v>1460.76</v>
      </c>
      <c r="M4">
        <v>-30.66</v>
      </c>
      <c r="N4">
        <v>0.13100000000000001</v>
      </c>
      <c r="O4">
        <v>12</v>
      </c>
    </row>
    <row r="5" spans="1:15">
      <c r="A5" t="s">
        <v>18</v>
      </c>
      <c r="B5" s="2">
        <v>45745</v>
      </c>
      <c r="C5" s="2">
        <v>45749</v>
      </c>
      <c r="D5" t="s">
        <v>646</v>
      </c>
      <c r="E5" t="s">
        <v>651</v>
      </c>
      <c r="F5" t="s">
        <v>665</v>
      </c>
      <c r="G5" t="s">
        <v>703</v>
      </c>
      <c r="H5" t="s">
        <v>709</v>
      </c>
      <c r="I5" t="s">
        <v>715</v>
      </c>
      <c r="J5" t="s">
        <v>730</v>
      </c>
      <c r="K5" t="s">
        <v>737</v>
      </c>
      <c r="L5">
        <v>259.93</v>
      </c>
      <c r="M5">
        <v>255.94</v>
      </c>
      <c r="N5">
        <v>7.1999999999999995E-2</v>
      </c>
      <c r="O5">
        <v>22</v>
      </c>
    </row>
    <row r="6" spans="1:15">
      <c r="A6" t="s">
        <v>19</v>
      </c>
      <c r="B6" s="2">
        <v>45266</v>
      </c>
      <c r="C6" s="2">
        <v>45291</v>
      </c>
      <c r="D6" t="s">
        <v>647</v>
      </c>
      <c r="E6" t="s">
        <v>652</v>
      </c>
      <c r="F6" t="s">
        <v>666</v>
      </c>
      <c r="G6" t="s">
        <v>704</v>
      </c>
      <c r="H6" t="s">
        <v>707</v>
      </c>
      <c r="I6" t="s">
        <v>716</v>
      </c>
      <c r="J6" t="s">
        <v>728</v>
      </c>
      <c r="K6" t="s">
        <v>738</v>
      </c>
      <c r="L6">
        <v>663.03</v>
      </c>
      <c r="M6">
        <v>813.51</v>
      </c>
      <c r="N6">
        <v>0.10199999999999999</v>
      </c>
      <c r="O6">
        <v>15</v>
      </c>
    </row>
    <row r="7" spans="1:15">
      <c r="A7" t="s">
        <v>20</v>
      </c>
      <c r="B7" s="2">
        <v>44928</v>
      </c>
      <c r="C7" s="2">
        <v>44931</v>
      </c>
      <c r="D7" t="s">
        <v>648</v>
      </c>
      <c r="E7" t="s">
        <v>653</v>
      </c>
      <c r="F7" t="s">
        <v>667</v>
      </c>
      <c r="G7" t="s">
        <v>701</v>
      </c>
      <c r="H7" t="s">
        <v>710</v>
      </c>
      <c r="I7" t="s">
        <v>717</v>
      </c>
      <c r="J7" t="s">
        <v>731</v>
      </c>
      <c r="K7" t="s">
        <v>739</v>
      </c>
      <c r="L7">
        <v>315.87</v>
      </c>
      <c r="M7">
        <v>591.67999999999995</v>
      </c>
      <c r="N7">
        <v>0</v>
      </c>
      <c r="O7">
        <v>7</v>
      </c>
    </row>
    <row r="8" spans="1:15">
      <c r="A8" t="s">
        <v>21</v>
      </c>
      <c r="B8" s="2">
        <v>45653</v>
      </c>
      <c r="C8" s="2">
        <v>45671</v>
      </c>
      <c r="D8" t="s">
        <v>647</v>
      </c>
      <c r="E8" t="s">
        <v>654</v>
      </c>
      <c r="F8" t="s">
        <v>668</v>
      </c>
      <c r="G8" t="s">
        <v>705</v>
      </c>
      <c r="H8" t="s">
        <v>709</v>
      </c>
      <c r="I8" t="s">
        <v>718</v>
      </c>
      <c r="J8" t="s">
        <v>732</v>
      </c>
      <c r="K8" t="s">
        <v>740</v>
      </c>
      <c r="L8">
        <v>586.07000000000005</v>
      </c>
      <c r="M8">
        <v>845.97</v>
      </c>
      <c r="N8">
        <v>0.14699999999999999</v>
      </c>
      <c r="O8">
        <v>4</v>
      </c>
    </row>
    <row r="9" spans="1:15">
      <c r="A9" t="s">
        <v>22</v>
      </c>
      <c r="B9" s="2">
        <v>44941</v>
      </c>
      <c r="C9" s="2">
        <v>44939</v>
      </c>
      <c r="D9" t="s">
        <v>646</v>
      </c>
      <c r="E9" t="s">
        <v>651</v>
      </c>
      <c r="F9" t="s">
        <v>669</v>
      </c>
      <c r="G9" t="s">
        <v>702</v>
      </c>
      <c r="H9" t="s">
        <v>708</v>
      </c>
      <c r="I9" t="s">
        <v>719</v>
      </c>
      <c r="J9" t="s">
        <v>728</v>
      </c>
      <c r="K9" t="s">
        <v>741</v>
      </c>
      <c r="L9">
        <v>28.38</v>
      </c>
      <c r="M9">
        <v>47.22</v>
      </c>
      <c r="N9">
        <v>0.19400000000000001</v>
      </c>
      <c r="O9">
        <v>18</v>
      </c>
    </row>
    <row r="10" spans="1:15">
      <c r="A10" t="s">
        <v>23</v>
      </c>
      <c r="B10" s="2">
        <v>45416</v>
      </c>
      <c r="C10" s="2">
        <v>45441</v>
      </c>
      <c r="D10" t="s">
        <v>646</v>
      </c>
      <c r="E10" t="s">
        <v>651</v>
      </c>
      <c r="F10" t="s">
        <v>669</v>
      </c>
      <c r="G10" t="s">
        <v>703</v>
      </c>
      <c r="H10" t="s">
        <v>709</v>
      </c>
      <c r="I10" t="s">
        <v>719</v>
      </c>
      <c r="J10" t="s">
        <v>732</v>
      </c>
      <c r="K10" t="s">
        <v>742</v>
      </c>
      <c r="L10">
        <v>1295.3399999999999</v>
      </c>
      <c r="M10">
        <v>2530.81</v>
      </c>
      <c r="N10">
        <v>3.1E-2</v>
      </c>
      <c r="O10">
        <v>6</v>
      </c>
    </row>
    <row r="11" spans="1:15">
      <c r="A11" t="s">
        <v>24</v>
      </c>
      <c r="B11" s="2">
        <v>45798</v>
      </c>
      <c r="C11" s="2">
        <v>45817</v>
      </c>
      <c r="D11" t="s">
        <v>648</v>
      </c>
      <c r="E11" t="s">
        <v>655</v>
      </c>
      <c r="F11" t="s">
        <v>670</v>
      </c>
      <c r="G11" t="s">
        <v>703</v>
      </c>
      <c r="H11" t="s">
        <v>708</v>
      </c>
      <c r="I11" t="s">
        <v>720</v>
      </c>
      <c r="J11" t="s">
        <v>727</v>
      </c>
      <c r="K11" t="s">
        <v>743</v>
      </c>
      <c r="L11">
        <v>1331.38</v>
      </c>
      <c r="M11">
        <v>2309.56</v>
      </c>
      <c r="N11">
        <v>0.14899999999999999</v>
      </c>
      <c r="O11">
        <v>31</v>
      </c>
    </row>
    <row r="12" spans="1:15">
      <c r="A12" t="s">
        <v>25</v>
      </c>
      <c r="B12" s="2">
        <v>45319</v>
      </c>
      <c r="C12" s="2">
        <v>45331</v>
      </c>
      <c r="D12" t="s">
        <v>649</v>
      </c>
      <c r="E12" t="s">
        <v>656</v>
      </c>
      <c r="F12" t="s">
        <v>671</v>
      </c>
      <c r="G12" t="s">
        <v>701</v>
      </c>
      <c r="H12" t="s">
        <v>708</v>
      </c>
      <c r="I12" t="s">
        <v>715</v>
      </c>
      <c r="J12" t="s">
        <v>733</v>
      </c>
      <c r="K12" t="s">
        <v>744</v>
      </c>
      <c r="L12">
        <v>644.16999999999996</v>
      </c>
      <c r="M12">
        <v>700.12</v>
      </c>
      <c r="N12">
        <v>6.0000000000000001E-3</v>
      </c>
      <c r="O12">
        <v>23</v>
      </c>
    </row>
    <row r="13" spans="1:15">
      <c r="A13" t="s">
        <v>26</v>
      </c>
      <c r="B13" s="2">
        <v>45660</v>
      </c>
      <c r="C13" s="2">
        <v>45680</v>
      </c>
      <c r="D13" t="s">
        <v>647</v>
      </c>
      <c r="E13" t="s">
        <v>652</v>
      </c>
      <c r="F13" t="s">
        <v>666</v>
      </c>
      <c r="G13" t="s">
        <v>701</v>
      </c>
      <c r="H13" t="s">
        <v>710</v>
      </c>
      <c r="I13" t="s">
        <v>721</v>
      </c>
      <c r="J13" t="s">
        <v>730</v>
      </c>
      <c r="K13" t="s">
        <v>745</v>
      </c>
      <c r="L13">
        <v>908.6</v>
      </c>
      <c r="M13">
        <v>691.37</v>
      </c>
      <c r="N13">
        <v>0.25</v>
      </c>
      <c r="O13">
        <v>20</v>
      </c>
    </row>
    <row r="14" spans="1:15">
      <c r="A14" t="s">
        <v>27</v>
      </c>
      <c r="B14" s="2">
        <v>45722</v>
      </c>
      <c r="C14" s="2">
        <v>45747</v>
      </c>
      <c r="D14" t="s">
        <v>648</v>
      </c>
      <c r="E14" t="s">
        <v>655</v>
      </c>
      <c r="F14" t="s">
        <v>672</v>
      </c>
      <c r="G14" t="s">
        <v>703</v>
      </c>
      <c r="H14" t="s">
        <v>708</v>
      </c>
      <c r="I14" t="s">
        <v>713</v>
      </c>
      <c r="J14" t="s">
        <v>727</v>
      </c>
      <c r="K14" t="s">
        <v>746</v>
      </c>
      <c r="L14">
        <v>331.57</v>
      </c>
      <c r="M14">
        <v>548.4</v>
      </c>
      <c r="N14">
        <v>9.4E-2</v>
      </c>
      <c r="O14">
        <v>10</v>
      </c>
    </row>
    <row r="15" spans="1:15">
      <c r="A15" t="s">
        <v>28</v>
      </c>
      <c r="B15" s="2">
        <v>45311</v>
      </c>
      <c r="C15" s="2">
        <v>45335</v>
      </c>
      <c r="D15" t="s">
        <v>649</v>
      </c>
      <c r="E15" t="s">
        <v>657</v>
      </c>
      <c r="F15" t="s">
        <v>673</v>
      </c>
      <c r="G15" t="s">
        <v>701</v>
      </c>
      <c r="H15" t="s">
        <v>707</v>
      </c>
      <c r="I15" t="s">
        <v>722</v>
      </c>
      <c r="J15" t="s">
        <v>728</v>
      </c>
      <c r="K15" t="s">
        <v>747</v>
      </c>
      <c r="L15">
        <v>643.53</v>
      </c>
      <c r="M15">
        <v>1439.01</v>
      </c>
      <c r="N15">
        <v>0</v>
      </c>
      <c r="O15">
        <v>15</v>
      </c>
    </row>
    <row r="16" spans="1:15">
      <c r="A16" t="s">
        <v>29</v>
      </c>
      <c r="B16" s="2">
        <v>45901</v>
      </c>
      <c r="C16" s="2">
        <v>45930</v>
      </c>
      <c r="D16" t="s">
        <v>648</v>
      </c>
      <c r="E16" t="s">
        <v>655</v>
      </c>
      <c r="F16" t="s">
        <v>672</v>
      </c>
      <c r="G16" t="s">
        <v>702</v>
      </c>
      <c r="H16" t="s">
        <v>707</v>
      </c>
      <c r="I16" t="s">
        <v>723</v>
      </c>
      <c r="J16" t="s">
        <v>733</v>
      </c>
      <c r="K16" t="s">
        <v>748</v>
      </c>
      <c r="L16">
        <v>780.59</v>
      </c>
      <c r="M16">
        <v>631.57000000000005</v>
      </c>
      <c r="N16">
        <v>0</v>
      </c>
      <c r="O16">
        <v>12</v>
      </c>
    </row>
    <row r="17" spans="1:15">
      <c r="A17" t="s">
        <v>30</v>
      </c>
      <c r="B17" s="2">
        <v>45039</v>
      </c>
      <c r="C17" s="2">
        <v>45038</v>
      </c>
      <c r="D17" t="s">
        <v>646</v>
      </c>
      <c r="E17" t="s">
        <v>650</v>
      </c>
      <c r="F17" t="s">
        <v>664</v>
      </c>
      <c r="G17" t="s">
        <v>705</v>
      </c>
      <c r="H17" t="s">
        <v>711</v>
      </c>
      <c r="I17" t="s">
        <v>718</v>
      </c>
      <c r="J17" t="s">
        <v>731</v>
      </c>
      <c r="K17" t="s">
        <v>749</v>
      </c>
      <c r="L17">
        <v>756.51</v>
      </c>
      <c r="M17">
        <v>850.8</v>
      </c>
      <c r="N17">
        <v>7.3999999999999996E-2</v>
      </c>
      <c r="O17">
        <v>9</v>
      </c>
    </row>
    <row r="18" spans="1:15">
      <c r="A18" t="s">
        <v>31</v>
      </c>
      <c r="B18" s="2">
        <v>45636</v>
      </c>
      <c r="C18" s="2">
        <v>45665</v>
      </c>
      <c r="D18" t="s">
        <v>649</v>
      </c>
      <c r="E18" t="s">
        <v>657</v>
      </c>
      <c r="F18" t="s">
        <v>673</v>
      </c>
      <c r="G18" t="s">
        <v>705</v>
      </c>
      <c r="H18" t="s">
        <v>707</v>
      </c>
      <c r="I18" t="s">
        <v>723</v>
      </c>
      <c r="J18" t="s">
        <v>728</v>
      </c>
      <c r="K18" t="s">
        <v>750</v>
      </c>
      <c r="L18">
        <v>891.08</v>
      </c>
      <c r="M18">
        <v>1040.0999999999999</v>
      </c>
      <c r="N18">
        <v>0.109</v>
      </c>
      <c r="O18">
        <v>28</v>
      </c>
    </row>
    <row r="19" spans="1:15">
      <c r="A19" t="s">
        <v>32</v>
      </c>
      <c r="B19" s="2">
        <v>45908</v>
      </c>
      <c r="C19" s="2">
        <v>45916</v>
      </c>
      <c r="D19" t="s">
        <v>647</v>
      </c>
      <c r="E19" t="s">
        <v>652</v>
      </c>
      <c r="F19" t="s">
        <v>666</v>
      </c>
      <c r="G19" t="s">
        <v>701</v>
      </c>
      <c r="H19" t="s">
        <v>710</v>
      </c>
      <c r="I19" t="s">
        <v>712</v>
      </c>
      <c r="J19" t="s">
        <v>730</v>
      </c>
      <c r="K19" t="s">
        <v>751</v>
      </c>
      <c r="L19">
        <v>1225.57</v>
      </c>
      <c r="M19">
        <v>2705.57</v>
      </c>
      <c r="N19">
        <v>0.183</v>
      </c>
      <c r="O19">
        <v>16</v>
      </c>
    </row>
    <row r="20" spans="1:15">
      <c r="A20" t="s">
        <v>33</v>
      </c>
      <c r="B20" s="2">
        <v>45858</v>
      </c>
      <c r="C20" s="2">
        <v>45874</v>
      </c>
      <c r="D20" t="s">
        <v>648</v>
      </c>
      <c r="E20" t="s">
        <v>655</v>
      </c>
      <c r="F20" t="s">
        <v>672</v>
      </c>
      <c r="G20" t="s">
        <v>706</v>
      </c>
      <c r="H20" t="s">
        <v>709</v>
      </c>
      <c r="I20" t="s">
        <v>715</v>
      </c>
      <c r="J20" t="s">
        <v>733</v>
      </c>
      <c r="K20" t="s">
        <v>752</v>
      </c>
      <c r="L20">
        <v>1068.17</v>
      </c>
      <c r="M20">
        <v>2375.37</v>
      </c>
      <c r="N20">
        <v>0.109</v>
      </c>
      <c r="O20">
        <v>18</v>
      </c>
    </row>
    <row r="21" spans="1:15">
      <c r="A21" t="s">
        <v>34</v>
      </c>
      <c r="B21" s="2">
        <v>45798</v>
      </c>
      <c r="C21" s="2">
        <v>45796</v>
      </c>
      <c r="D21" t="s">
        <v>649</v>
      </c>
      <c r="E21" t="s">
        <v>658</v>
      </c>
      <c r="F21" t="s">
        <v>674</v>
      </c>
      <c r="G21" t="s">
        <v>706</v>
      </c>
      <c r="H21" t="s">
        <v>708</v>
      </c>
      <c r="I21" t="s">
        <v>724</v>
      </c>
      <c r="J21" t="s">
        <v>731</v>
      </c>
      <c r="K21" t="s">
        <v>753</v>
      </c>
      <c r="L21">
        <v>1015.16</v>
      </c>
      <c r="M21">
        <v>2148.14</v>
      </c>
      <c r="N21">
        <v>3.7999999999999999E-2</v>
      </c>
      <c r="O21">
        <v>19</v>
      </c>
    </row>
    <row r="22" spans="1:15">
      <c r="A22" t="s">
        <v>35</v>
      </c>
      <c r="B22" s="2">
        <v>45498</v>
      </c>
      <c r="C22" s="2">
        <v>45497</v>
      </c>
      <c r="D22" t="s">
        <v>646</v>
      </c>
      <c r="E22" t="s">
        <v>650</v>
      </c>
      <c r="F22" t="s">
        <v>675</v>
      </c>
      <c r="G22" t="s">
        <v>703</v>
      </c>
      <c r="H22" t="s">
        <v>711</v>
      </c>
      <c r="I22" t="s">
        <v>713</v>
      </c>
      <c r="J22" t="s">
        <v>731</v>
      </c>
      <c r="K22" t="s">
        <v>754</v>
      </c>
      <c r="L22">
        <v>1494.4</v>
      </c>
      <c r="M22">
        <v>3661.07</v>
      </c>
      <c r="N22">
        <v>7.1999999999999995E-2</v>
      </c>
      <c r="O22">
        <v>7</v>
      </c>
    </row>
    <row r="23" spans="1:15">
      <c r="A23" t="s">
        <v>36</v>
      </c>
      <c r="B23" s="2">
        <v>45057</v>
      </c>
      <c r="C23" s="2">
        <v>45074</v>
      </c>
      <c r="D23" t="s">
        <v>647</v>
      </c>
      <c r="E23" t="s">
        <v>659</v>
      </c>
      <c r="F23" t="s">
        <v>676</v>
      </c>
      <c r="G23" t="s">
        <v>706</v>
      </c>
      <c r="H23" t="s">
        <v>709</v>
      </c>
      <c r="I23" t="s">
        <v>718</v>
      </c>
      <c r="J23" t="s">
        <v>729</v>
      </c>
      <c r="K23" t="s">
        <v>755</v>
      </c>
      <c r="L23">
        <v>1331.19</v>
      </c>
      <c r="M23">
        <v>2903.09</v>
      </c>
      <c r="N23">
        <v>0.14299999999999999</v>
      </c>
      <c r="O23">
        <v>8</v>
      </c>
    </row>
    <row r="24" spans="1:15">
      <c r="A24" t="s">
        <v>37</v>
      </c>
      <c r="B24" s="2">
        <v>45822</v>
      </c>
      <c r="C24" s="2">
        <v>45837</v>
      </c>
      <c r="D24" t="s">
        <v>646</v>
      </c>
      <c r="E24" t="s">
        <v>651</v>
      </c>
      <c r="F24" t="s">
        <v>663</v>
      </c>
      <c r="G24" t="s">
        <v>704</v>
      </c>
      <c r="H24" t="s">
        <v>709</v>
      </c>
      <c r="I24" t="s">
        <v>724</v>
      </c>
      <c r="J24" t="s">
        <v>733</v>
      </c>
      <c r="K24" t="s">
        <v>756</v>
      </c>
      <c r="L24">
        <v>730.99</v>
      </c>
      <c r="M24">
        <v>1242.8399999999999</v>
      </c>
      <c r="N24">
        <v>0.12</v>
      </c>
      <c r="O24">
        <v>10</v>
      </c>
    </row>
    <row r="25" spans="1:15">
      <c r="A25" t="s">
        <v>38</v>
      </c>
      <c r="B25" s="2">
        <v>45430</v>
      </c>
      <c r="C25" s="2">
        <v>45435</v>
      </c>
      <c r="D25" t="s">
        <v>648</v>
      </c>
      <c r="E25" t="s">
        <v>660</v>
      </c>
      <c r="F25" t="s">
        <v>677</v>
      </c>
      <c r="G25" t="s">
        <v>706</v>
      </c>
      <c r="H25" t="s">
        <v>707</v>
      </c>
      <c r="I25" t="s">
        <v>722</v>
      </c>
      <c r="J25" t="s">
        <v>731</v>
      </c>
      <c r="K25" t="s">
        <v>757</v>
      </c>
      <c r="L25">
        <v>1274.5899999999999</v>
      </c>
      <c r="M25">
        <v>2553.69</v>
      </c>
      <c r="N25">
        <v>0.01</v>
      </c>
      <c r="O25">
        <v>8</v>
      </c>
    </row>
    <row r="26" spans="1:15">
      <c r="A26" t="s">
        <v>39</v>
      </c>
      <c r="B26" s="2">
        <v>44964</v>
      </c>
      <c r="C26" s="2">
        <v>44969</v>
      </c>
      <c r="D26" t="s">
        <v>648</v>
      </c>
      <c r="E26" t="s">
        <v>655</v>
      </c>
      <c r="F26" t="s">
        <v>670</v>
      </c>
      <c r="G26" t="s">
        <v>702</v>
      </c>
      <c r="H26" t="s">
        <v>708</v>
      </c>
      <c r="I26" t="s">
        <v>725</v>
      </c>
      <c r="J26" t="s">
        <v>727</v>
      </c>
      <c r="K26" t="s">
        <v>758</v>
      </c>
      <c r="L26">
        <v>948.55</v>
      </c>
      <c r="M26">
        <v>2089.16</v>
      </c>
      <c r="N26">
        <v>7.0000000000000001E-3</v>
      </c>
      <c r="O26">
        <v>12</v>
      </c>
    </row>
    <row r="27" spans="1:15">
      <c r="A27" t="s">
        <v>40</v>
      </c>
      <c r="B27" s="2">
        <v>45473</v>
      </c>
      <c r="C27" s="2">
        <v>45487</v>
      </c>
      <c r="D27" t="s">
        <v>648</v>
      </c>
      <c r="E27" t="s">
        <v>655</v>
      </c>
      <c r="F27" t="s">
        <v>672</v>
      </c>
      <c r="G27" t="s">
        <v>702</v>
      </c>
      <c r="H27" t="s">
        <v>707</v>
      </c>
      <c r="I27" t="s">
        <v>712</v>
      </c>
      <c r="J27" t="s">
        <v>733</v>
      </c>
      <c r="K27" t="s">
        <v>759</v>
      </c>
      <c r="L27">
        <v>1491.85</v>
      </c>
      <c r="M27">
        <v>2583.02</v>
      </c>
      <c r="N27">
        <v>0.16800000000000001</v>
      </c>
      <c r="O27">
        <v>4</v>
      </c>
    </row>
    <row r="28" spans="1:15">
      <c r="A28" t="s">
        <v>41</v>
      </c>
      <c r="B28" s="2">
        <v>45626</v>
      </c>
      <c r="C28" s="2">
        <v>45656</v>
      </c>
      <c r="D28" t="s">
        <v>649</v>
      </c>
      <c r="E28" t="s">
        <v>657</v>
      </c>
      <c r="F28" t="s">
        <v>673</v>
      </c>
      <c r="G28" t="s">
        <v>704</v>
      </c>
      <c r="H28" t="s">
        <v>709</v>
      </c>
      <c r="I28" t="s">
        <v>721</v>
      </c>
      <c r="J28" t="s">
        <v>728</v>
      </c>
      <c r="K28" t="s">
        <v>760</v>
      </c>
      <c r="L28">
        <v>117.64</v>
      </c>
      <c r="M28">
        <v>175.67</v>
      </c>
      <c r="N28">
        <v>0</v>
      </c>
      <c r="O28">
        <v>10</v>
      </c>
    </row>
    <row r="29" spans="1:15">
      <c r="A29" t="s">
        <v>42</v>
      </c>
      <c r="B29" s="2">
        <v>45492</v>
      </c>
      <c r="C29" s="2">
        <v>45492</v>
      </c>
      <c r="D29" t="s">
        <v>646</v>
      </c>
      <c r="E29" t="s">
        <v>650</v>
      </c>
      <c r="F29" t="s">
        <v>662</v>
      </c>
      <c r="G29" t="s">
        <v>705</v>
      </c>
      <c r="H29" t="s">
        <v>707</v>
      </c>
      <c r="I29" t="s">
        <v>720</v>
      </c>
      <c r="J29" t="s">
        <v>730</v>
      </c>
      <c r="K29" t="s">
        <v>761</v>
      </c>
      <c r="L29">
        <v>857.24</v>
      </c>
      <c r="M29">
        <v>758.23</v>
      </c>
      <c r="N29">
        <v>0.125</v>
      </c>
      <c r="O29">
        <v>6</v>
      </c>
    </row>
    <row r="30" spans="1:15">
      <c r="A30" t="s">
        <v>43</v>
      </c>
      <c r="B30" s="2">
        <v>45030</v>
      </c>
      <c r="C30" s="2">
        <v>45060</v>
      </c>
      <c r="D30" t="s">
        <v>646</v>
      </c>
      <c r="E30" t="s">
        <v>650</v>
      </c>
      <c r="F30" t="s">
        <v>678</v>
      </c>
      <c r="G30" t="s">
        <v>704</v>
      </c>
      <c r="H30" t="s">
        <v>709</v>
      </c>
      <c r="I30" t="s">
        <v>724</v>
      </c>
      <c r="J30" t="s">
        <v>730</v>
      </c>
      <c r="K30" t="s">
        <v>762</v>
      </c>
      <c r="L30">
        <v>209.25</v>
      </c>
      <c r="M30">
        <v>434.8</v>
      </c>
      <c r="N30">
        <v>0</v>
      </c>
      <c r="O30">
        <v>9</v>
      </c>
    </row>
    <row r="31" spans="1:15">
      <c r="A31" t="s">
        <v>44</v>
      </c>
      <c r="B31" s="2">
        <v>45754</v>
      </c>
      <c r="C31" s="2">
        <v>45758</v>
      </c>
      <c r="D31" t="s">
        <v>649</v>
      </c>
      <c r="E31" t="s">
        <v>657</v>
      </c>
      <c r="F31" t="s">
        <v>679</v>
      </c>
      <c r="G31" t="s">
        <v>702</v>
      </c>
      <c r="H31" t="s">
        <v>707</v>
      </c>
      <c r="I31" t="s">
        <v>718</v>
      </c>
      <c r="J31" t="s">
        <v>729</v>
      </c>
      <c r="K31" t="s">
        <v>763</v>
      </c>
      <c r="L31">
        <v>754.77</v>
      </c>
      <c r="M31">
        <v>1666.18</v>
      </c>
      <c r="N31">
        <v>0.13900000000000001</v>
      </c>
      <c r="O31">
        <v>14</v>
      </c>
    </row>
    <row r="32" spans="1:15">
      <c r="A32" t="s">
        <v>45</v>
      </c>
      <c r="B32" s="2">
        <v>45653</v>
      </c>
      <c r="C32" s="2">
        <v>45672</v>
      </c>
      <c r="D32" t="s">
        <v>647</v>
      </c>
      <c r="E32" t="s">
        <v>654</v>
      </c>
      <c r="F32" t="s">
        <v>680</v>
      </c>
      <c r="G32" t="s">
        <v>703</v>
      </c>
      <c r="H32" t="s">
        <v>710</v>
      </c>
      <c r="I32" t="s">
        <v>715</v>
      </c>
      <c r="J32" t="s">
        <v>727</v>
      </c>
      <c r="K32" t="s">
        <v>764</v>
      </c>
      <c r="L32">
        <v>495.59</v>
      </c>
      <c r="M32">
        <v>631.78</v>
      </c>
      <c r="N32">
        <v>8.6999999999999994E-2</v>
      </c>
      <c r="O32">
        <v>17</v>
      </c>
    </row>
    <row r="33" spans="1:15">
      <c r="A33" t="s">
        <v>46</v>
      </c>
      <c r="B33" s="2">
        <v>44980</v>
      </c>
      <c r="C33" s="2">
        <v>45010</v>
      </c>
      <c r="D33" t="s">
        <v>648</v>
      </c>
      <c r="E33" t="s">
        <v>653</v>
      </c>
      <c r="F33" t="s">
        <v>681</v>
      </c>
      <c r="G33" t="s">
        <v>706</v>
      </c>
      <c r="H33" t="s">
        <v>708</v>
      </c>
      <c r="I33" t="s">
        <v>726</v>
      </c>
      <c r="J33" t="s">
        <v>730</v>
      </c>
      <c r="K33" t="s">
        <v>765</v>
      </c>
      <c r="L33">
        <v>1242.6600000000001</v>
      </c>
      <c r="M33">
        <v>1794.07</v>
      </c>
      <c r="N33">
        <v>8.8999999999999996E-2</v>
      </c>
      <c r="O33">
        <v>16</v>
      </c>
    </row>
    <row r="34" spans="1:15">
      <c r="A34" t="s">
        <v>47</v>
      </c>
      <c r="B34" s="2">
        <v>45862</v>
      </c>
      <c r="C34" s="2">
        <v>45875</v>
      </c>
      <c r="D34" t="s">
        <v>646</v>
      </c>
      <c r="E34" t="s">
        <v>661</v>
      </c>
      <c r="F34" t="s">
        <v>682</v>
      </c>
      <c r="G34" t="s">
        <v>702</v>
      </c>
      <c r="H34" t="s">
        <v>709</v>
      </c>
      <c r="I34" t="s">
        <v>726</v>
      </c>
      <c r="J34" t="s">
        <v>729</v>
      </c>
      <c r="K34" t="s">
        <v>766</v>
      </c>
      <c r="L34">
        <v>1463.9</v>
      </c>
      <c r="M34">
        <v>2633.02</v>
      </c>
      <c r="N34">
        <v>8.4000000000000005E-2</v>
      </c>
      <c r="O34">
        <v>4</v>
      </c>
    </row>
    <row r="35" spans="1:15">
      <c r="A35" t="s">
        <v>48</v>
      </c>
      <c r="B35" s="2">
        <v>45400</v>
      </c>
      <c r="C35" s="2">
        <v>45420</v>
      </c>
      <c r="D35" t="s">
        <v>649</v>
      </c>
      <c r="E35" t="s">
        <v>658</v>
      </c>
      <c r="F35" t="s">
        <v>683</v>
      </c>
      <c r="G35" t="s">
        <v>703</v>
      </c>
      <c r="I35" t="s">
        <v>726</v>
      </c>
      <c r="J35" t="s">
        <v>731</v>
      </c>
      <c r="K35" t="s">
        <v>767</v>
      </c>
      <c r="L35">
        <v>645.33000000000004</v>
      </c>
      <c r="M35">
        <v>1321.85</v>
      </c>
      <c r="N35">
        <v>0</v>
      </c>
      <c r="O35">
        <v>10</v>
      </c>
    </row>
    <row r="36" spans="1:15">
      <c r="A36" t="s">
        <v>49</v>
      </c>
      <c r="B36" s="2">
        <v>45527</v>
      </c>
      <c r="C36" s="2">
        <v>45525</v>
      </c>
      <c r="D36" t="s">
        <v>646</v>
      </c>
      <c r="E36" t="s">
        <v>661</v>
      </c>
      <c r="F36" t="s">
        <v>682</v>
      </c>
      <c r="G36" t="s">
        <v>702</v>
      </c>
      <c r="H36" t="s">
        <v>707</v>
      </c>
      <c r="I36" t="s">
        <v>718</v>
      </c>
      <c r="J36" t="s">
        <v>727</v>
      </c>
      <c r="K36" t="s">
        <v>768</v>
      </c>
      <c r="L36">
        <v>1432.52</v>
      </c>
      <c r="M36">
        <v>3036.87</v>
      </c>
      <c r="N36">
        <v>0</v>
      </c>
      <c r="O36">
        <v>9</v>
      </c>
    </row>
    <row r="37" spans="1:15">
      <c r="A37" t="s">
        <v>50</v>
      </c>
      <c r="B37" s="2">
        <v>45012</v>
      </c>
      <c r="C37" s="2">
        <v>45038</v>
      </c>
      <c r="D37" t="s">
        <v>647</v>
      </c>
      <c r="E37" t="s">
        <v>654</v>
      </c>
      <c r="F37" t="s">
        <v>680</v>
      </c>
      <c r="G37" t="s">
        <v>703</v>
      </c>
      <c r="H37" t="s">
        <v>709</v>
      </c>
      <c r="I37" t="s">
        <v>713</v>
      </c>
      <c r="J37" t="s">
        <v>728</v>
      </c>
      <c r="K37" t="s">
        <v>769</v>
      </c>
      <c r="L37">
        <v>178.53</v>
      </c>
      <c r="M37">
        <v>199.37</v>
      </c>
      <c r="N37">
        <v>0.10100000000000001</v>
      </c>
      <c r="O37">
        <v>37</v>
      </c>
    </row>
    <row r="38" spans="1:15">
      <c r="A38" t="s">
        <v>51</v>
      </c>
      <c r="B38" s="2">
        <v>45358</v>
      </c>
      <c r="C38" s="2">
        <v>45376</v>
      </c>
      <c r="D38" t="s">
        <v>649</v>
      </c>
      <c r="E38" t="s">
        <v>656</v>
      </c>
      <c r="F38" t="s">
        <v>684</v>
      </c>
      <c r="G38" t="s">
        <v>701</v>
      </c>
      <c r="H38" t="s">
        <v>708</v>
      </c>
      <c r="I38" t="s">
        <v>717</v>
      </c>
      <c r="J38" t="s">
        <v>727</v>
      </c>
      <c r="K38" t="s">
        <v>770</v>
      </c>
      <c r="L38">
        <v>712.84</v>
      </c>
      <c r="M38">
        <v>927.51</v>
      </c>
      <c r="N38">
        <v>0.24299999999999999</v>
      </c>
      <c r="O38">
        <v>27</v>
      </c>
    </row>
    <row r="39" spans="1:15">
      <c r="A39" t="s">
        <v>52</v>
      </c>
      <c r="B39" s="2">
        <v>45832</v>
      </c>
      <c r="C39" s="2">
        <v>45848</v>
      </c>
      <c r="D39" t="s">
        <v>647</v>
      </c>
      <c r="E39" t="s">
        <v>659</v>
      </c>
      <c r="F39" t="s">
        <v>685</v>
      </c>
      <c r="G39" t="s">
        <v>706</v>
      </c>
      <c r="H39" t="s">
        <v>711</v>
      </c>
      <c r="I39" t="s">
        <v>725</v>
      </c>
      <c r="J39" t="s">
        <v>727</v>
      </c>
      <c r="K39" t="s">
        <v>771</v>
      </c>
      <c r="L39">
        <v>757.19</v>
      </c>
      <c r="M39">
        <v>1735.41</v>
      </c>
      <c r="N39">
        <v>0.13600000000000001</v>
      </c>
      <c r="O39">
        <v>8</v>
      </c>
    </row>
    <row r="40" spans="1:15">
      <c r="A40" t="s">
        <v>53</v>
      </c>
      <c r="B40" s="2">
        <v>45401</v>
      </c>
      <c r="C40" s="2">
        <v>45418</v>
      </c>
      <c r="D40" t="s">
        <v>646</v>
      </c>
      <c r="E40" t="s">
        <v>651</v>
      </c>
      <c r="F40" t="s">
        <v>663</v>
      </c>
      <c r="G40" t="s">
        <v>703</v>
      </c>
      <c r="H40" t="s">
        <v>708</v>
      </c>
      <c r="I40" t="s">
        <v>720</v>
      </c>
      <c r="J40" t="s">
        <v>728</v>
      </c>
      <c r="K40" t="s">
        <v>772</v>
      </c>
      <c r="L40">
        <v>865.33</v>
      </c>
      <c r="M40">
        <v>1395.64</v>
      </c>
      <c r="N40">
        <v>0.17499999999999999</v>
      </c>
      <c r="O40">
        <v>13</v>
      </c>
    </row>
    <row r="41" spans="1:15">
      <c r="A41" t="s">
        <v>54</v>
      </c>
      <c r="B41" s="2">
        <v>45094</v>
      </c>
      <c r="C41" s="2">
        <v>45101</v>
      </c>
      <c r="D41" t="s">
        <v>648</v>
      </c>
      <c r="E41" t="s">
        <v>660</v>
      </c>
      <c r="F41" t="s">
        <v>686</v>
      </c>
      <c r="G41" t="s">
        <v>701</v>
      </c>
      <c r="H41" t="s">
        <v>707</v>
      </c>
      <c r="I41" t="s">
        <v>714</v>
      </c>
      <c r="J41" t="s">
        <v>728</v>
      </c>
      <c r="K41" t="s">
        <v>773</v>
      </c>
      <c r="L41">
        <v>313.99</v>
      </c>
      <c r="M41">
        <v>454.42</v>
      </c>
      <c r="N41">
        <v>0.129</v>
      </c>
      <c r="O41">
        <v>9</v>
      </c>
    </row>
    <row r="42" spans="1:15">
      <c r="A42" t="s">
        <v>55</v>
      </c>
      <c r="B42" s="2">
        <v>45531</v>
      </c>
      <c r="C42" s="2">
        <v>45554</v>
      </c>
      <c r="D42" t="s">
        <v>649</v>
      </c>
      <c r="E42" t="s">
        <v>656</v>
      </c>
      <c r="F42" t="s">
        <v>671</v>
      </c>
      <c r="G42" t="s">
        <v>705</v>
      </c>
      <c r="H42" t="s">
        <v>711</v>
      </c>
      <c r="I42" t="s">
        <v>726</v>
      </c>
      <c r="J42" t="s">
        <v>732</v>
      </c>
      <c r="K42" t="s">
        <v>774</v>
      </c>
      <c r="L42">
        <v>1024.01</v>
      </c>
      <c r="M42">
        <v>1580.97</v>
      </c>
      <c r="N42">
        <v>3.6999999999999998E-2</v>
      </c>
      <c r="O42">
        <v>27</v>
      </c>
    </row>
    <row r="43" spans="1:15">
      <c r="A43" t="s">
        <v>56</v>
      </c>
      <c r="B43" s="2">
        <v>45302</v>
      </c>
      <c r="C43" s="2">
        <v>45324</v>
      </c>
      <c r="D43" t="s">
        <v>646</v>
      </c>
      <c r="E43" t="s">
        <v>661</v>
      </c>
      <c r="F43" t="s">
        <v>687</v>
      </c>
      <c r="G43" t="s">
        <v>704</v>
      </c>
      <c r="H43" t="s">
        <v>708</v>
      </c>
      <c r="I43" t="s">
        <v>723</v>
      </c>
      <c r="J43" t="s">
        <v>729</v>
      </c>
      <c r="K43" t="s">
        <v>775</v>
      </c>
      <c r="L43">
        <v>1206.2</v>
      </c>
      <c r="M43">
        <v>1759.79</v>
      </c>
      <c r="N43">
        <v>0</v>
      </c>
      <c r="O43">
        <v>6</v>
      </c>
    </row>
    <row r="44" spans="1:15">
      <c r="A44" t="s">
        <v>57</v>
      </c>
      <c r="B44" s="2">
        <v>45590</v>
      </c>
      <c r="C44" s="2">
        <v>45610</v>
      </c>
      <c r="D44" t="s">
        <v>646</v>
      </c>
      <c r="E44" t="s">
        <v>650</v>
      </c>
      <c r="F44" t="s">
        <v>675</v>
      </c>
      <c r="G44" t="s">
        <v>701</v>
      </c>
      <c r="H44" t="s">
        <v>711</v>
      </c>
      <c r="I44" t="s">
        <v>722</v>
      </c>
      <c r="J44" t="s">
        <v>728</v>
      </c>
      <c r="K44" t="s">
        <v>776</v>
      </c>
      <c r="L44">
        <v>1396.48</v>
      </c>
      <c r="M44">
        <v>3204.5</v>
      </c>
      <c r="N44">
        <v>0.318</v>
      </c>
      <c r="O44">
        <v>14</v>
      </c>
    </row>
    <row r="45" spans="1:15">
      <c r="A45" t="s">
        <v>58</v>
      </c>
      <c r="B45" s="2">
        <v>45806</v>
      </c>
      <c r="C45" s="2">
        <v>45828</v>
      </c>
      <c r="D45" t="s">
        <v>649</v>
      </c>
      <c r="E45" t="s">
        <v>656</v>
      </c>
      <c r="F45" t="s">
        <v>671</v>
      </c>
      <c r="G45" t="s">
        <v>701</v>
      </c>
      <c r="H45" t="s">
        <v>711</v>
      </c>
      <c r="I45" t="s">
        <v>720</v>
      </c>
      <c r="J45" t="s">
        <v>728</v>
      </c>
      <c r="K45" t="s">
        <v>777</v>
      </c>
      <c r="L45">
        <v>483.47</v>
      </c>
      <c r="M45">
        <v>1135.43</v>
      </c>
      <c r="N45">
        <v>0.14599999999999999</v>
      </c>
      <c r="O45">
        <v>11</v>
      </c>
    </row>
    <row r="46" spans="1:15">
      <c r="A46" t="s">
        <v>59</v>
      </c>
      <c r="B46" s="2">
        <v>45432</v>
      </c>
      <c r="C46" s="2">
        <v>45445</v>
      </c>
      <c r="D46" t="s">
        <v>648</v>
      </c>
      <c r="E46" t="s">
        <v>653</v>
      </c>
      <c r="F46" t="s">
        <v>688</v>
      </c>
      <c r="G46" t="s">
        <v>706</v>
      </c>
      <c r="H46" t="s">
        <v>709</v>
      </c>
      <c r="I46" t="s">
        <v>723</v>
      </c>
      <c r="J46" t="s">
        <v>727</v>
      </c>
      <c r="K46" t="s">
        <v>778</v>
      </c>
      <c r="L46">
        <v>675.43</v>
      </c>
      <c r="M46">
        <v>996.36</v>
      </c>
      <c r="N46">
        <v>0.182</v>
      </c>
      <c r="O46">
        <v>22</v>
      </c>
    </row>
    <row r="47" spans="1:15">
      <c r="A47" t="s">
        <v>60</v>
      </c>
      <c r="B47" s="2">
        <v>45035</v>
      </c>
      <c r="C47" s="2">
        <v>45046</v>
      </c>
      <c r="D47" t="s">
        <v>647</v>
      </c>
      <c r="E47" t="s">
        <v>654</v>
      </c>
      <c r="F47" t="s">
        <v>680</v>
      </c>
      <c r="G47" t="s">
        <v>705</v>
      </c>
      <c r="H47" t="s">
        <v>707</v>
      </c>
      <c r="I47" t="s">
        <v>720</v>
      </c>
      <c r="J47" t="s">
        <v>729</v>
      </c>
      <c r="K47" t="s">
        <v>779</v>
      </c>
      <c r="L47">
        <v>826.55</v>
      </c>
      <c r="M47">
        <v>1397.05</v>
      </c>
      <c r="N47">
        <v>0.16900000000000001</v>
      </c>
      <c r="O47">
        <v>28</v>
      </c>
    </row>
    <row r="48" spans="1:15">
      <c r="A48" t="s">
        <v>61</v>
      </c>
      <c r="B48" s="2">
        <v>45100</v>
      </c>
      <c r="C48" s="2">
        <v>45110</v>
      </c>
      <c r="D48" t="s">
        <v>646</v>
      </c>
      <c r="E48" t="s">
        <v>651</v>
      </c>
      <c r="F48" t="s">
        <v>669</v>
      </c>
      <c r="G48" t="s">
        <v>704</v>
      </c>
      <c r="H48" t="s">
        <v>708</v>
      </c>
      <c r="I48" t="s">
        <v>713</v>
      </c>
      <c r="J48" t="s">
        <v>728</v>
      </c>
      <c r="K48" t="s">
        <v>780</v>
      </c>
      <c r="L48">
        <v>337.75</v>
      </c>
      <c r="M48">
        <v>548.89</v>
      </c>
      <c r="N48">
        <v>0</v>
      </c>
      <c r="O48">
        <v>13</v>
      </c>
    </row>
    <row r="49" spans="1:15">
      <c r="A49" t="s">
        <v>62</v>
      </c>
      <c r="B49" s="2">
        <v>45426</v>
      </c>
      <c r="C49" s="2">
        <v>45440</v>
      </c>
      <c r="D49" t="s">
        <v>649</v>
      </c>
      <c r="E49" t="s">
        <v>658</v>
      </c>
      <c r="F49" t="s">
        <v>674</v>
      </c>
      <c r="G49" t="s">
        <v>704</v>
      </c>
      <c r="H49" t="s">
        <v>707</v>
      </c>
      <c r="I49" t="s">
        <v>717</v>
      </c>
      <c r="J49" t="s">
        <v>729</v>
      </c>
      <c r="K49" t="s">
        <v>781</v>
      </c>
      <c r="L49">
        <v>1421.14</v>
      </c>
      <c r="M49">
        <v>3524</v>
      </c>
      <c r="N49">
        <v>0</v>
      </c>
      <c r="O49">
        <v>31</v>
      </c>
    </row>
    <row r="50" spans="1:15">
      <c r="A50" t="s">
        <v>63</v>
      </c>
      <c r="B50" s="2">
        <v>45579</v>
      </c>
      <c r="C50" s="2">
        <v>45604</v>
      </c>
      <c r="D50" t="s">
        <v>646</v>
      </c>
      <c r="E50" t="s">
        <v>651</v>
      </c>
      <c r="F50" t="s">
        <v>665</v>
      </c>
      <c r="G50" t="s">
        <v>706</v>
      </c>
      <c r="H50" t="s">
        <v>708</v>
      </c>
      <c r="I50" t="s">
        <v>719</v>
      </c>
      <c r="J50" t="s">
        <v>729</v>
      </c>
      <c r="K50" t="s">
        <v>782</v>
      </c>
      <c r="L50">
        <v>859.35</v>
      </c>
      <c r="M50">
        <v>1825.61</v>
      </c>
      <c r="N50">
        <v>0.187</v>
      </c>
      <c r="O50">
        <v>24</v>
      </c>
    </row>
    <row r="51" spans="1:15">
      <c r="A51" t="s">
        <v>64</v>
      </c>
      <c r="B51" s="2">
        <v>45117</v>
      </c>
      <c r="C51" s="2">
        <v>45139</v>
      </c>
      <c r="D51" t="s">
        <v>649</v>
      </c>
      <c r="E51" t="s">
        <v>657</v>
      </c>
      <c r="F51" t="s">
        <v>673</v>
      </c>
      <c r="G51" t="s">
        <v>704</v>
      </c>
      <c r="H51" t="s">
        <v>709</v>
      </c>
      <c r="I51" t="s">
        <v>717</v>
      </c>
      <c r="J51" t="s">
        <v>728</v>
      </c>
      <c r="K51" t="s">
        <v>783</v>
      </c>
      <c r="L51">
        <v>1303.56</v>
      </c>
      <c r="M51">
        <v>1791.37</v>
      </c>
      <c r="N51">
        <v>0.126</v>
      </c>
      <c r="O51">
        <v>22</v>
      </c>
    </row>
    <row r="52" spans="1:15">
      <c r="A52" t="s">
        <v>65</v>
      </c>
      <c r="B52" s="2">
        <v>45602</v>
      </c>
      <c r="C52" s="2">
        <v>45618</v>
      </c>
      <c r="D52" t="s">
        <v>648</v>
      </c>
      <c r="E52" t="s">
        <v>653</v>
      </c>
      <c r="F52" t="s">
        <v>667</v>
      </c>
      <c r="G52" t="s">
        <v>703</v>
      </c>
      <c r="H52" t="s">
        <v>710</v>
      </c>
      <c r="I52" t="s">
        <v>726</v>
      </c>
      <c r="J52" t="s">
        <v>733</v>
      </c>
      <c r="K52" t="s">
        <v>784</v>
      </c>
      <c r="L52">
        <v>1454.11</v>
      </c>
      <c r="M52">
        <v>2629.75</v>
      </c>
      <c r="N52">
        <v>0.29199999999999998</v>
      </c>
      <c r="O52">
        <v>8</v>
      </c>
    </row>
    <row r="53" spans="1:15">
      <c r="A53" t="s">
        <v>66</v>
      </c>
      <c r="B53" s="2">
        <v>45582</v>
      </c>
      <c r="C53" s="2">
        <v>45602</v>
      </c>
      <c r="D53" t="s">
        <v>647</v>
      </c>
      <c r="E53" t="s">
        <v>654</v>
      </c>
      <c r="F53" t="s">
        <v>668</v>
      </c>
      <c r="G53" t="s">
        <v>706</v>
      </c>
      <c r="H53" t="s">
        <v>710</v>
      </c>
      <c r="I53" t="s">
        <v>719</v>
      </c>
      <c r="J53" t="s">
        <v>732</v>
      </c>
      <c r="K53" t="s">
        <v>785</v>
      </c>
      <c r="L53">
        <v>72.94</v>
      </c>
      <c r="M53">
        <v>106.3</v>
      </c>
      <c r="N53">
        <v>0.29499999999999998</v>
      </c>
      <c r="O53">
        <v>8</v>
      </c>
    </row>
    <row r="54" spans="1:15">
      <c r="A54" t="s">
        <v>67</v>
      </c>
      <c r="B54" s="2">
        <v>45016</v>
      </c>
      <c r="C54" s="2">
        <v>45021</v>
      </c>
      <c r="D54" t="s">
        <v>646</v>
      </c>
      <c r="E54" t="s">
        <v>650</v>
      </c>
      <c r="F54" t="s">
        <v>678</v>
      </c>
      <c r="G54" t="s">
        <v>702</v>
      </c>
      <c r="H54" t="s">
        <v>709</v>
      </c>
      <c r="I54" t="s">
        <v>717</v>
      </c>
      <c r="J54" t="s">
        <v>731</v>
      </c>
      <c r="K54" t="s">
        <v>786</v>
      </c>
      <c r="L54">
        <v>533.26</v>
      </c>
      <c r="M54">
        <v>385.72</v>
      </c>
      <c r="N54">
        <v>0</v>
      </c>
      <c r="O54">
        <v>15</v>
      </c>
    </row>
    <row r="55" spans="1:15">
      <c r="A55" t="s">
        <v>68</v>
      </c>
      <c r="B55" s="2">
        <v>45678</v>
      </c>
      <c r="C55" s="2">
        <v>45704</v>
      </c>
      <c r="D55" t="s">
        <v>649</v>
      </c>
      <c r="E55" t="s">
        <v>657</v>
      </c>
      <c r="F55" t="s">
        <v>679</v>
      </c>
      <c r="G55" t="s">
        <v>701</v>
      </c>
      <c r="H55" t="s">
        <v>710</v>
      </c>
      <c r="I55" t="s">
        <v>719</v>
      </c>
      <c r="J55" t="s">
        <v>731</v>
      </c>
      <c r="K55" t="s">
        <v>787</v>
      </c>
      <c r="L55">
        <v>204.11</v>
      </c>
      <c r="M55">
        <v>236.87</v>
      </c>
      <c r="N55">
        <v>0.182</v>
      </c>
      <c r="O55">
        <v>13</v>
      </c>
    </row>
    <row r="56" spans="1:15">
      <c r="A56" t="s">
        <v>69</v>
      </c>
      <c r="B56" s="2">
        <v>45168</v>
      </c>
      <c r="C56" s="2">
        <v>45170</v>
      </c>
      <c r="D56" t="s">
        <v>649</v>
      </c>
      <c r="E56" t="s">
        <v>656</v>
      </c>
      <c r="F56" t="s">
        <v>684</v>
      </c>
      <c r="G56" t="s">
        <v>701</v>
      </c>
      <c r="H56" t="s">
        <v>711</v>
      </c>
      <c r="I56" t="s">
        <v>725</v>
      </c>
      <c r="J56" t="s">
        <v>729</v>
      </c>
      <c r="K56" t="s">
        <v>788</v>
      </c>
      <c r="L56">
        <v>44.42</v>
      </c>
      <c r="M56">
        <v>41.9</v>
      </c>
      <c r="N56">
        <v>0.14399999999999999</v>
      </c>
      <c r="O56">
        <v>6</v>
      </c>
    </row>
    <row r="57" spans="1:15">
      <c r="A57" t="s">
        <v>70</v>
      </c>
      <c r="B57" s="2">
        <v>45753</v>
      </c>
      <c r="C57" s="2">
        <v>45777</v>
      </c>
      <c r="D57" t="s">
        <v>648</v>
      </c>
      <c r="E57" t="s">
        <v>655</v>
      </c>
      <c r="F57" t="s">
        <v>672</v>
      </c>
      <c r="G57" t="s">
        <v>702</v>
      </c>
      <c r="H57" t="s">
        <v>708</v>
      </c>
      <c r="I57" t="s">
        <v>723</v>
      </c>
      <c r="J57" t="s">
        <v>732</v>
      </c>
      <c r="K57" t="s">
        <v>789</v>
      </c>
      <c r="L57">
        <v>855.78</v>
      </c>
      <c r="M57">
        <v>977.38</v>
      </c>
      <c r="N57">
        <v>0.14699999999999999</v>
      </c>
      <c r="O57">
        <v>38</v>
      </c>
    </row>
    <row r="58" spans="1:15">
      <c r="A58" t="s">
        <v>71</v>
      </c>
      <c r="B58" s="2">
        <v>45697</v>
      </c>
      <c r="C58" s="2">
        <v>45717</v>
      </c>
      <c r="D58" t="s">
        <v>648</v>
      </c>
      <c r="E58" t="s">
        <v>655</v>
      </c>
      <c r="F58" t="s">
        <v>670</v>
      </c>
      <c r="G58" t="s">
        <v>701</v>
      </c>
      <c r="H58" t="s">
        <v>710</v>
      </c>
      <c r="I58" t="s">
        <v>717</v>
      </c>
      <c r="J58" t="s">
        <v>731</v>
      </c>
      <c r="K58" t="s">
        <v>790</v>
      </c>
      <c r="L58">
        <v>1154.6400000000001</v>
      </c>
      <c r="M58">
        <v>2794.13</v>
      </c>
      <c r="N58">
        <v>3.5000000000000003E-2</v>
      </c>
      <c r="O58">
        <v>11</v>
      </c>
    </row>
    <row r="59" spans="1:15">
      <c r="A59" t="s">
        <v>72</v>
      </c>
      <c r="B59" s="2">
        <v>45643</v>
      </c>
      <c r="C59" s="2">
        <v>45644</v>
      </c>
      <c r="D59" t="s">
        <v>649</v>
      </c>
      <c r="E59" t="s">
        <v>656</v>
      </c>
      <c r="F59" t="s">
        <v>684</v>
      </c>
      <c r="G59" t="s">
        <v>702</v>
      </c>
      <c r="H59" t="s">
        <v>707</v>
      </c>
      <c r="I59" t="s">
        <v>716</v>
      </c>
      <c r="J59" t="s">
        <v>733</v>
      </c>
      <c r="K59" t="s">
        <v>791</v>
      </c>
      <c r="L59">
        <v>346.82</v>
      </c>
      <c r="M59">
        <v>701.95</v>
      </c>
      <c r="N59">
        <v>0.14699999999999999</v>
      </c>
      <c r="O59">
        <v>8</v>
      </c>
    </row>
    <row r="60" spans="1:15">
      <c r="A60" t="s">
        <v>73</v>
      </c>
      <c r="B60" s="2">
        <v>45817</v>
      </c>
      <c r="C60" s="2">
        <v>45826</v>
      </c>
      <c r="D60" t="s">
        <v>649</v>
      </c>
      <c r="E60" t="s">
        <v>657</v>
      </c>
      <c r="F60" t="s">
        <v>673</v>
      </c>
      <c r="G60" t="s">
        <v>705</v>
      </c>
      <c r="H60" t="s">
        <v>709</v>
      </c>
      <c r="I60" t="s">
        <v>722</v>
      </c>
      <c r="J60" t="s">
        <v>733</v>
      </c>
      <c r="K60" t="s">
        <v>792</v>
      </c>
      <c r="L60">
        <v>1225.5</v>
      </c>
      <c r="M60">
        <v>-5.27</v>
      </c>
      <c r="N60">
        <v>7.4999999999999997E-2</v>
      </c>
      <c r="O60">
        <v>56</v>
      </c>
    </row>
    <row r="61" spans="1:15">
      <c r="A61" t="s">
        <v>74</v>
      </c>
      <c r="B61" s="2">
        <v>45779</v>
      </c>
      <c r="C61" s="2">
        <v>45790</v>
      </c>
      <c r="D61" t="s">
        <v>646</v>
      </c>
      <c r="E61" t="s">
        <v>650</v>
      </c>
      <c r="F61" t="s">
        <v>678</v>
      </c>
      <c r="G61" t="s">
        <v>705</v>
      </c>
      <c r="H61" t="s">
        <v>708</v>
      </c>
      <c r="I61" t="s">
        <v>720</v>
      </c>
      <c r="J61" t="s">
        <v>733</v>
      </c>
      <c r="K61" t="s">
        <v>793</v>
      </c>
      <c r="L61">
        <v>1057.5999999999999</v>
      </c>
      <c r="M61">
        <v>1437.06</v>
      </c>
      <c r="N61">
        <v>0.20499999999999999</v>
      </c>
      <c r="O61">
        <v>4</v>
      </c>
    </row>
    <row r="62" spans="1:15">
      <c r="A62" t="s">
        <v>75</v>
      </c>
      <c r="B62" s="2">
        <v>45361</v>
      </c>
      <c r="C62" s="2">
        <v>45391</v>
      </c>
      <c r="D62" t="s">
        <v>649</v>
      </c>
      <c r="E62" t="s">
        <v>657</v>
      </c>
      <c r="F62" t="s">
        <v>679</v>
      </c>
      <c r="G62" t="s">
        <v>701</v>
      </c>
      <c r="H62" t="s">
        <v>711</v>
      </c>
      <c r="I62" t="s">
        <v>714</v>
      </c>
      <c r="J62" t="s">
        <v>727</v>
      </c>
      <c r="K62" t="s">
        <v>794</v>
      </c>
      <c r="L62">
        <v>1176.56</v>
      </c>
      <c r="M62">
        <v>1911.89</v>
      </c>
      <c r="N62">
        <v>0.11899999999999999</v>
      </c>
      <c r="O62">
        <v>20</v>
      </c>
    </row>
    <row r="63" spans="1:15">
      <c r="A63" t="s">
        <v>76</v>
      </c>
      <c r="B63" s="2">
        <v>45910</v>
      </c>
      <c r="C63" s="2">
        <v>45912</v>
      </c>
      <c r="D63" t="s">
        <v>647</v>
      </c>
      <c r="E63" t="s">
        <v>652</v>
      </c>
      <c r="F63" t="s">
        <v>689</v>
      </c>
      <c r="G63" t="s">
        <v>704</v>
      </c>
      <c r="H63" t="s">
        <v>708</v>
      </c>
      <c r="I63" t="s">
        <v>719</v>
      </c>
      <c r="J63" t="s">
        <v>727</v>
      </c>
      <c r="K63" t="s">
        <v>795</v>
      </c>
      <c r="L63">
        <v>1470.15</v>
      </c>
      <c r="M63">
        <v>2593.7800000000002</v>
      </c>
      <c r="N63">
        <v>0.11</v>
      </c>
      <c r="O63">
        <v>12</v>
      </c>
    </row>
    <row r="64" spans="1:15">
      <c r="A64" t="s">
        <v>77</v>
      </c>
      <c r="B64" s="2">
        <v>45774</v>
      </c>
      <c r="C64" s="2">
        <v>45802</v>
      </c>
      <c r="D64" t="s">
        <v>649</v>
      </c>
      <c r="E64" t="s">
        <v>657</v>
      </c>
      <c r="F64" t="s">
        <v>690</v>
      </c>
      <c r="G64" t="s">
        <v>705</v>
      </c>
      <c r="H64" t="s">
        <v>709</v>
      </c>
      <c r="I64" t="s">
        <v>714</v>
      </c>
      <c r="J64" t="s">
        <v>730</v>
      </c>
      <c r="K64" t="s">
        <v>796</v>
      </c>
      <c r="L64">
        <v>603.45000000000005</v>
      </c>
      <c r="M64">
        <v>1244.08</v>
      </c>
      <c r="N64">
        <v>0.2</v>
      </c>
      <c r="O64">
        <v>11</v>
      </c>
    </row>
    <row r="65" spans="1:15">
      <c r="A65" t="s">
        <v>78</v>
      </c>
      <c r="B65" s="2">
        <v>45598</v>
      </c>
      <c r="C65" s="2">
        <v>45614</v>
      </c>
      <c r="D65" t="s">
        <v>647</v>
      </c>
      <c r="E65" t="s">
        <v>654</v>
      </c>
      <c r="F65" t="s">
        <v>691</v>
      </c>
      <c r="G65" t="s">
        <v>705</v>
      </c>
      <c r="H65" t="s">
        <v>710</v>
      </c>
      <c r="I65" t="s">
        <v>719</v>
      </c>
      <c r="J65" t="s">
        <v>732</v>
      </c>
      <c r="K65" t="s">
        <v>797</v>
      </c>
      <c r="L65">
        <v>1233.58</v>
      </c>
      <c r="M65">
        <v>1912.51</v>
      </c>
      <c r="N65">
        <v>0.255</v>
      </c>
      <c r="O65">
        <v>51</v>
      </c>
    </row>
    <row r="66" spans="1:15">
      <c r="A66" t="s">
        <v>79</v>
      </c>
      <c r="B66" s="2">
        <v>44972</v>
      </c>
      <c r="C66" s="2">
        <v>44983</v>
      </c>
      <c r="D66" t="s">
        <v>646</v>
      </c>
      <c r="E66" t="s">
        <v>661</v>
      </c>
      <c r="F66" t="s">
        <v>682</v>
      </c>
      <c r="G66" t="s">
        <v>703</v>
      </c>
      <c r="H66" t="s">
        <v>707</v>
      </c>
      <c r="I66" t="s">
        <v>723</v>
      </c>
      <c r="J66" t="s">
        <v>731</v>
      </c>
      <c r="K66" t="s">
        <v>798</v>
      </c>
      <c r="L66">
        <v>498.5</v>
      </c>
      <c r="M66">
        <v>755.87</v>
      </c>
      <c r="N66">
        <v>0.13</v>
      </c>
      <c r="O66">
        <v>40</v>
      </c>
    </row>
    <row r="67" spans="1:15">
      <c r="A67" t="s">
        <v>80</v>
      </c>
      <c r="B67" s="2">
        <v>45263</v>
      </c>
      <c r="C67" s="2">
        <v>45286</v>
      </c>
      <c r="D67" t="s">
        <v>648</v>
      </c>
      <c r="E67" t="s">
        <v>655</v>
      </c>
      <c r="F67" t="s">
        <v>692</v>
      </c>
      <c r="G67" t="s">
        <v>702</v>
      </c>
      <c r="H67" t="s">
        <v>707</v>
      </c>
      <c r="I67" t="s">
        <v>719</v>
      </c>
      <c r="J67" t="s">
        <v>730</v>
      </c>
      <c r="K67" t="s">
        <v>799</v>
      </c>
      <c r="L67">
        <v>1303.1099999999999</v>
      </c>
      <c r="M67">
        <v>1145.67</v>
      </c>
      <c r="N67">
        <v>0.184</v>
      </c>
      <c r="O67">
        <v>13</v>
      </c>
    </row>
    <row r="68" spans="1:15">
      <c r="A68" t="s">
        <v>81</v>
      </c>
      <c r="B68" s="2">
        <v>45004</v>
      </c>
      <c r="C68" s="2">
        <v>45025</v>
      </c>
      <c r="D68" t="s">
        <v>649</v>
      </c>
      <c r="E68" t="s">
        <v>658</v>
      </c>
      <c r="F68" t="s">
        <v>693</v>
      </c>
      <c r="G68" t="s">
        <v>704</v>
      </c>
      <c r="H68" t="s">
        <v>707</v>
      </c>
      <c r="I68" t="s">
        <v>716</v>
      </c>
      <c r="J68" t="s">
        <v>733</v>
      </c>
      <c r="K68" t="s">
        <v>800</v>
      </c>
      <c r="L68">
        <v>1082.17</v>
      </c>
      <c r="M68">
        <v>1234.0999999999999</v>
      </c>
      <c r="N68">
        <v>0.189</v>
      </c>
      <c r="O68">
        <v>16</v>
      </c>
    </row>
    <row r="69" spans="1:15">
      <c r="A69" t="s">
        <v>82</v>
      </c>
      <c r="B69" s="2">
        <v>45434</v>
      </c>
      <c r="C69" s="2">
        <v>45449</v>
      </c>
      <c r="D69" t="s">
        <v>647</v>
      </c>
      <c r="E69" t="s">
        <v>652</v>
      </c>
      <c r="F69" t="s">
        <v>694</v>
      </c>
      <c r="G69" t="s">
        <v>701</v>
      </c>
      <c r="H69" t="s">
        <v>710</v>
      </c>
      <c r="I69" t="s">
        <v>712</v>
      </c>
      <c r="J69" t="s">
        <v>732</v>
      </c>
      <c r="K69" t="s">
        <v>801</v>
      </c>
      <c r="L69">
        <v>673.88</v>
      </c>
      <c r="M69">
        <v>1228.01</v>
      </c>
      <c r="N69">
        <v>0.105</v>
      </c>
      <c r="O69">
        <v>13</v>
      </c>
    </row>
    <row r="70" spans="1:15">
      <c r="A70" t="s">
        <v>83</v>
      </c>
      <c r="B70" s="2">
        <v>45157</v>
      </c>
      <c r="C70" s="2">
        <v>45176</v>
      </c>
      <c r="D70" t="s">
        <v>646</v>
      </c>
      <c r="E70" t="s">
        <v>661</v>
      </c>
      <c r="F70" t="s">
        <v>682</v>
      </c>
      <c r="G70" t="s">
        <v>706</v>
      </c>
      <c r="H70" t="s">
        <v>707</v>
      </c>
      <c r="I70" t="s">
        <v>726</v>
      </c>
      <c r="J70" t="s">
        <v>732</v>
      </c>
      <c r="K70" t="s">
        <v>802</v>
      </c>
      <c r="L70">
        <v>494.61</v>
      </c>
      <c r="M70">
        <v>605.23</v>
      </c>
      <c r="N70">
        <v>0.20399999999999999</v>
      </c>
      <c r="O70">
        <v>18</v>
      </c>
    </row>
    <row r="71" spans="1:15">
      <c r="A71" t="s">
        <v>84</v>
      </c>
      <c r="B71" s="2">
        <v>45037</v>
      </c>
      <c r="C71" s="2">
        <v>45056</v>
      </c>
      <c r="D71" t="s">
        <v>647</v>
      </c>
      <c r="E71" t="s">
        <v>659</v>
      </c>
      <c r="F71" t="s">
        <v>685</v>
      </c>
      <c r="G71" t="s">
        <v>701</v>
      </c>
      <c r="H71" t="s">
        <v>707</v>
      </c>
      <c r="I71" t="s">
        <v>720</v>
      </c>
      <c r="J71" t="s">
        <v>727</v>
      </c>
      <c r="K71" t="s">
        <v>803</v>
      </c>
      <c r="L71">
        <v>882.33</v>
      </c>
      <c r="M71">
        <v>1880.15</v>
      </c>
      <c r="N71">
        <v>0.05</v>
      </c>
      <c r="O71">
        <v>5</v>
      </c>
    </row>
    <row r="72" spans="1:15">
      <c r="A72" t="s">
        <v>85</v>
      </c>
      <c r="B72" s="2">
        <v>45369</v>
      </c>
      <c r="C72" s="2">
        <v>45372</v>
      </c>
      <c r="D72" t="s">
        <v>649</v>
      </c>
      <c r="E72" t="s">
        <v>656</v>
      </c>
      <c r="F72" t="s">
        <v>684</v>
      </c>
      <c r="G72" t="s">
        <v>705</v>
      </c>
      <c r="H72" t="s">
        <v>708</v>
      </c>
      <c r="I72" t="s">
        <v>724</v>
      </c>
      <c r="J72" t="s">
        <v>733</v>
      </c>
      <c r="K72" t="s">
        <v>804</v>
      </c>
      <c r="L72">
        <v>910.63</v>
      </c>
      <c r="M72">
        <v>1269.4000000000001</v>
      </c>
      <c r="N72">
        <v>6.8000000000000005E-2</v>
      </c>
      <c r="O72">
        <v>9</v>
      </c>
    </row>
    <row r="73" spans="1:15">
      <c r="A73" t="s">
        <v>86</v>
      </c>
      <c r="B73" s="2">
        <v>45756</v>
      </c>
      <c r="C73" s="2">
        <v>45783</v>
      </c>
      <c r="D73" t="s">
        <v>648</v>
      </c>
      <c r="E73" t="s">
        <v>655</v>
      </c>
      <c r="F73" t="s">
        <v>672</v>
      </c>
      <c r="G73" t="s">
        <v>706</v>
      </c>
      <c r="H73" t="s">
        <v>709</v>
      </c>
      <c r="I73" t="s">
        <v>721</v>
      </c>
      <c r="J73" t="s">
        <v>731</v>
      </c>
      <c r="K73" t="s">
        <v>805</v>
      </c>
      <c r="L73">
        <v>264.19</v>
      </c>
      <c r="M73">
        <v>620.92999999999995</v>
      </c>
      <c r="N73">
        <v>0.14199999999999999</v>
      </c>
      <c r="O73">
        <v>12</v>
      </c>
    </row>
    <row r="74" spans="1:15">
      <c r="A74" t="s">
        <v>87</v>
      </c>
      <c r="B74" s="2">
        <v>45394</v>
      </c>
      <c r="C74" s="2">
        <v>45419</v>
      </c>
      <c r="D74" t="s">
        <v>646</v>
      </c>
      <c r="E74" t="s">
        <v>661</v>
      </c>
      <c r="F74" t="s">
        <v>682</v>
      </c>
      <c r="G74" t="s">
        <v>702</v>
      </c>
      <c r="H74" t="s">
        <v>710</v>
      </c>
      <c r="I74" t="s">
        <v>720</v>
      </c>
      <c r="J74" t="s">
        <v>731</v>
      </c>
      <c r="K74" t="s">
        <v>806</v>
      </c>
      <c r="L74">
        <v>1376.51</v>
      </c>
      <c r="M74">
        <v>1455.91</v>
      </c>
      <c r="N74">
        <v>0.185</v>
      </c>
      <c r="O74">
        <v>17</v>
      </c>
    </row>
    <row r="75" spans="1:15">
      <c r="A75" t="s">
        <v>88</v>
      </c>
      <c r="B75" s="2">
        <v>45641</v>
      </c>
      <c r="C75" s="2">
        <v>45646</v>
      </c>
      <c r="D75" t="s">
        <v>647</v>
      </c>
      <c r="E75" t="s">
        <v>659</v>
      </c>
      <c r="F75" t="s">
        <v>676</v>
      </c>
      <c r="G75" t="s">
        <v>705</v>
      </c>
      <c r="H75" t="s">
        <v>711</v>
      </c>
      <c r="I75" t="s">
        <v>713</v>
      </c>
      <c r="J75" t="s">
        <v>729</v>
      </c>
      <c r="K75" t="s">
        <v>807</v>
      </c>
      <c r="L75">
        <v>717.55</v>
      </c>
      <c r="M75">
        <v>546.42999999999995</v>
      </c>
      <c r="N75">
        <v>4.7E-2</v>
      </c>
      <c r="O75">
        <v>18</v>
      </c>
    </row>
    <row r="76" spans="1:15">
      <c r="A76" t="s">
        <v>89</v>
      </c>
      <c r="B76" s="2">
        <v>45066</v>
      </c>
      <c r="C76" s="2">
        <v>45064</v>
      </c>
      <c r="D76" t="s">
        <v>646</v>
      </c>
      <c r="E76" t="s">
        <v>661</v>
      </c>
      <c r="F76" t="s">
        <v>687</v>
      </c>
      <c r="G76" t="s">
        <v>701</v>
      </c>
      <c r="H76" t="s">
        <v>710</v>
      </c>
      <c r="I76" t="s">
        <v>720</v>
      </c>
      <c r="J76" t="s">
        <v>727</v>
      </c>
      <c r="K76" t="s">
        <v>808</v>
      </c>
      <c r="L76">
        <v>917.88</v>
      </c>
      <c r="M76">
        <v>1347.92</v>
      </c>
      <c r="N76">
        <v>0.34300000000000003</v>
      </c>
      <c r="O76">
        <v>5</v>
      </c>
    </row>
    <row r="77" spans="1:15">
      <c r="A77" t="s">
        <v>90</v>
      </c>
      <c r="B77" s="2">
        <v>45187</v>
      </c>
      <c r="C77" s="2">
        <v>45207</v>
      </c>
      <c r="D77" t="s">
        <v>647</v>
      </c>
      <c r="E77" t="s">
        <v>654</v>
      </c>
      <c r="F77" t="s">
        <v>680</v>
      </c>
      <c r="G77" t="s">
        <v>705</v>
      </c>
      <c r="H77" t="s">
        <v>711</v>
      </c>
      <c r="I77" t="s">
        <v>717</v>
      </c>
      <c r="J77" t="s">
        <v>727</v>
      </c>
      <c r="K77" t="s">
        <v>809</v>
      </c>
      <c r="L77">
        <v>825.64</v>
      </c>
      <c r="M77">
        <v>1108.43</v>
      </c>
      <c r="N77">
        <v>0.114</v>
      </c>
      <c r="O77">
        <v>7</v>
      </c>
    </row>
    <row r="78" spans="1:15">
      <c r="A78" t="s">
        <v>91</v>
      </c>
      <c r="B78" s="2">
        <v>45532</v>
      </c>
      <c r="C78" s="2">
        <v>45560</v>
      </c>
      <c r="D78" t="s">
        <v>648</v>
      </c>
      <c r="E78" t="s">
        <v>655</v>
      </c>
      <c r="F78" t="s">
        <v>692</v>
      </c>
      <c r="G78" t="s">
        <v>703</v>
      </c>
      <c r="H78" t="s">
        <v>708</v>
      </c>
      <c r="J78" t="s">
        <v>733</v>
      </c>
      <c r="K78" t="s">
        <v>810</v>
      </c>
      <c r="L78">
        <v>1394.65</v>
      </c>
      <c r="M78">
        <v>3144.1</v>
      </c>
      <c r="N78">
        <v>0.13400000000000001</v>
      </c>
      <c r="O78">
        <v>13</v>
      </c>
    </row>
    <row r="79" spans="1:15">
      <c r="A79" t="s">
        <v>92</v>
      </c>
      <c r="B79" s="2">
        <v>45473</v>
      </c>
      <c r="C79" s="2">
        <v>45471</v>
      </c>
      <c r="D79" t="s">
        <v>648</v>
      </c>
      <c r="E79" t="s">
        <v>655</v>
      </c>
      <c r="F79" t="s">
        <v>692</v>
      </c>
      <c r="G79" t="s">
        <v>705</v>
      </c>
      <c r="H79" t="s">
        <v>711</v>
      </c>
      <c r="I79" t="s">
        <v>716</v>
      </c>
      <c r="J79" t="s">
        <v>733</v>
      </c>
      <c r="K79" t="s">
        <v>811</v>
      </c>
      <c r="L79">
        <v>1112.98</v>
      </c>
      <c r="M79">
        <v>2095.73</v>
      </c>
      <c r="N79">
        <v>7.1999999999999995E-2</v>
      </c>
      <c r="O79">
        <v>17</v>
      </c>
    </row>
    <row r="80" spans="1:15">
      <c r="A80" t="s">
        <v>93</v>
      </c>
      <c r="B80" s="2">
        <v>45091</v>
      </c>
      <c r="C80" s="2">
        <v>45093</v>
      </c>
      <c r="D80" t="s">
        <v>649</v>
      </c>
      <c r="E80" t="s">
        <v>658</v>
      </c>
      <c r="F80" t="s">
        <v>693</v>
      </c>
      <c r="G80" t="s">
        <v>703</v>
      </c>
      <c r="H80" t="s">
        <v>711</v>
      </c>
      <c r="I80" t="s">
        <v>723</v>
      </c>
      <c r="J80" t="s">
        <v>727</v>
      </c>
      <c r="K80" t="s">
        <v>812</v>
      </c>
      <c r="L80">
        <v>357.36</v>
      </c>
      <c r="M80">
        <v>703.62</v>
      </c>
      <c r="N80">
        <v>0.25700000000000001</v>
      </c>
      <c r="O80">
        <v>20</v>
      </c>
    </row>
    <row r="81" spans="1:15">
      <c r="A81" t="s">
        <v>94</v>
      </c>
      <c r="B81" s="2">
        <v>45617</v>
      </c>
      <c r="C81" s="2">
        <v>45647</v>
      </c>
      <c r="D81" t="s">
        <v>649</v>
      </c>
      <c r="E81" t="s">
        <v>657</v>
      </c>
      <c r="F81" t="s">
        <v>673</v>
      </c>
      <c r="G81" t="s">
        <v>705</v>
      </c>
      <c r="H81" t="s">
        <v>711</v>
      </c>
      <c r="I81" t="s">
        <v>714</v>
      </c>
      <c r="J81" t="s">
        <v>732</v>
      </c>
      <c r="K81" t="s">
        <v>813</v>
      </c>
      <c r="L81">
        <v>1122.68</v>
      </c>
      <c r="M81">
        <v>1997.19</v>
      </c>
      <c r="N81">
        <v>0.186</v>
      </c>
      <c r="O81">
        <v>3</v>
      </c>
    </row>
    <row r="82" spans="1:15">
      <c r="A82" t="s">
        <v>95</v>
      </c>
      <c r="B82" s="2">
        <v>44965</v>
      </c>
      <c r="C82" s="2">
        <v>44968</v>
      </c>
      <c r="D82" t="s">
        <v>646</v>
      </c>
      <c r="E82" t="s">
        <v>661</v>
      </c>
      <c r="F82" t="s">
        <v>695</v>
      </c>
      <c r="G82" t="s">
        <v>701</v>
      </c>
      <c r="H82" t="s">
        <v>711</v>
      </c>
      <c r="I82" t="s">
        <v>724</v>
      </c>
      <c r="J82" t="s">
        <v>729</v>
      </c>
      <c r="K82" t="s">
        <v>814</v>
      </c>
      <c r="L82">
        <v>1410.05</v>
      </c>
      <c r="M82">
        <v>2763.95</v>
      </c>
      <c r="N82">
        <v>0.161</v>
      </c>
      <c r="O82">
        <v>26</v>
      </c>
    </row>
    <row r="83" spans="1:15">
      <c r="A83" t="s">
        <v>96</v>
      </c>
      <c r="B83" s="2">
        <v>45157</v>
      </c>
      <c r="C83" s="2">
        <v>45181</v>
      </c>
      <c r="D83" t="s">
        <v>648</v>
      </c>
      <c r="E83" t="s">
        <v>653</v>
      </c>
      <c r="F83" t="s">
        <v>688</v>
      </c>
      <c r="G83" t="s">
        <v>706</v>
      </c>
      <c r="H83" t="s">
        <v>707</v>
      </c>
      <c r="I83" t="s">
        <v>714</v>
      </c>
      <c r="J83" t="s">
        <v>728</v>
      </c>
      <c r="K83" t="s">
        <v>815</v>
      </c>
      <c r="L83">
        <v>1183.95</v>
      </c>
      <c r="M83">
        <v>1503.53</v>
      </c>
      <c r="N83">
        <v>0.24099999999999999</v>
      </c>
      <c r="O83">
        <v>16</v>
      </c>
    </row>
    <row r="84" spans="1:15">
      <c r="A84" t="s">
        <v>97</v>
      </c>
      <c r="B84" s="2">
        <v>45791</v>
      </c>
      <c r="C84" s="2">
        <v>45801</v>
      </c>
      <c r="D84" t="s">
        <v>649</v>
      </c>
      <c r="E84" t="s">
        <v>657</v>
      </c>
      <c r="F84" t="s">
        <v>690</v>
      </c>
      <c r="G84" t="s">
        <v>705</v>
      </c>
      <c r="H84" t="s">
        <v>709</v>
      </c>
      <c r="I84" t="s">
        <v>723</v>
      </c>
      <c r="J84" t="s">
        <v>727</v>
      </c>
      <c r="K84" t="s">
        <v>816</v>
      </c>
      <c r="L84">
        <v>170.39</v>
      </c>
      <c r="M84">
        <v>388.04</v>
      </c>
      <c r="N84">
        <v>8.4000000000000005E-2</v>
      </c>
      <c r="O84">
        <v>15</v>
      </c>
    </row>
    <row r="85" spans="1:15">
      <c r="A85" t="s">
        <v>98</v>
      </c>
      <c r="B85" s="2">
        <v>45770</v>
      </c>
      <c r="C85" s="2">
        <v>45769</v>
      </c>
      <c r="D85" t="s">
        <v>648</v>
      </c>
      <c r="E85" t="s">
        <v>660</v>
      </c>
      <c r="F85" t="s">
        <v>686</v>
      </c>
      <c r="G85" t="s">
        <v>703</v>
      </c>
      <c r="H85" t="s">
        <v>710</v>
      </c>
      <c r="I85" t="s">
        <v>726</v>
      </c>
      <c r="J85" t="s">
        <v>732</v>
      </c>
      <c r="K85" t="s">
        <v>817</v>
      </c>
      <c r="L85">
        <v>23.24</v>
      </c>
      <c r="M85">
        <v>44.57</v>
      </c>
      <c r="N85">
        <v>0.215</v>
      </c>
      <c r="O85">
        <v>15</v>
      </c>
    </row>
    <row r="86" spans="1:15">
      <c r="A86" t="s">
        <v>99</v>
      </c>
      <c r="B86" s="2">
        <v>45741</v>
      </c>
      <c r="C86" s="2">
        <v>45764</v>
      </c>
      <c r="D86" t="s">
        <v>649</v>
      </c>
      <c r="E86" t="s">
        <v>658</v>
      </c>
      <c r="F86" t="s">
        <v>683</v>
      </c>
      <c r="G86" t="s">
        <v>704</v>
      </c>
      <c r="H86" t="s">
        <v>707</v>
      </c>
      <c r="I86" t="s">
        <v>722</v>
      </c>
      <c r="J86" t="s">
        <v>729</v>
      </c>
      <c r="K86" t="s">
        <v>818</v>
      </c>
      <c r="L86">
        <v>1421.19</v>
      </c>
      <c r="M86">
        <v>1808.26</v>
      </c>
      <c r="N86">
        <v>0.104</v>
      </c>
      <c r="O86">
        <v>13</v>
      </c>
    </row>
    <row r="87" spans="1:15">
      <c r="A87" t="s">
        <v>100</v>
      </c>
      <c r="B87" s="2">
        <v>45282</v>
      </c>
      <c r="C87" s="2">
        <v>45283</v>
      </c>
      <c r="D87" t="s">
        <v>646</v>
      </c>
      <c r="E87" t="s">
        <v>661</v>
      </c>
      <c r="F87" t="s">
        <v>695</v>
      </c>
      <c r="G87" t="s">
        <v>703</v>
      </c>
      <c r="H87" t="s">
        <v>709</v>
      </c>
      <c r="I87" t="s">
        <v>726</v>
      </c>
      <c r="J87" t="s">
        <v>727</v>
      </c>
      <c r="K87" t="s">
        <v>819</v>
      </c>
      <c r="L87">
        <v>1186.18</v>
      </c>
      <c r="M87">
        <v>1285.0899999999999</v>
      </c>
      <c r="N87">
        <v>7.0000000000000007E-2</v>
      </c>
      <c r="O87">
        <v>11</v>
      </c>
    </row>
    <row r="88" spans="1:15">
      <c r="A88" t="s">
        <v>101</v>
      </c>
      <c r="B88" s="2">
        <v>45388</v>
      </c>
      <c r="C88" s="2">
        <v>45407</v>
      </c>
      <c r="D88" t="s">
        <v>647</v>
      </c>
      <c r="E88" t="s">
        <v>659</v>
      </c>
      <c r="F88" t="s">
        <v>685</v>
      </c>
      <c r="G88" t="s">
        <v>701</v>
      </c>
      <c r="H88" t="s">
        <v>707</v>
      </c>
      <c r="I88" t="s">
        <v>723</v>
      </c>
      <c r="J88" t="s">
        <v>727</v>
      </c>
      <c r="K88" t="s">
        <v>820</v>
      </c>
      <c r="L88">
        <v>1366.48</v>
      </c>
      <c r="M88">
        <v>1678.14</v>
      </c>
      <c r="N88">
        <v>0.154</v>
      </c>
      <c r="O88">
        <v>10</v>
      </c>
    </row>
    <row r="89" spans="1:15">
      <c r="A89" t="s">
        <v>102</v>
      </c>
      <c r="B89" s="2">
        <v>45876</v>
      </c>
      <c r="C89" s="2">
        <v>45888</v>
      </c>
      <c r="D89" t="s">
        <v>646</v>
      </c>
      <c r="E89" t="s">
        <v>650</v>
      </c>
      <c r="F89" t="s">
        <v>678</v>
      </c>
      <c r="G89" t="s">
        <v>701</v>
      </c>
      <c r="I89" t="s">
        <v>724</v>
      </c>
      <c r="J89" t="s">
        <v>727</v>
      </c>
      <c r="K89" t="s">
        <v>821</v>
      </c>
      <c r="L89">
        <v>601.51</v>
      </c>
      <c r="M89">
        <v>679.35</v>
      </c>
      <c r="N89">
        <v>0.188</v>
      </c>
      <c r="O89">
        <v>3</v>
      </c>
    </row>
    <row r="90" spans="1:15">
      <c r="A90" t="s">
        <v>103</v>
      </c>
      <c r="B90" s="2">
        <v>45312</v>
      </c>
      <c r="C90" s="2">
        <v>45316</v>
      </c>
      <c r="D90" t="s">
        <v>647</v>
      </c>
      <c r="E90" t="s">
        <v>654</v>
      </c>
      <c r="F90" t="s">
        <v>680</v>
      </c>
      <c r="G90" t="s">
        <v>704</v>
      </c>
      <c r="H90" t="s">
        <v>711</v>
      </c>
      <c r="I90" t="s">
        <v>712</v>
      </c>
      <c r="J90" t="s">
        <v>732</v>
      </c>
      <c r="K90" t="s">
        <v>822</v>
      </c>
      <c r="L90">
        <v>523.70000000000005</v>
      </c>
      <c r="M90">
        <v>1109.92</v>
      </c>
      <c r="N90">
        <v>0.03</v>
      </c>
      <c r="O90">
        <v>11</v>
      </c>
    </row>
    <row r="91" spans="1:15">
      <c r="A91" t="s">
        <v>104</v>
      </c>
      <c r="B91" s="2">
        <v>45106</v>
      </c>
      <c r="C91" s="2">
        <v>45109</v>
      </c>
      <c r="D91" t="s">
        <v>647</v>
      </c>
      <c r="E91" t="s">
        <v>652</v>
      </c>
      <c r="F91" t="s">
        <v>694</v>
      </c>
      <c r="G91" t="s">
        <v>702</v>
      </c>
      <c r="H91" t="s">
        <v>709</v>
      </c>
      <c r="I91" t="s">
        <v>721</v>
      </c>
      <c r="J91" t="s">
        <v>732</v>
      </c>
      <c r="K91" t="s">
        <v>823</v>
      </c>
      <c r="L91">
        <v>55.65</v>
      </c>
      <c r="M91">
        <v>83.57</v>
      </c>
      <c r="N91">
        <v>6.6000000000000003E-2</v>
      </c>
      <c r="O91">
        <v>8</v>
      </c>
    </row>
    <row r="92" spans="1:15">
      <c r="A92" t="s">
        <v>105</v>
      </c>
      <c r="B92" s="2">
        <v>45775</v>
      </c>
      <c r="C92" s="2">
        <v>45792</v>
      </c>
      <c r="D92" t="s">
        <v>647</v>
      </c>
      <c r="E92" t="s">
        <v>652</v>
      </c>
      <c r="F92" t="s">
        <v>694</v>
      </c>
      <c r="G92" t="s">
        <v>702</v>
      </c>
      <c r="H92" t="s">
        <v>711</v>
      </c>
      <c r="I92" t="s">
        <v>725</v>
      </c>
      <c r="J92" t="s">
        <v>729</v>
      </c>
      <c r="K92" t="s">
        <v>824</v>
      </c>
      <c r="L92">
        <v>691.19</v>
      </c>
      <c r="M92">
        <v>1284.3</v>
      </c>
      <c r="N92">
        <v>7.3999999999999996E-2</v>
      </c>
      <c r="O92">
        <v>7</v>
      </c>
    </row>
    <row r="93" spans="1:15">
      <c r="A93" t="s">
        <v>106</v>
      </c>
      <c r="B93" s="2">
        <v>45817</v>
      </c>
      <c r="C93" s="2">
        <v>45833</v>
      </c>
      <c r="D93" t="s">
        <v>647</v>
      </c>
      <c r="E93" t="s">
        <v>654</v>
      </c>
      <c r="F93" t="s">
        <v>696</v>
      </c>
      <c r="G93" t="s">
        <v>706</v>
      </c>
      <c r="H93" t="s">
        <v>710</v>
      </c>
      <c r="I93" t="s">
        <v>724</v>
      </c>
      <c r="J93" t="s">
        <v>730</v>
      </c>
      <c r="K93" t="s">
        <v>825</v>
      </c>
      <c r="L93">
        <v>527.33000000000004</v>
      </c>
      <c r="M93">
        <v>911.72</v>
      </c>
      <c r="N93">
        <v>0.14399999999999999</v>
      </c>
      <c r="O93">
        <v>25</v>
      </c>
    </row>
    <row r="94" spans="1:15">
      <c r="A94" t="s">
        <v>107</v>
      </c>
      <c r="B94" s="2">
        <v>45101</v>
      </c>
      <c r="C94" s="2">
        <v>45100</v>
      </c>
      <c r="D94" t="s">
        <v>648</v>
      </c>
      <c r="E94" t="s">
        <v>655</v>
      </c>
      <c r="F94" t="s">
        <v>692</v>
      </c>
      <c r="G94" t="s">
        <v>703</v>
      </c>
      <c r="H94" t="s">
        <v>707</v>
      </c>
      <c r="I94" t="s">
        <v>718</v>
      </c>
      <c r="J94" t="s">
        <v>728</v>
      </c>
      <c r="K94" t="s">
        <v>826</v>
      </c>
      <c r="L94">
        <v>804.01</v>
      </c>
      <c r="M94">
        <v>1405.07</v>
      </c>
      <c r="N94">
        <v>9.6000000000000002E-2</v>
      </c>
      <c r="O94">
        <v>8</v>
      </c>
    </row>
    <row r="95" spans="1:15">
      <c r="A95" t="s">
        <v>108</v>
      </c>
      <c r="B95" s="2">
        <v>45569</v>
      </c>
      <c r="C95" s="2">
        <v>45598</v>
      </c>
      <c r="D95" t="s">
        <v>646</v>
      </c>
      <c r="E95" t="s">
        <v>651</v>
      </c>
      <c r="F95" t="s">
        <v>669</v>
      </c>
      <c r="G95" t="s">
        <v>701</v>
      </c>
      <c r="H95" t="s">
        <v>710</v>
      </c>
      <c r="I95" t="s">
        <v>721</v>
      </c>
      <c r="J95" t="s">
        <v>733</v>
      </c>
      <c r="K95" t="s">
        <v>827</v>
      </c>
      <c r="L95">
        <v>412.09</v>
      </c>
      <c r="M95">
        <v>968.94</v>
      </c>
      <c r="N95">
        <v>9.9000000000000005E-2</v>
      </c>
      <c r="O95">
        <v>23</v>
      </c>
    </row>
    <row r="96" spans="1:15">
      <c r="A96" t="s">
        <v>109</v>
      </c>
      <c r="B96" s="2">
        <v>45910</v>
      </c>
      <c r="C96" s="2">
        <v>45930</v>
      </c>
      <c r="D96" t="s">
        <v>646</v>
      </c>
      <c r="E96" t="s">
        <v>650</v>
      </c>
      <c r="F96" t="s">
        <v>675</v>
      </c>
      <c r="G96" t="s">
        <v>701</v>
      </c>
      <c r="H96" t="s">
        <v>711</v>
      </c>
      <c r="I96" t="s">
        <v>716</v>
      </c>
      <c r="J96" t="s">
        <v>730</v>
      </c>
      <c r="K96" t="s">
        <v>828</v>
      </c>
      <c r="L96">
        <v>1009.48</v>
      </c>
      <c r="M96">
        <v>1088.81</v>
      </c>
      <c r="N96">
        <v>0.16</v>
      </c>
      <c r="O96">
        <v>6</v>
      </c>
    </row>
    <row r="97" spans="1:15">
      <c r="A97" t="s">
        <v>110</v>
      </c>
      <c r="B97" s="2">
        <v>45022</v>
      </c>
      <c r="C97" s="2">
        <v>45043</v>
      </c>
      <c r="D97" t="s">
        <v>649</v>
      </c>
      <c r="E97" t="s">
        <v>658</v>
      </c>
      <c r="F97" t="s">
        <v>693</v>
      </c>
      <c r="G97" t="s">
        <v>706</v>
      </c>
      <c r="H97" t="s">
        <v>710</v>
      </c>
      <c r="I97" t="s">
        <v>714</v>
      </c>
      <c r="J97" t="s">
        <v>728</v>
      </c>
      <c r="K97" t="s">
        <v>829</v>
      </c>
      <c r="L97">
        <v>1084.79</v>
      </c>
      <c r="M97">
        <v>2484.9899999999998</v>
      </c>
      <c r="N97">
        <v>3.4000000000000002E-2</v>
      </c>
      <c r="O97">
        <v>18</v>
      </c>
    </row>
    <row r="98" spans="1:15">
      <c r="A98" t="s">
        <v>111</v>
      </c>
      <c r="B98" s="2">
        <v>45870</v>
      </c>
      <c r="C98" s="2">
        <v>45885</v>
      </c>
      <c r="D98" t="s">
        <v>647</v>
      </c>
      <c r="E98" t="s">
        <v>654</v>
      </c>
      <c r="G98" t="s">
        <v>706</v>
      </c>
      <c r="H98" t="s">
        <v>711</v>
      </c>
      <c r="I98" t="s">
        <v>719</v>
      </c>
      <c r="J98" t="s">
        <v>732</v>
      </c>
      <c r="K98" t="s">
        <v>830</v>
      </c>
      <c r="L98">
        <v>24.44</v>
      </c>
      <c r="M98">
        <v>28.69</v>
      </c>
      <c r="N98">
        <v>0.14599999999999999</v>
      </c>
      <c r="O98">
        <v>6</v>
      </c>
    </row>
    <row r="99" spans="1:15">
      <c r="A99" t="s">
        <v>112</v>
      </c>
      <c r="B99" s="2">
        <v>45440</v>
      </c>
      <c r="C99" s="2">
        <v>45438</v>
      </c>
      <c r="D99" t="s">
        <v>646</v>
      </c>
      <c r="E99" t="s">
        <v>651</v>
      </c>
      <c r="F99" t="s">
        <v>669</v>
      </c>
      <c r="G99" t="s">
        <v>706</v>
      </c>
      <c r="H99" t="s">
        <v>708</v>
      </c>
      <c r="I99" t="s">
        <v>721</v>
      </c>
      <c r="J99" t="s">
        <v>733</v>
      </c>
      <c r="K99" t="s">
        <v>831</v>
      </c>
      <c r="L99">
        <v>1227.08</v>
      </c>
      <c r="M99">
        <v>1896.62</v>
      </c>
      <c r="N99">
        <v>0</v>
      </c>
      <c r="O99">
        <v>18</v>
      </c>
    </row>
    <row r="100" spans="1:15">
      <c r="A100" t="s">
        <v>113</v>
      </c>
      <c r="B100" s="2">
        <v>45860</v>
      </c>
      <c r="C100" s="2">
        <v>45887</v>
      </c>
      <c r="D100" t="s">
        <v>647</v>
      </c>
      <c r="E100" t="s">
        <v>659</v>
      </c>
      <c r="F100" t="s">
        <v>676</v>
      </c>
      <c r="G100" t="s">
        <v>703</v>
      </c>
      <c r="H100" t="s">
        <v>709</v>
      </c>
      <c r="I100" t="s">
        <v>724</v>
      </c>
      <c r="J100" t="s">
        <v>729</v>
      </c>
      <c r="K100" t="s">
        <v>832</v>
      </c>
      <c r="L100">
        <v>547.32000000000005</v>
      </c>
      <c r="M100">
        <v>419.17</v>
      </c>
      <c r="N100">
        <v>9.1999999999999998E-2</v>
      </c>
      <c r="O100">
        <v>14</v>
      </c>
    </row>
    <row r="101" spans="1:15">
      <c r="A101" t="s">
        <v>114</v>
      </c>
      <c r="B101" s="2">
        <v>44985</v>
      </c>
      <c r="C101" s="2">
        <v>45005</v>
      </c>
      <c r="D101" t="s">
        <v>649</v>
      </c>
      <c r="E101" t="s">
        <v>656</v>
      </c>
      <c r="F101" t="s">
        <v>671</v>
      </c>
      <c r="G101" t="s">
        <v>705</v>
      </c>
      <c r="H101" t="s">
        <v>711</v>
      </c>
      <c r="I101" t="s">
        <v>722</v>
      </c>
      <c r="J101" t="s">
        <v>731</v>
      </c>
      <c r="K101" t="s">
        <v>833</v>
      </c>
      <c r="L101">
        <v>1200.78</v>
      </c>
      <c r="M101">
        <v>2001.17</v>
      </c>
      <c r="N101">
        <v>0.29199999999999998</v>
      </c>
      <c r="O101">
        <v>18</v>
      </c>
    </row>
    <row r="102" spans="1:15">
      <c r="A102" t="s">
        <v>115</v>
      </c>
      <c r="B102" s="2">
        <v>45684</v>
      </c>
      <c r="C102" s="2">
        <v>45703</v>
      </c>
      <c r="D102" t="s">
        <v>647</v>
      </c>
      <c r="E102" t="s">
        <v>659</v>
      </c>
      <c r="F102" t="s">
        <v>676</v>
      </c>
      <c r="G102" t="s">
        <v>703</v>
      </c>
      <c r="H102" t="s">
        <v>711</v>
      </c>
      <c r="I102" t="s">
        <v>716</v>
      </c>
      <c r="J102" t="s">
        <v>730</v>
      </c>
      <c r="K102" t="s">
        <v>834</v>
      </c>
      <c r="L102">
        <v>1253.22</v>
      </c>
      <c r="M102">
        <v>3104.71</v>
      </c>
      <c r="N102">
        <v>0</v>
      </c>
      <c r="O102">
        <v>17</v>
      </c>
    </row>
    <row r="103" spans="1:15">
      <c r="A103" t="s">
        <v>116</v>
      </c>
      <c r="B103" s="2">
        <v>45304</v>
      </c>
      <c r="C103" s="2">
        <v>45313</v>
      </c>
      <c r="D103" t="s">
        <v>647</v>
      </c>
      <c r="E103" t="s">
        <v>654</v>
      </c>
      <c r="F103" t="s">
        <v>691</v>
      </c>
      <c r="G103" t="s">
        <v>706</v>
      </c>
      <c r="H103" t="s">
        <v>709</v>
      </c>
      <c r="I103" t="s">
        <v>713</v>
      </c>
      <c r="J103" t="s">
        <v>727</v>
      </c>
      <c r="K103" t="s">
        <v>835</v>
      </c>
      <c r="L103">
        <v>313.60000000000002</v>
      </c>
      <c r="M103">
        <v>334.28</v>
      </c>
      <c r="N103">
        <v>0.14000000000000001</v>
      </c>
      <c r="O103">
        <v>22</v>
      </c>
    </row>
    <row r="104" spans="1:15">
      <c r="A104" t="s">
        <v>117</v>
      </c>
      <c r="B104" s="2">
        <v>45747</v>
      </c>
      <c r="C104" s="2">
        <v>45751</v>
      </c>
      <c r="D104" t="s">
        <v>646</v>
      </c>
      <c r="E104" t="s">
        <v>650</v>
      </c>
      <c r="F104" t="s">
        <v>678</v>
      </c>
      <c r="G104" t="s">
        <v>701</v>
      </c>
      <c r="H104" t="s">
        <v>711</v>
      </c>
      <c r="I104" t="s">
        <v>712</v>
      </c>
      <c r="J104" t="s">
        <v>731</v>
      </c>
      <c r="K104" t="s">
        <v>836</v>
      </c>
      <c r="L104">
        <v>862.08</v>
      </c>
      <c r="M104">
        <v>1952.83</v>
      </c>
      <c r="N104">
        <v>0</v>
      </c>
      <c r="O104">
        <v>7</v>
      </c>
    </row>
    <row r="105" spans="1:15">
      <c r="A105" t="s">
        <v>118</v>
      </c>
      <c r="B105" s="2">
        <v>45631</v>
      </c>
      <c r="C105" s="2">
        <v>45654</v>
      </c>
      <c r="D105" t="s">
        <v>648</v>
      </c>
      <c r="E105" t="s">
        <v>653</v>
      </c>
      <c r="F105" t="s">
        <v>688</v>
      </c>
      <c r="G105" t="s">
        <v>701</v>
      </c>
      <c r="H105" t="s">
        <v>711</v>
      </c>
      <c r="I105" t="s">
        <v>721</v>
      </c>
      <c r="J105" t="s">
        <v>733</v>
      </c>
      <c r="K105" t="s">
        <v>837</v>
      </c>
      <c r="L105">
        <v>107.03</v>
      </c>
      <c r="M105">
        <v>242.29</v>
      </c>
      <c r="N105">
        <v>0.18</v>
      </c>
      <c r="O105">
        <v>30</v>
      </c>
    </row>
    <row r="106" spans="1:15">
      <c r="A106" t="s">
        <v>119</v>
      </c>
      <c r="B106" s="2">
        <v>45549</v>
      </c>
      <c r="C106" s="2">
        <v>45570</v>
      </c>
      <c r="D106" t="s">
        <v>647</v>
      </c>
      <c r="E106" t="s">
        <v>659</v>
      </c>
      <c r="F106" t="s">
        <v>685</v>
      </c>
      <c r="G106" t="s">
        <v>705</v>
      </c>
      <c r="H106" t="s">
        <v>708</v>
      </c>
      <c r="I106" t="s">
        <v>722</v>
      </c>
      <c r="J106" t="s">
        <v>731</v>
      </c>
      <c r="K106" t="s">
        <v>838</v>
      </c>
      <c r="L106">
        <v>1405.56</v>
      </c>
      <c r="M106">
        <v>2968.87</v>
      </c>
      <c r="N106">
        <v>0.16900000000000001</v>
      </c>
      <c r="O106">
        <v>5</v>
      </c>
    </row>
    <row r="107" spans="1:15">
      <c r="A107" t="s">
        <v>120</v>
      </c>
      <c r="B107" s="2">
        <v>45433</v>
      </c>
      <c r="C107" s="2">
        <v>45439</v>
      </c>
      <c r="D107" t="s">
        <v>646</v>
      </c>
      <c r="E107" t="s">
        <v>661</v>
      </c>
      <c r="F107" t="s">
        <v>682</v>
      </c>
      <c r="G107" t="s">
        <v>703</v>
      </c>
      <c r="H107" t="s">
        <v>708</v>
      </c>
      <c r="I107" t="s">
        <v>724</v>
      </c>
      <c r="J107" t="s">
        <v>727</v>
      </c>
      <c r="K107" t="s">
        <v>839</v>
      </c>
      <c r="L107">
        <v>1157.51</v>
      </c>
      <c r="M107">
        <v>1394.3</v>
      </c>
      <c r="N107">
        <v>0.27800000000000002</v>
      </c>
      <c r="O107">
        <v>12</v>
      </c>
    </row>
    <row r="108" spans="1:15">
      <c r="A108" t="s">
        <v>121</v>
      </c>
      <c r="B108" s="2">
        <v>45057</v>
      </c>
      <c r="C108" s="2">
        <v>45084</v>
      </c>
      <c r="D108" t="s">
        <v>646</v>
      </c>
      <c r="E108" t="s">
        <v>650</v>
      </c>
      <c r="F108" t="s">
        <v>675</v>
      </c>
      <c r="G108" t="s">
        <v>701</v>
      </c>
      <c r="H108" t="s">
        <v>708</v>
      </c>
      <c r="I108" t="s">
        <v>713</v>
      </c>
      <c r="J108" t="s">
        <v>730</v>
      </c>
      <c r="K108" t="s">
        <v>840</v>
      </c>
      <c r="L108">
        <v>12.85</v>
      </c>
      <c r="M108">
        <v>15.41</v>
      </c>
      <c r="N108">
        <v>0.13700000000000001</v>
      </c>
      <c r="O108">
        <v>39</v>
      </c>
    </row>
    <row r="109" spans="1:15">
      <c r="A109" t="s">
        <v>122</v>
      </c>
      <c r="B109" s="2">
        <v>45518</v>
      </c>
      <c r="C109" s="2">
        <v>45539</v>
      </c>
      <c r="D109" t="s">
        <v>649</v>
      </c>
      <c r="E109" t="s">
        <v>658</v>
      </c>
      <c r="F109" t="s">
        <v>693</v>
      </c>
      <c r="G109" t="s">
        <v>703</v>
      </c>
      <c r="H109" t="s">
        <v>708</v>
      </c>
      <c r="I109" t="s">
        <v>713</v>
      </c>
      <c r="J109" t="s">
        <v>730</v>
      </c>
      <c r="K109" t="s">
        <v>841</v>
      </c>
      <c r="L109">
        <v>1138.8</v>
      </c>
      <c r="M109">
        <v>2250.81</v>
      </c>
      <c r="N109">
        <v>0.123</v>
      </c>
      <c r="O109">
        <v>12</v>
      </c>
    </row>
    <row r="110" spans="1:15">
      <c r="A110" t="s">
        <v>123</v>
      </c>
      <c r="B110" s="2">
        <v>45581</v>
      </c>
      <c r="C110" s="2">
        <v>45604</v>
      </c>
      <c r="D110" t="s">
        <v>647</v>
      </c>
      <c r="E110" t="s">
        <v>652</v>
      </c>
      <c r="F110" t="s">
        <v>666</v>
      </c>
      <c r="G110" t="s">
        <v>705</v>
      </c>
      <c r="H110" t="s">
        <v>707</v>
      </c>
      <c r="I110" t="s">
        <v>713</v>
      </c>
      <c r="J110" t="s">
        <v>729</v>
      </c>
      <c r="K110" t="s">
        <v>842</v>
      </c>
      <c r="L110">
        <v>82.14</v>
      </c>
      <c r="M110">
        <v>166.04</v>
      </c>
      <c r="N110">
        <v>0</v>
      </c>
      <c r="O110">
        <v>10</v>
      </c>
    </row>
    <row r="111" spans="1:15">
      <c r="A111" t="s">
        <v>124</v>
      </c>
      <c r="B111" s="2">
        <v>45445</v>
      </c>
      <c r="C111" s="2">
        <v>45451</v>
      </c>
      <c r="D111" t="s">
        <v>646</v>
      </c>
      <c r="E111" t="s">
        <v>650</v>
      </c>
      <c r="F111" t="s">
        <v>662</v>
      </c>
      <c r="G111" t="s">
        <v>704</v>
      </c>
      <c r="H111" t="s">
        <v>709</v>
      </c>
      <c r="I111" t="s">
        <v>720</v>
      </c>
      <c r="J111" t="s">
        <v>733</v>
      </c>
      <c r="K111" t="s">
        <v>843</v>
      </c>
      <c r="L111">
        <v>292.94</v>
      </c>
      <c r="M111">
        <v>356.55</v>
      </c>
      <c r="N111">
        <v>0.22900000000000001</v>
      </c>
      <c r="O111">
        <v>2</v>
      </c>
    </row>
    <row r="112" spans="1:15">
      <c r="A112" t="s">
        <v>125</v>
      </c>
      <c r="B112" s="2">
        <v>45452</v>
      </c>
      <c r="C112" s="2">
        <v>45480</v>
      </c>
      <c r="D112" t="s">
        <v>647</v>
      </c>
      <c r="E112" t="s">
        <v>659</v>
      </c>
      <c r="F112" t="s">
        <v>676</v>
      </c>
      <c r="G112" t="s">
        <v>701</v>
      </c>
      <c r="H112" t="s">
        <v>708</v>
      </c>
      <c r="I112" t="s">
        <v>713</v>
      </c>
      <c r="J112" t="s">
        <v>727</v>
      </c>
      <c r="K112" t="s">
        <v>844</v>
      </c>
      <c r="L112">
        <v>550.22</v>
      </c>
      <c r="M112">
        <v>1025.05</v>
      </c>
      <c r="N112">
        <v>0</v>
      </c>
      <c r="O112">
        <v>27</v>
      </c>
    </row>
    <row r="113" spans="1:15">
      <c r="A113" t="s">
        <v>126</v>
      </c>
      <c r="B113" s="2">
        <v>45453</v>
      </c>
      <c r="C113" s="2">
        <v>45454</v>
      </c>
      <c r="D113" t="s">
        <v>649</v>
      </c>
      <c r="E113" t="s">
        <v>658</v>
      </c>
      <c r="F113" t="s">
        <v>674</v>
      </c>
      <c r="G113" t="s">
        <v>705</v>
      </c>
      <c r="H113" t="s">
        <v>709</v>
      </c>
      <c r="I113" t="s">
        <v>724</v>
      </c>
      <c r="J113" t="s">
        <v>731</v>
      </c>
      <c r="K113" t="s">
        <v>845</v>
      </c>
      <c r="L113">
        <v>1187.1300000000001</v>
      </c>
      <c r="M113">
        <v>1795.17</v>
      </c>
      <c r="N113">
        <v>1.2E-2</v>
      </c>
      <c r="O113">
        <v>17</v>
      </c>
    </row>
    <row r="114" spans="1:15">
      <c r="A114" t="s">
        <v>127</v>
      </c>
      <c r="B114" s="2">
        <v>45472</v>
      </c>
      <c r="C114" s="2">
        <v>45499</v>
      </c>
      <c r="D114" t="s">
        <v>646</v>
      </c>
      <c r="E114" t="s">
        <v>661</v>
      </c>
      <c r="F114" t="s">
        <v>687</v>
      </c>
      <c r="G114" t="s">
        <v>706</v>
      </c>
      <c r="H114" t="s">
        <v>710</v>
      </c>
      <c r="I114" t="s">
        <v>717</v>
      </c>
      <c r="J114" t="s">
        <v>729</v>
      </c>
      <c r="K114" t="s">
        <v>846</v>
      </c>
      <c r="L114">
        <v>5.36</v>
      </c>
      <c r="M114">
        <v>4.37</v>
      </c>
      <c r="N114">
        <v>0.11799999999999999</v>
      </c>
      <c r="O114">
        <v>9</v>
      </c>
    </row>
    <row r="115" spans="1:15">
      <c r="A115" t="s">
        <v>128</v>
      </c>
      <c r="B115" s="2">
        <v>45674</v>
      </c>
      <c r="C115" s="2">
        <v>45681</v>
      </c>
      <c r="D115" t="s">
        <v>648</v>
      </c>
      <c r="E115" t="s">
        <v>660</v>
      </c>
      <c r="F115" t="s">
        <v>697</v>
      </c>
      <c r="G115" t="s">
        <v>706</v>
      </c>
      <c r="H115" t="s">
        <v>708</v>
      </c>
      <c r="I115" t="s">
        <v>715</v>
      </c>
      <c r="J115" t="s">
        <v>733</v>
      </c>
      <c r="K115" t="s">
        <v>847</v>
      </c>
      <c r="L115">
        <v>142.09</v>
      </c>
      <c r="M115">
        <v>218.5</v>
      </c>
      <c r="N115">
        <v>0.11899999999999999</v>
      </c>
      <c r="O115">
        <v>11</v>
      </c>
    </row>
    <row r="116" spans="1:15">
      <c r="A116" t="s">
        <v>129</v>
      </c>
      <c r="B116" s="2">
        <v>45250</v>
      </c>
      <c r="C116" s="2">
        <v>45265</v>
      </c>
      <c r="D116" t="s">
        <v>647</v>
      </c>
      <c r="E116" t="s">
        <v>652</v>
      </c>
      <c r="F116" t="s">
        <v>689</v>
      </c>
      <c r="G116" t="s">
        <v>706</v>
      </c>
      <c r="H116" t="s">
        <v>707</v>
      </c>
      <c r="I116" t="s">
        <v>716</v>
      </c>
      <c r="J116" t="s">
        <v>729</v>
      </c>
      <c r="K116" t="s">
        <v>848</v>
      </c>
      <c r="L116">
        <v>354.24</v>
      </c>
      <c r="M116">
        <v>249.87</v>
      </c>
      <c r="N116">
        <v>0</v>
      </c>
      <c r="O116">
        <v>6</v>
      </c>
    </row>
    <row r="117" spans="1:15">
      <c r="A117" t="s">
        <v>130</v>
      </c>
      <c r="B117" s="2">
        <v>44987</v>
      </c>
      <c r="C117" s="2">
        <v>44990</v>
      </c>
      <c r="D117" t="s">
        <v>648</v>
      </c>
      <c r="E117" t="s">
        <v>655</v>
      </c>
      <c r="F117" t="s">
        <v>672</v>
      </c>
      <c r="G117" t="s">
        <v>706</v>
      </c>
      <c r="H117" t="s">
        <v>711</v>
      </c>
      <c r="I117" t="s">
        <v>715</v>
      </c>
      <c r="J117" t="s">
        <v>732</v>
      </c>
      <c r="K117" t="s">
        <v>849</v>
      </c>
      <c r="L117">
        <v>1473.58</v>
      </c>
      <c r="M117">
        <v>3436.52</v>
      </c>
      <c r="N117">
        <v>0.108</v>
      </c>
      <c r="O117">
        <v>8</v>
      </c>
    </row>
    <row r="118" spans="1:15">
      <c r="A118" t="s">
        <v>131</v>
      </c>
      <c r="B118" s="2">
        <v>45811</v>
      </c>
      <c r="C118" s="2">
        <v>45818</v>
      </c>
      <c r="D118" t="s">
        <v>648</v>
      </c>
      <c r="E118" t="s">
        <v>653</v>
      </c>
      <c r="F118" t="s">
        <v>667</v>
      </c>
      <c r="G118" t="s">
        <v>704</v>
      </c>
      <c r="H118" t="s">
        <v>710</v>
      </c>
      <c r="I118" t="s">
        <v>719</v>
      </c>
      <c r="J118" t="s">
        <v>728</v>
      </c>
      <c r="K118" t="s">
        <v>850</v>
      </c>
      <c r="L118">
        <v>75.180000000000007</v>
      </c>
      <c r="M118">
        <v>53.45</v>
      </c>
      <c r="N118">
        <v>0.157</v>
      </c>
      <c r="O118">
        <v>17</v>
      </c>
    </row>
    <row r="119" spans="1:15">
      <c r="A119" t="s">
        <v>132</v>
      </c>
      <c r="B119" s="2">
        <v>45653</v>
      </c>
      <c r="C119" s="2">
        <v>45659</v>
      </c>
      <c r="D119" t="s">
        <v>649</v>
      </c>
      <c r="E119" t="s">
        <v>656</v>
      </c>
      <c r="F119" t="s">
        <v>698</v>
      </c>
      <c r="G119" t="s">
        <v>702</v>
      </c>
      <c r="H119" t="s">
        <v>711</v>
      </c>
      <c r="I119" t="s">
        <v>721</v>
      </c>
      <c r="J119" t="s">
        <v>731</v>
      </c>
      <c r="K119" t="s">
        <v>851</v>
      </c>
      <c r="L119">
        <v>1391.99</v>
      </c>
      <c r="M119">
        <v>3469.7</v>
      </c>
      <c r="N119">
        <v>0.184</v>
      </c>
      <c r="O119">
        <v>23</v>
      </c>
    </row>
    <row r="120" spans="1:15">
      <c r="A120" t="s">
        <v>133</v>
      </c>
      <c r="B120" s="2">
        <v>45086</v>
      </c>
      <c r="C120" s="2">
        <v>45096</v>
      </c>
      <c r="D120" t="s">
        <v>647</v>
      </c>
      <c r="E120" t="s">
        <v>659</v>
      </c>
      <c r="F120" t="s">
        <v>699</v>
      </c>
      <c r="G120" t="s">
        <v>706</v>
      </c>
      <c r="H120" t="s">
        <v>707</v>
      </c>
      <c r="I120" t="s">
        <v>721</v>
      </c>
      <c r="J120" t="s">
        <v>732</v>
      </c>
      <c r="K120" t="s">
        <v>852</v>
      </c>
      <c r="L120">
        <v>339.61</v>
      </c>
      <c r="M120">
        <v>621.02</v>
      </c>
      <c r="N120">
        <v>7.0999999999999994E-2</v>
      </c>
      <c r="O120">
        <v>10</v>
      </c>
    </row>
    <row r="121" spans="1:15">
      <c r="A121" t="s">
        <v>134</v>
      </c>
      <c r="B121" s="2">
        <v>45847</v>
      </c>
      <c r="C121" s="2">
        <v>45856</v>
      </c>
      <c r="D121" t="s">
        <v>648</v>
      </c>
      <c r="E121" t="s">
        <v>653</v>
      </c>
      <c r="F121" t="s">
        <v>688</v>
      </c>
      <c r="G121" t="s">
        <v>702</v>
      </c>
      <c r="H121" t="s">
        <v>710</v>
      </c>
      <c r="I121" t="s">
        <v>714</v>
      </c>
      <c r="J121" t="s">
        <v>731</v>
      </c>
      <c r="K121" t="s">
        <v>853</v>
      </c>
      <c r="L121">
        <v>57.96</v>
      </c>
      <c r="M121">
        <v>88.51</v>
      </c>
      <c r="N121">
        <v>4.2999999999999997E-2</v>
      </c>
      <c r="O121">
        <v>7</v>
      </c>
    </row>
    <row r="122" spans="1:15">
      <c r="A122" t="s">
        <v>135</v>
      </c>
      <c r="B122" s="2">
        <v>45827</v>
      </c>
      <c r="C122" s="2">
        <v>45850</v>
      </c>
      <c r="D122" t="s">
        <v>649</v>
      </c>
      <c r="E122" t="s">
        <v>658</v>
      </c>
      <c r="G122" t="s">
        <v>703</v>
      </c>
      <c r="H122" t="s">
        <v>711</v>
      </c>
      <c r="J122" t="s">
        <v>729</v>
      </c>
      <c r="K122" t="s">
        <v>854</v>
      </c>
      <c r="L122">
        <v>801.24</v>
      </c>
      <c r="M122">
        <v>1959.09</v>
      </c>
      <c r="N122">
        <v>0.123</v>
      </c>
      <c r="O122">
        <v>23</v>
      </c>
    </row>
    <row r="123" spans="1:15">
      <c r="A123" t="s">
        <v>136</v>
      </c>
      <c r="B123" s="2">
        <v>45249</v>
      </c>
      <c r="C123" s="2">
        <v>45273</v>
      </c>
      <c r="D123" t="s">
        <v>649</v>
      </c>
      <c r="E123" t="s">
        <v>657</v>
      </c>
      <c r="F123" t="s">
        <v>679</v>
      </c>
      <c r="G123" t="s">
        <v>703</v>
      </c>
      <c r="H123" t="s">
        <v>711</v>
      </c>
      <c r="I123" t="s">
        <v>722</v>
      </c>
      <c r="J123" t="s">
        <v>732</v>
      </c>
      <c r="K123" t="s">
        <v>855</v>
      </c>
      <c r="L123">
        <v>1297.42</v>
      </c>
      <c r="M123">
        <v>2742.97</v>
      </c>
      <c r="N123">
        <v>6.9000000000000006E-2</v>
      </c>
      <c r="O123">
        <v>9</v>
      </c>
    </row>
    <row r="124" spans="1:15">
      <c r="A124" t="s">
        <v>137</v>
      </c>
      <c r="B124" s="2">
        <v>45289</v>
      </c>
      <c r="C124" s="2">
        <v>45311</v>
      </c>
      <c r="D124" t="s">
        <v>646</v>
      </c>
      <c r="E124" t="s">
        <v>650</v>
      </c>
      <c r="F124" t="s">
        <v>662</v>
      </c>
      <c r="G124" t="s">
        <v>701</v>
      </c>
      <c r="H124" t="s">
        <v>711</v>
      </c>
      <c r="I124" t="s">
        <v>716</v>
      </c>
      <c r="J124" t="s">
        <v>730</v>
      </c>
      <c r="K124" t="s">
        <v>856</v>
      </c>
      <c r="L124">
        <v>1395.49</v>
      </c>
      <c r="M124">
        <v>1679.42</v>
      </c>
      <c r="N124">
        <v>0.20300000000000001</v>
      </c>
      <c r="O124">
        <v>12</v>
      </c>
    </row>
    <row r="125" spans="1:15">
      <c r="A125" t="s">
        <v>138</v>
      </c>
      <c r="B125" s="2">
        <v>45598</v>
      </c>
      <c r="C125" s="2">
        <v>45625</v>
      </c>
      <c r="D125" t="s">
        <v>648</v>
      </c>
      <c r="E125" t="s">
        <v>655</v>
      </c>
      <c r="F125" t="s">
        <v>672</v>
      </c>
      <c r="G125" t="s">
        <v>705</v>
      </c>
      <c r="H125" t="s">
        <v>711</v>
      </c>
      <c r="I125" t="s">
        <v>714</v>
      </c>
      <c r="J125" t="s">
        <v>729</v>
      </c>
      <c r="K125" t="s">
        <v>857</v>
      </c>
      <c r="L125">
        <v>1363.51</v>
      </c>
      <c r="M125">
        <v>1433.9</v>
      </c>
      <c r="N125">
        <v>5.7000000000000002E-2</v>
      </c>
      <c r="O125">
        <v>8</v>
      </c>
    </row>
    <row r="126" spans="1:15">
      <c r="A126" t="s">
        <v>139</v>
      </c>
      <c r="B126" s="2">
        <v>45159</v>
      </c>
      <c r="C126" s="2">
        <v>45173</v>
      </c>
      <c r="D126" t="s">
        <v>648</v>
      </c>
      <c r="E126" t="s">
        <v>653</v>
      </c>
      <c r="F126" t="s">
        <v>681</v>
      </c>
      <c r="G126" t="s">
        <v>702</v>
      </c>
      <c r="H126" t="s">
        <v>710</v>
      </c>
      <c r="I126" t="s">
        <v>721</v>
      </c>
      <c r="J126" t="s">
        <v>727</v>
      </c>
      <c r="K126" t="s">
        <v>858</v>
      </c>
      <c r="L126">
        <v>178.19</v>
      </c>
      <c r="M126">
        <v>284.43</v>
      </c>
      <c r="N126">
        <v>8.8999999999999996E-2</v>
      </c>
      <c r="O126">
        <v>8</v>
      </c>
    </row>
    <row r="127" spans="1:15">
      <c r="A127" t="s">
        <v>140</v>
      </c>
      <c r="B127" s="2">
        <v>45150</v>
      </c>
      <c r="C127" s="2">
        <v>45175</v>
      </c>
      <c r="D127" t="s">
        <v>647</v>
      </c>
      <c r="E127" t="s">
        <v>659</v>
      </c>
      <c r="F127" t="s">
        <v>685</v>
      </c>
      <c r="G127" t="s">
        <v>705</v>
      </c>
      <c r="H127" t="s">
        <v>707</v>
      </c>
      <c r="I127" t="s">
        <v>717</v>
      </c>
      <c r="J127" t="s">
        <v>727</v>
      </c>
      <c r="K127" t="s">
        <v>859</v>
      </c>
      <c r="L127">
        <v>950.77</v>
      </c>
      <c r="M127">
        <v>694.78</v>
      </c>
      <c r="N127">
        <v>8.4000000000000005E-2</v>
      </c>
      <c r="O127">
        <v>14</v>
      </c>
    </row>
    <row r="128" spans="1:15">
      <c r="A128" t="s">
        <v>141</v>
      </c>
      <c r="B128" s="2">
        <v>45450</v>
      </c>
      <c r="C128" s="2">
        <v>45469</v>
      </c>
      <c r="D128" t="s">
        <v>649</v>
      </c>
      <c r="E128" t="s">
        <v>656</v>
      </c>
      <c r="F128" t="s">
        <v>671</v>
      </c>
      <c r="G128" t="s">
        <v>703</v>
      </c>
      <c r="H128" t="s">
        <v>709</v>
      </c>
      <c r="I128" t="s">
        <v>724</v>
      </c>
      <c r="J128" t="s">
        <v>727</v>
      </c>
      <c r="K128" t="s">
        <v>860</v>
      </c>
      <c r="L128">
        <v>1064.32</v>
      </c>
      <c r="M128">
        <v>1848.39</v>
      </c>
      <c r="N128">
        <v>7.2999999999999995E-2</v>
      </c>
      <c r="O128">
        <v>38</v>
      </c>
    </row>
    <row r="129" spans="1:15">
      <c r="A129" t="s">
        <v>142</v>
      </c>
      <c r="B129" s="2">
        <v>45874</v>
      </c>
      <c r="C129" s="2">
        <v>45883</v>
      </c>
      <c r="D129" t="s">
        <v>649</v>
      </c>
      <c r="E129" t="s">
        <v>658</v>
      </c>
      <c r="F129" t="s">
        <v>683</v>
      </c>
      <c r="G129" t="s">
        <v>703</v>
      </c>
      <c r="H129" t="s">
        <v>711</v>
      </c>
      <c r="I129" t="s">
        <v>718</v>
      </c>
      <c r="J129" t="s">
        <v>727</v>
      </c>
      <c r="K129" t="s">
        <v>861</v>
      </c>
      <c r="L129">
        <v>41.76</v>
      </c>
      <c r="M129">
        <v>45.19</v>
      </c>
      <c r="N129">
        <v>0.17899999999999999</v>
      </c>
      <c r="O129">
        <v>23</v>
      </c>
    </row>
    <row r="130" spans="1:15">
      <c r="A130" t="s">
        <v>143</v>
      </c>
      <c r="B130" s="2">
        <v>45442</v>
      </c>
      <c r="C130" s="2">
        <v>45456</v>
      </c>
      <c r="D130" t="s">
        <v>648</v>
      </c>
      <c r="E130" t="s">
        <v>660</v>
      </c>
      <c r="F130" t="s">
        <v>686</v>
      </c>
      <c r="G130" t="s">
        <v>705</v>
      </c>
      <c r="H130" t="s">
        <v>707</v>
      </c>
      <c r="I130" t="s">
        <v>721</v>
      </c>
      <c r="J130" t="s">
        <v>730</v>
      </c>
      <c r="K130" t="s">
        <v>862</v>
      </c>
      <c r="L130">
        <v>157.78</v>
      </c>
      <c r="M130">
        <v>361.1</v>
      </c>
      <c r="N130">
        <v>0.187</v>
      </c>
      <c r="O130">
        <v>9</v>
      </c>
    </row>
    <row r="131" spans="1:15">
      <c r="A131" t="s">
        <v>144</v>
      </c>
      <c r="B131" s="2">
        <v>44948</v>
      </c>
      <c r="C131" s="2">
        <v>44956</v>
      </c>
      <c r="D131" t="s">
        <v>648</v>
      </c>
      <c r="E131" t="s">
        <v>660</v>
      </c>
      <c r="F131" t="s">
        <v>686</v>
      </c>
      <c r="G131" t="s">
        <v>705</v>
      </c>
      <c r="H131" t="s">
        <v>708</v>
      </c>
      <c r="I131" t="s">
        <v>720</v>
      </c>
      <c r="J131" t="s">
        <v>729</v>
      </c>
      <c r="K131" t="s">
        <v>863</v>
      </c>
      <c r="L131">
        <v>413.52</v>
      </c>
      <c r="M131">
        <v>1004.34</v>
      </c>
      <c r="N131">
        <v>0.111</v>
      </c>
      <c r="O131">
        <v>18</v>
      </c>
    </row>
    <row r="132" spans="1:15">
      <c r="A132" t="s">
        <v>145</v>
      </c>
      <c r="B132" s="2">
        <v>45700</v>
      </c>
      <c r="C132" s="2">
        <v>45716</v>
      </c>
      <c r="D132" t="s">
        <v>648</v>
      </c>
      <c r="E132" t="s">
        <v>655</v>
      </c>
      <c r="F132" t="s">
        <v>670</v>
      </c>
      <c r="G132" t="s">
        <v>703</v>
      </c>
      <c r="H132" t="s">
        <v>711</v>
      </c>
      <c r="I132" t="s">
        <v>717</v>
      </c>
      <c r="J132" t="s">
        <v>732</v>
      </c>
      <c r="K132" t="s">
        <v>864</v>
      </c>
      <c r="L132">
        <v>414.95</v>
      </c>
      <c r="M132">
        <v>1027.73</v>
      </c>
      <c r="N132">
        <v>6.3E-2</v>
      </c>
      <c r="O132">
        <v>8</v>
      </c>
    </row>
    <row r="133" spans="1:15">
      <c r="A133" t="s">
        <v>146</v>
      </c>
      <c r="B133" s="2">
        <v>45719</v>
      </c>
      <c r="C133" s="2">
        <v>45740</v>
      </c>
      <c r="D133" t="s">
        <v>646</v>
      </c>
      <c r="E133" t="s">
        <v>651</v>
      </c>
      <c r="F133" t="s">
        <v>669</v>
      </c>
      <c r="G133" t="s">
        <v>706</v>
      </c>
      <c r="H133" t="s">
        <v>711</v>
      </c>
      <c r="I133" t="s">
        <v>722</v>
      </c>
      <c r="J133" t="s">
        <v>733</v>
      </c>
      <c r="K133" t="s">
        <v>865</v>
      </c>
      <c r="L133">
        <v>555.95000000000005</v>
      </c>
      <c r="M133">
        <v>468.09</v>
      </c>
      <c r="N133">
        <v>0.14199999999999999</v>
      </c>
      <c r="O133">
        <v>11</v>
      </c>
    </row>
    <row r="134" spans="1:15">
      <c r="A134" t="s">
        <v>147</v>
      </c>
      <c r="B134" s="2">
        <v>44953</v>
      </c>
      <c r="C134" s="2">
        <v>44957</v>
      </c>
      <c r="D134" t="s">
        <v>649</v>
      </c>
      <c r="E134" t="s">
        <v>658</v>
      </c>
      <c r="F134" t="s">
        <v>693</v>
      </c>
      <c r="G134" t="s">
        <v>706</v>
      </c>
      <c r="H134" t="s">
        <v>708</v>
      </c>
      <c r="I134" t="s">
        <v>725</v>
      </c>
      <c r="J134" t="s">
        <v>731</v>
      </c>
      <c r="K134" t="s">
        <v>866</v>
      </c>
      <c r="L134">
        <v>941.2</v>
      </c>
      <c r="M134">
        <v>668.02</v>
      </c>
      <c r="N134">
        <v>0.22</v>
      </c>
      <c r="O134">
        <v>16</v>
      </c>
    </row>
    <row r="135" spans="1:15">
      <c r="A135" t="s">
        <v>148</v>
      </c>
      <c r="B135" s="2">
        <v>45666</v>
      </c>
      <c r="C135" s="2">
        <v>45672</v>
      </c>
      <c r="D135" t="s">
        <v>647</v>
      </c>
      <c r="E135" t="s">
        <v>659</v>
      </c>
      <c r="F135" t="s">
        <v>699</v>
      </c>
      <c r="G135" t="s">
        <v>702</v>
      </c>
      <c r="H135" t="s">
        <v>708</v>
      </c>
      <c r="I135" t="s">
        <v>712</v>
      </c>
      <c r="J135" t="s">
        <v>730</v>
      </c>
      <c r="K135" t="s">
        <v>867</v>
      </c>
      <c r="L135">
        <v>304.77999999999997</v>
      </c>
      <c r="M135">
        <v>537.27</v>
      </c>
      <c r="N135">
        <v>0.187</v>
      </c>
      <c r="O135">
        <v>8</v>
      </c>
    </row>
    <row r="136" spans="1:15">
      <c r="A136" t="s">
        <v>149</v>
      </c>
      <c r="B136" s="2">
        <v>45647</v>
      </c>
      <c r="C136" s="2">
        <v>45652</v>
      </c>
      <c r="D136" t="s">
        <v>648</v>
      </c>
      <c r="E136" t="s">
        <v>660</v>
      </c>
      <c r="F136" t="s">
        <v>686</v>
      </c>
      <c r="G136" t="s">
        <v>704</v>
      </c>
      <c r="H136" t="s">
        <v>709</v>
      </c>
      <c r="I136" t="s">
        <v>724</v>
      </c>
      <c r="J136" t="s">
        <v>728</v>
      </c>
      <c r="K136" t="s">
        <v>868</v>
      </c>
      <c r="L136">
        <v>699.57</v>
      </c>
      <c r="M136">
        <v>572.71</v>
      </c>
      <c r="N136">
        <v>0.192</v>
      </c>
      <c r="O136">
        <v>26</v>
      </c>
    </row>
    <row r="137" spans="1:15">
      <c r="A137" t="s">
        <v>150</v>
      </c>
      <c r="B137" s="2">
        <v>45028</v>
      </c>
      <c r="C137" s="2">
        <v>45033</v>
      </c>
      <c r="D137" t="s">
        <v>649</v>
      </c>
      <c r="E137" t="s">
        <v>657</v>
      </c>
      <c r="F137" t="s">
        <v>679</v>
      </c>
      <c r="G137" t="s">
        <v>706</v>
      </c>
      <c r="H137" t="s">
        <v>711</v>
      </c>
      <c r="I137" t="s">
        <v>718</v>
      </c>
      <c r="J137" t="s">
        <v>732</v>
      </c>
      <c r="K137" t="s">
        <v>869</v>
      </c>
      <c r="L137">
        <v>1087.81</v>
      </c>
      <c r="M137">
        <v>2323.87</v>
      </c>
      <c r="N137">
        <v>9.4E-2</v>
      </c>
      <c r="O137">
        <v>13</v>
      </c>
    </row>
    <row r="138" spans="1:15">
      <c r="A138" t="s">
        <v>151</v>
      </c>
      <c r="B138" s="2">
        <v>45640</v>
      </c>
      <c r="C138" s="2">
        <v>45669</v>
      </c>
      <c r="D138" t="s">
        <v>647</v>
      </c>
      <c r="E138" t="s">
        <v>659</v>
      </c>
      <c r="F138" t="s">
        <v>676</v>
      </c>
      <c r="G138" t="s">
        <v>702</v>
      </c>
      <c r="H138" t="s">
        <v>708</v>
      </c>
      <c r="I138" t="s">
        <v>713</v>
      </c>
      <c r="J138" t="s">
        <v>727</v>
      </c>
      <c r="K138" t="s">
        <v>870</v>
      </c>
      <c r="L138">
        <v>1412.15</v>
      </c>
      <c r="M138">
        <v>1631.04</v>
      </c>
      <c r="N138">
        <v>8.9999999999999993E-3</v>
      </c>
      <c r="O138">
        <v>6</v>
      </c>
    </row>
    <row r="139" spans="1:15">
      <c r="A139" t="s">
        <v>152</v>
      </c>
      <c r="B139" s="2">
        <v>45016</v>
      </c>
      <c r="C139" s="2">
        <v>45028</v>
      </c>
      <c r="D139" t="s">
        <v>646</v>
      </c>
      <c r="E139" t="s">
        <v>650</v>
      </c>
      <c r="F139" t="s">
        <v>675</v>
      </c>
      <c r="G139" t="s">
        <v>705</v>
      </c>
      <c r="H139" t="s">
        <v>708</v>
      </c>
      <c r="I139" t="s">
        <v>712</v>
      </c>
      <c r="J139" t="s">
        <v>730</v>
      </c>
      <c r="K139" t="s">
        <v>871</v>
      </c>
      <c r="L139">
        <v>304.22000000000003</v>
      </c>
      <c r="M139">
        <v>393.31</v>
      </c>
      <c r="N139">
        <v>0.26500000000000001</v>
      </c>
      <c r="O139">
        <v>15</v>
      </c>
    </row>
    <row r="140" spans="1:15">
      <c r="A140" t="s">
        <v>153</v>
      </c>
      <c r="B140" s="2">
        <v>45616</v>
      </c>
      <c r="C140" s="2">
        <v>45641</v>
      </c>
      <c r="D140" t="s">
        <v>649</v>
      </c>
      <c r="E140" t="s">
        <v>657</v>
      </c>
      <c r="F140" t="s">
        <v>690</v>
      </c>
      <c r="G140" t="s">
        <v>701</v>
      </c>
      <c r="H140" t="s">
        <v>708</v>
      </c>
      <c r="I140" t="s">
        <v>715</v>
      </c>
      <c r="J140" t="s">
        <v>728</v>
      </c>
      <c r="K140" t="s">
        <v>872</v>
      </c>
      <c r="L140">
        <v>1203.58</v>
      </c>
      <c r="M140">
        <v>1856.16</v>
      </c>
      <c r="N140">
        <v>0.129</v>
      </c>
      <c r="O140">
        <v>22</v>
      </c>
    </row>
    <row r="141" spans="1:15">
      <c r="A141" t="s">
        <v>154</v>
      </c>
      <c r="B141" s="2">
        <v>45336</v>
      </c>
      <c r="C141" s="2">
        <v>45336</v>
      </c>
      <c r="D141" t="s">
        <v>647</v>
      </c>
      <c r="E141" t="s">
        <v>659</v>
      </c>
      <c r="F141" t="s">
        <v>699</v>
      </c>
      <c r="G141" t="s">
        <v>701</v>
      </c>
      <c r="H141" t="s">
        <v>710</v>
      </c>
      <c r="I141" t="s">
        <v>716</v>
      </c>
      <c r="J141" t="s">
        <v>733</v>
      </c>
      <c r="K141" t="s">
        <v>873</v>
      </c>
      <c r="L141">
        <v>65.930000000000007</v>
      </c>
      <c r="M141">
        <v>84.9</v>
      </c>
      <c r="N141">
        <v>0.25900000000000001</v>
      </c>
      <c r="O141">
        <v>23</v>
      </c>
    </row>
    <row r="142" spans="1:15">
      <c r="A142" t="s">
        <v>155</v>
      </c>
      <c r="B142" s="2">
        <v>45048</v>
      </c>
      <c r="C142" s="2">
        <v>45064</v>
      </c>
      <c r="D142" t="s">
        <v>647</v>
      </c>
      <c r="E142" t="s">
        <v>654</v>
      </c>
      <c r="F142" t="s">
        <v>680</v>
      </c>
      <c r="G142" t="s">
        <v>705</v>
      </c>
      <c r="H142" t="s">
        <v>709</v>
      </c>
      <c r="I142" t="s">
        <v>723</v>
      </c>
      <c r="J142" t="s">
        <v>732</v>
      </c>
      <c r="K142" t="s">
        <v>874</v>
      </c>
      <c r="L142">
        <v>1463.92</v>
      </c>
      <c r="M142">
        <v>2252.2399999999998</v>
      </c>
      <c r="N142">
        <v>0.11799999999999999</v>
      </c>
      <c r="O142">
        <v>44</v>
      </c>
    </row>
    <row r="143" spans="1:15">
      <c r="A143" t="s">
        <v>156</v>
      </c>
      <c r="B143" s="2">
        <v>45649</v>
      </c>
      <c r="C143" s="2">
        <v>45668</v>
      </c>
      <c r="D143" t="s">
        <v>649</v>
      </c>
      <c r="E143" t="s">
        <v>656</v>
      </c>
      <c r="F143" t="s">
        <v>671</v>
      </c>
      <c r="G143" t="s">
        <v>702</v>
      </c>
      <c r="H143" t="s">
        <v>707</v>
      </c>
      <c r="I143" t="s">
        <v>723</v>
      </c>
      <c r="J143" t="s">
        <v>730</v>
      </c>
      <c r="K143" t="s">
        <v>875</v>
      </c>
      <c r="L143">
        <v>501.81</v>
      </c>
      <c r="M143">
        <v>921.62</v>
      </c>
      <c r="N143">
        <v>0.01</v>
      </c>
      <c r="O143">
        <v>9</v>
      </c>
    </row>
    <row r="144" spans="1:15">
      <c r="A144" t="s">
        <v>157</v>
      </c>
      <c r="B144" s="2">
        <v>45133</v>
      </c>
      <c r="C144" s="2">
        <v>45163</v>
      </c>
      <c r="D144" t="s">
        <v>648</v>
      </c>
      <c r="E144" t="s">
        <v>660</v>
      </c>
      <c r="F144" t="s">
        <v>700</v>
      </c>
      <c r="G144" t="s">
        <v>704</v>
      </c>
      <c r="H144" t="s">
        <v>707</v>
      </c>
      <c r="I144" t="s">
        <v>724</v>
      </c>
      <c r="J144" t="s">
        <v>733</v>
      </c>
      <c r="K144" t="s">
        <v>876</v>
      </c>
      <c r="L144">
        <v>1261.48</v>
      </c>
      <c r="M144">
        <v>1643.18</v>
      </c>
      <c r="N144">
        <v>0.151</v>
      </c>
      <c r="O144">
        <v>23</v>
      </c>
    </row>
    <row r="145" spans="1:15">
      <c r="A145" t="s">
        <v>158</v>
      </c>
      <c r="B145" s="2">
        <v>45458</v>
      </c>
      <c r="C145" s="2">
        <v>45479</v>
      </c>
      <c r="D145" t="s">
        <v>648</v>
      </c>
      <c r="E145" t="s">
        <v>653</v>
      </c>
      <c r="F145" t="s">
        <v>667</v>
      </c>
      <c r="G145" t="s">
        <v>706</v>
      </c>
      <c r="H145" t="s">
        <v>710</v>
      </c>
      <c r="I145" t="s">
        <v>716</v>
      </c>
      <c r="J145" t="s">
        <v>728</v>
      </c>
      <c r="K145" t="s">
        <v>877</v>
      </c>
      <c r="L145">
        <v>817.23</v>
      </c>
      <c r="M145">
        <v>1467.17</v>
      </c>
      <c r="N145">
        <v>0.245</v>
      </c>
      <c r="O145">
        <v>9</v>
      </c>
    </row>
    <row r="146" spans="1:15">
      <c r="A146" t="s">
        <v>159</v>
      </c>
      <c r="B146" s="2">
        <v>45112</v>
      </c>
      <c r="C146" s="2">
        <v>45121</v>
      </c>
      <c r="D146" t="s">
        <v>648</v>
      </c>
      <c r="E146" t="s">
        <v>655</v>
      </c>
      <c r="F146" t="s">
        <v>672</v>
      </c>
      <c r="G146" t="s">
        <v>706</v>
      </c>
      <c r="H146" t="s">
        <v>711</v>
      </c>
      <c r="I146" t="s">
        <v>717</v>
      </c>
      <c r="J146" t="s">
        <v>729</v>
      </c>
      <c r="K146" t="s">
        <v>878</v>
      </c>
      <c r="L146">
        <v>578.85</v>
      </c>
      <c r="M146">
        <v>998.76</v>
      </c>
      <c r="N146">
        <v>8.2000000000000003E-2</v>
      </c>
      <c r="O146">
        <v>28</v>
      </c>
    </row>
    <row r="147" spans="1:15">
      <c r="A147" t="s">
        <v>160</v>
      </c>
      <c r="B147" s="2">
        <v>45260</v>
      </c>
      <c r="C147" s="2">
        <v>45259</v>
      </c>
      <c r="D147" t="s">
        <v>646</v>
      </c>
      <c r="E147" t="s">
        <v>661</v>
      </c>
      <c r="F147" t="s">
        <v>687</v>
      </c>
      <c r="G147" t="s">
        <v>705</v>
      </c>
      <c r="H147" t="s">
        <v>709</v>
      </c>
      <c r="I147" t="s">
        <v>718</v>
      </c>
      <c r="J147" t="s">
        <v>731</v>
      </c>
      <c r="K147" t="s">
        <v>879</v>
      </c>
      <c r="L147">
        <v>275.56</v>
      </c>
      <c r="M147">
        <v>630.72</v>
      </c>
      <c r="N147">
        <v>0.107</v>
      </c>
      <c r="O147">
        <v>23</v>
      </c>
    </row>
    <row r="148" spans="1:15">
      <c r="A148" t="s">
        <v>161</v>
      </c>
      <c r="B148" s="2">
        <v>45911</v>
      </c>
      <c r="C148" s="2">
        <v>45928</v>
      </c>
      <c r="D148" t="s">
        <v>646</v>
      </c>
      <c r="E148" t="s">
        <v>650</v>
      </c>
      <c r="F148" t="s">
        <v>664</v>
      </c>
      <c r="G148" t="s">
        <v>703</v>
      </c>
      <c r="H148" t="s">
        <v>710</v>
      </c>
      <c r="I148" t="s">
        <v>713</v>
      </c>
      <c r="J148" t="s">
        <v>731</v>
      </c>
      <c r="K148" t="s">
        <v>880</v>
      </c>
      <c r="L148">
        <v>891.46</v>
      </c>
      <c r="M148">
        <v>728.61</v>
      </c>
      <c r="N148">
        <v>0.185</v>
      </c>
      <c r="O148">
        <v>6</v>
      </c>
    </row>
    <row r="149" spans="1:15">
      <c r="A149" t="s">
        <v>162</v>
      </c>
      <c r="B149" s="2">
        <v>45386</v>
      </c>
      <c r="C149" s="2">
        <v>45406</v>
      </c>
      <c r="D149" t="s">
        <v>649</v>
      </c>
      <c r="E149" t="s">
        <v>656</v>
      </c>
      <c r="F149" t="s">
        <v>698</v>
      </c>
      <c r="G149" t="s">
        <v>703</v>
      </c>
      <c r="H149" t="s">
        <v>711</v>
      </c>
      <c r="I149" t="s">
        <v>719</v>
      </c>
      <c r="J149" t="s">
        <v>733</v>
      </c>
      <c r="K149" t="s">
        <v>881</v>
      </c>
      <c r="L149">
        <v>683.42</v>
      </c>
      <c r="M149">
        <v>951.51</v>
      </c>
      <c r="N149">
        <v>0</v>
      </c>
      <c r="O149">
        <v>14</v>
      </c>
    </row>
    <row r="150" spans="1:15">
      <c r="A150" t="s">
        <v>163</v>
      </c>
      <c r="B150" s="2">
        <v>45183</v>
      </c>
      <c r="C150" s="2">
        <v>45185</v>
      </c>
      <c r="D150" t="s">
        <v>649</v>
      </c>
      <c r="E150" t="s">
        <v>657</v>
      </c>
      <c r="F150" t="s">
        <v>679</v>
      </c>
      <c r="G150" t="s">
        <v>703</v>
      </c>
      <c r="H150" t="s">
        <v>711</v>
      </c>
      <c r="I150" t="s">
        <v>717</v>
      </c>
      <c r="J150" t="s">
        <v>728</v>
      </c>
      <c r="K150" t="s">
        <v>882</v>
      </c>
      <c r="L150">
        <v>376.83</v>
      </c>
      <c r="M150">
        <v>732.88</v>
      </c>
      <c r="N150">
        <v>0.188</v>
      </c>
      <c r="O150">
        <v>25</v>
      </c>
    </row>
    <row r="151" spans="1:15">
      <c r="A151" t="s">
        <v>164</v>
      </c>
      <c r="B151" s="2">
        <v>45558</v>
      </c>
      <c r="C151" s="2">
        <v>45583</v>
      </c>
      <c r="D151" t="s">
        <v>648</v>
      </c>
      <c r="E151" t="s">
        <v>653</v>
      </c>
      <c r="F151" t="s">
        <v>688</v>
      </c>
      <c r="G151" t="s">
        <v>705</v>
      </c>
      <c r="H151" t="s">
        <v>708</v>
      </c>
      <c r="I151" t="s">
        <v>725</v>
      </c>
      <c r="J151" t="s">
        <v>730</v>
      </c>
      <c r="K151" t="s">
        <v>883</v>
      </c>
      <c r="L151">
        <v>1297</v>
      </c>
      <c r="M151">
        <v>2411.52</v>
      </c>
      <c r="N151">
        <v>2.1000000000000001E-2</v>
      </c>
      <c r="O151">
        <v>18</v>
      </c>
    </row>
    <row r="152" spans="1:15">
      <c r="A152" t="s">
        <v>165</v>
      </c>
      <c r="B152" s="2">
        <v>45763</v>
      </c>
      <c r="C152" s="2">
        <v>45793</v>
      </c>
      <c r="D152" t="s">
        <v>648</v>
      </c>
      <c r="E152" t="s">
        <v>653</v>
      </c>
      <c r="F152" t="s">
        <v>681</v>
      </c>
      <c r="G152" t="s">
        <v>706</v>
      </c>
      <c r="H152" t="s">
        <v>710</v>
      </c>
      <c r="I152" t="s">
        <v>723</v>
      </c>
      <c r="J152" t="s">
        <v>728</v>
      </c>
      <c r="K152" t="s">
        <v>884</v>
      </c>
      <c r="L152">
        <v>763.32</v>
      </c>
      <c r="M152">
        <v>568.29</v>
      </c>
      <c r="N152">
        <v>0.13100000000000001</v>
      </c>
      <c r="O152">
        <v>16</v>
      </c>
    </row>
    <row r="153" spans="1:15">
      <c r="A153" t="s">
        <v>166</v>
      </c>
      <c r="B153" s="2">
        <v>45110</v>
      </c>
      <c r="C153" s="2">
        <v>45130</v>
      </c>
      <c r="D153" t="s">
        <v>646</v>
      </c>
      <c r="E153" t="s">
        <v>661</v>
      </c>
      <c r="F153" t="s">
        <v>682</v>
      </c>
      <c r="G153" t="s">
        <v>705</v>
      </c>
      <c r="H153" t="s">
        <v>710</v>
      </c>
      <c r="I153" t="s">
        <v>721</v>
      </c>
      <c r="J153" t="s">
        <v>731</v>
      </c>
      <c r="K153" t="s">
        <v>885</v>
      </c>
      <c r="L153">
        <v>1001.96</v>
      </c>
      <c r="M153">
        <v>1254.95</v>
      </c>
      <c r="N153">
        <v>4.4999999999999998E-2</v>
      </c>
      <c r="O153">
        <v>18</v>
      </c>
    </row>
    <row r="154" spans="1:15">
      <c r="A154" t="s">
        <v>167</v>
      </c>
      <c r="B154" s="2">
        <v>45267</v>
      </c>
      <c r="C154" s="2">
        <v>45265</v>
      </c>
      <c r="D154" t="s">
        <v>647</v>
      </c>
      <c r="E154" t="s">
        <v>652</v>
      </c>
      <c r="F154" t="s">
        <v>689</v>
      </c>
      <c r="G154" t="s">
        <v>703</v>
      </c>
      <c r="H154" t="s">
        <v>709</v>
      </c>
      <c r="I154" t="s">
        <v>722</v>
      </c>
      <c r="J154" t="s">
        <v>728</v>
      </c>
      <c r="K154" t="s">
        <v>886</v>
      </c>
      <c r="L154">
        <v>1097.5899999999999</v>
      </c>
      <c r="M154">
        <v>845.55</v>
      </c>
      <c r="N154">
        <v>0.184</v>
      </c>
      <c r="O154">
        <v>6</v>
      </c>
    </row>
    <row r="155" spans="1:15">
      <c r="A155" t="s">
        <v>168</v>
      </c>
      <c r="B155" s="2">
        <v>45340</v>
      </c>
      <c r="C155" s="2">
        <v>45355</v>
      </c>
      <c r="D155" t="s">
        <v>646</v>
      </c>
      <c r="E155" t="s">
        <v>650</v>
      </c>
      <c r="F155" t="s">
        <v>662</v>
      </c>
      <c r="G155" t="s">
        <v>702</v>
      </c>
      <c r="H155" t="s">
        <v>711</v>
      </c>
      <c r="I155" t="s">
        <v>723</v>
      </c>
      <c r="J155" t="s">
        <v>728</v>
      </c>
      <c r="K155" t="s">
        <v>887</v>
      </c>
      <c r="L155">
        <v>928.68</v>
      </c>
      <c r="M155">
        <v>2145.17</v>
      </c>
      <c r="N155">
        <v>0.13600000000000001</v>
      </c>
      <c r="O155">
        <v>16</v>
      </c>
    </row>
    <row r="156" spans="1:15">
      <c r="A156" t="s">
        <v>169</v>
      </c>
      <c r="B156" s="2">
        <v>45230</v>
      </c>
      <c r="C156" s="2">
        <v>45232</v>
      </c>
      <c r="D156" t="s">
        <v>646</v>
      </c>
      <c r="E156" t="s">
        <v>650</v>
      </c>
      <c r="F156" t="s">
        <v>662</v>
      </c>
      <c r="G156" t="s">
        <v>702</v>
      </c>
      <c r="H156" t="s">
        <v>707</v>
      </c>
      <c r="I156" t="s">
        <v>719</v>
      </c>
      <c r="J156" t="s">
        <v>733</v>
      </c>
      <c r="K156" t="s">
        <v>888</v>
      </c>
      <c r="L156">
        <v>867.89</v>
      </c>
      <c r="M156">
        <v>1349.94</v>
      </c>
      <c r="N156">
        <v>0.184</v>
      </c>
      <c r="O156">
        <v>10</v>
      </c>
    </row>
    <row r="157" spans="1:15">
      <c r="A157" t="s">
        <v>170</v>
      </c>
      <c r="B157" s="2">
        <v>45511</v>
      </c>
      <c r="C157" s="2">
        <v>45521</v>
      </c>
      <c r="D157" t="s">
        <v>647</v>
      </c>
      <c r="E157" t="s">
        <v>652</v>
      </c>
      <c r="F157" t="s">
        <v>666</v>
      </c>
      <c r="G157" t="s">
        <v>704</v>
      </c>
      <c r="H157" t="s">
        <v>708</v>
      </c>
      <c r="I157" t="s">
        <v>723</v>
      </c>
      <c r="J157" t="s">
        <v>729</v>
      </c>
      <c r="K157" t="s">
        <v>889</v>
      </c>
      <c r="L157">
        <v>436.58</v>
      </c>
      <c r="M157">
        <v>527.48</v>
      </c>
      <c r="N157">
        <v>0.111</v>
      </c>
      <c r="O157">
        <v>19</v>
      </c>
    </row>
    <row r="158" spans="1:15">
      <c r="A158" t="s">
        <v>171</v>
      </c>
      <c r="B158" s="2">
        <v>45323</v>
      </c>
      <c r="C158" s="2">
        <v>45343</v>
      </c>
      <c r="D158" t="s">
        <v>649</v>
      </c>
      <c r="E158" t="s">
        <v>657</v>
      </c>
      <c r="F158" t="s">
        <v>690</v>
      </c>
      <c r="G158" t="s">
        <v>705</v>
      </c>
      <c r="H158" t="s">
        <v>709</v>
      </c>
      <c r="I158" t="s">
        <v>720</v>
      </c>
      <c r="J158" t="s">
        <v>729</v>
      </c>
      <c r="K158" t="s">
        <v>890</v>
      </c>
      <c r="L158">
        <v>656.2</v>
      </c>
      <c r="M158">
        <v>1467.17</v>
      </c>
      <c r="N158">
        <v>1.7999999999999999E-2</v>
      </c>
      <c r="O158">
        <v>5</v>
      </c>
    </row>
    <row r="159" spans="1:15">
      <c r="A159" t="s">
        <v>172</v>
      </c>
      <c r="B159" s="2">
        <v>45531</v>
      </c>
      <c r="C159" s="2">
        <v>45553</v>
      </c>
      <c r="D159" t="s">
        <v>647</v>
      </c>
      <c r="E159" t="s">
        <v>654</v>
      </c>
      <c r="F159" t="s">
        <v>680</v>
      </c>
      <c r="G159" t="s">
        <v>704</v>
      </c>
      <c r="H159" t="s">
        <v>711</v>
      </c>
      <c r="I159" t="s">
        <v>717</v>
      </c>
      <c r="J159" t="s">
        <v>727</v>
      </c>
      <c r="K159" t="s">
        <v>891</v>
      </c>
      <c r="L159">
        <v>896.75</v>
      </c>
      <c r="M159">
        <v>1651.14</v>
      </c>
      <c r="N159">
        <v>2.5000000000000001E-2</v>
      </c>
      <c r="O159">
        <v>15</v>
      </c>
    </row>
    <row r="160" spans="1:15">
      <c r="A160" t="s">
        <v>173</v>
      </c>
      <c r="B160" s="2">
        <v>45703</v>
      </c>
      <c r="C160" s="2">
        <v>45703</v>
      </c>
      <c r="D160" t="s">
        <v>649</v>
      </c>
      <c r="E160" t="s">
        <v>656</v>
      </c>
      <c r="F160" t="s">
        <v>698</v>
      </c>
      <c r="G160" t="s">
        <v>705</v>
      </c>
      <c r="H160" t="s">
        <v>709</v>
      </c>
      <c r="I160" t="s">
        <v>716</v>
      </c>
      <c r="J160" t="s">
        <v>733</v>
      </c>
      <c r="K160" t="s">
        <v>892</v>
      </c>
      <c r="L160">
        <v>815.83</v>
      </c>
      <c r="M160">
        <v>1982.18</v>
      </c>
      <c r="N160">
        <v>0.127</v>
      </c>
      <c r="O160">
        <v>6</v>
      </c>
    </row>
    <row r="161" spans="1:15">
      <c r="A161" t="s">
        <v>174</v>
      </c>
      <c r="B161" s="2">
        <v>45870</v>
      </c>
      <c r="C161" s="2">
        <v>45890</v>
      </c>
      <c r="D161" t="s">
        <v>647</v>
      </c>
      <c r="E161" t="s">
        <v>659</v>
      </c>
      <c r="F161" t="s">
        <v>685</v>
      </c>
      <c r="G161" t="s">
        <v>701</v>
      </c>
      <c r="H161" t="s">
        <v>711</v>
      </c>
      <c r="I161" t="s">
        <v>714</v>
      </c>
      <c r="J161" t="s">
        <v>730</v>
      </c>
      <c r="K161" t="s">
        <v>893</v>
      </c>
      <c r="L161">
        <v>1220.4100000000001</v>
      </c>
      <c r="M161">
        <v>2552.2199999999998</v>
      </c>
      <c r="N161">
        <v>0.18099999999999999</v>
      </c>
      <c r="O161">
        <v>14</v>
      </c>
    </row>
    <row r="162" spans="1:15">
      <c r="A162" t="s">
        <v>175</v>
      </c>
      <c r="B162" s="2">
        <v>44977</v>
      </c>
      <c r="C162" s="2">
        <v>44989</v>
      </c>
      <c r="D162" t="s">
        <v>647</v>
      </c>
      <c r="E162" t="s">
        <v>654</v>
      </c>
      <c r="F162" t="s">
        <v>680</v>
      </c>
      <c r="G162" t="s">
        <v>704</v>
      </c>
      <c r="H162" t="s">
        <v>710</v>
      </c>
      <c r="I162" t="s">
        <v>724</v>
      </c>
      <c r="J162" t="s">
        <v>732</v>
      </c>
      <c r="K162" t="s">
        <v>894</v>
      </c>
      <c r="L162">
        <v>299.75</v>
      </c>
      <c r="M162">
        <v>523.01</v>
      </c>
      <c r="N162">
        <v>0.157</v>
      </c>
      <c r="O162">
        <v>50</v>
      </c>
    </row>
    <row r="163" spans="1:15">
      <c r="A163" t="s">
        <v>176</v>
      </c>
      <c r="B163" s="2">
        <v>45595</v>
      </c>
      <c r="C163" s="2">
        <v>45620</v>
      </c>
      <c r="D163" t="s">
        <v>647</v>
      </c>
      <c r="E163" t="s">
        <v>659</v>
      </c>
      <c r="F163" t="s">
        <v>676</v>
      </c>
      <c r="G163" t="s">
        <v>705</v>
      </c>
      <c r="H163" t="s">
        <v>708</v>
      </c>
      <c r="I163" t="s">
        <v>718</v>
      </c>
      <c r="J163" t="s">
        <v>727</v>
      </c>
      <c r="K163" t="s">
        <v>895</v>
      </c>
      <c r="L163">
        <v>811.05</v>
      </c>
      <c r="M163">
        <v>1217.71</v>
      </c>
      <c r="N163">
        <v>7.1999999999999995E-2</v>
      </c>
      <c r="O163">
        <v>5</v>
      </c>
    </row>
    <row r="164" spans="1:15">
      <c r="A164" t="s">
        <v>177</v>
      </c>
      <c r="B164" s="2">
        <v>45385</v>
      </c>
      <c r="C164" s="2">
        <v>45389</v>
      </c>
      <c r="D164" t="s">
        <v>648</v>
      </c>
      <c r="E164" t="s">
        <v>655</v>
      </c>
      <c r="F164" t="s">
        <v>672</v>
      </c>
      <c r="G164" t="s">
        <v>703</v>
      </c>
      <c r="H164" t="s">
        <v>711</v>
      </c>
      <c r="I164" t="s">
        <v>725</v>
      </c>
      <c r="J164" t="s">
        <v>730</v>
      </c>
      <c r="K164" t="s">
        <v>896</v>
      </c>
      <c r="L164">
        <v>1023.27</v>
      </c>
      <c r="M164">
        <v>1343.64</v>
      </c>
      <c r="N164">
        <v>0.13300000000000001</v>
      </c>
      <c r="O164">
        <v>7</v>
      </c>
    </row>
    <row r="165" spans="1:15">
      <c r="A165" t="s">
        <v>178</v>
      </c>
      <c r="B165" s="2">
        <v>45010</v>
      </c>
      <c r="C165" s="2">
        <v>45011</v>
      </c>
      <c r="D165" t="s">
        <v>647</v>
      </c>
      <c r="E165" t="s">
        <v>652</v>
      </c>
      <c r="F165" t="s">
        <v>666</v>
      </c>
      <c r="G165" t="s">
        <v>705</v>
      </c>
      <c r="H165" t="s">
        <v>710</v>
      </c>
      <c r="I165" t="s">
        <v>714</v>
      </c>
      <c r="J165" t="s">
        <v>732</v>
      </c>
      <c r="K165" t="s">
        <v>897</v>
      </c>
      <c r="L165">
        <v>135.12</v>
      </c>
      <c r="M165">
        <v>301.7</v>
      </c>
      <c r="N165">
        <v>0.14000000000000001</v>
      </c>
      <c r="O165">
        <v>47</v>
      </c>
    </row>
    <row r="166" spans="1:15">
      <c r="A166" t="s">
        <v>179</v>
      </c>
      <c r="B166" s="2">
        <v>45447</v>
      </c>
      <c r="C166" s="2">
        <v>45459</v>
      </c>
      <c r="D166" t="s">
        <v>647</v>
      </c>
      <c r="E166" t="s">
        <v>659</v>
      </c>
      <c r="F166" t="s">
        <v>685</v>
      </c>
      <c r="G166" t="s">
        <v>701</v>
      </c>
      <c r="H166" t="s">
        <v>707</v>
      </c>
      <c r="I166" t="s">
        <v>713</v>
      </c>
      <c r="J166" t="s">
        <v>728</v>
      </c>
      <c r="K166" t="s">
        <v>898</v>
      </c>
      <c r="L166">
        <v>918.42</v>
      </c>
      <c r="M166">
        <v>1511.71</v>
      </c>
      <c r="N166">
        <v>0.02</v>
      </c>
      <c r="O166">
        <v>8</v>
      </c>
    </row>
    <row r="167" spans="1:15">
      <c r="A167" t="s">
        <v>180</v>
      </c>
      <c r="B167" s="2">
        <v>44976</v>
      </c>
      <c r="C167" s="2">
        <v>44997</v>
      </c>
      <c r="D167" t="s">
        <v>649</v>
      </c>
      <c r="E167" t="s">
        <v>656</v>
      </c>
      <c r="F167" t="s">
        <v>671</v>
      </c>
      <c r="G167" t="s">
        <v>705</v>
      </c>
      <c r="H167" t="s">
        <v>711</v>
      </c>
      <c r="I167" t="s">
        <v>716</v>
      </c>
      <c r="J167" t="s">
        <v>732</v>
      </c>
      <c r="K167" t="s">
        <v>899</v>
      </c>
      <c r="L167">
        <v>1234.81</v>
      </c>
      <c r="M167">
        <v>2055.2399999999998</v>
      </c>
      <c r="N167">
        <v>5.2999999999999999E-2</v>
      </c>
      <c r="O167">
        <v>44</v>
      </c>
    </row>
    <row r="168" spans="1:15">
      <c r="A168" t="s">
        <v>181</v>
      </c>
      <c r="B168" s="2">
        <v>45034</v>
      </c>
      <c r="C168" s="2">
        <v>45064</v>
      </c>
      <c r="D168" t="s">
        <v>647</v>
      </c>
      <c r="E168" t="s">
        <v>659</v>
      </c>
      <c r="F168" t="s">
        <v>676</v>
      </c>
      <c r="G168" t="s">
        <v>703</v>
      </c>
      <c r="H168" t="s">
        <v>707</v>
      </c>
      <c r="I168" t="s">
        <v>722</v>
      </c>
      <c r="J168" t="s">
        <v>731</v>
      </c>
      <c r="K168" t="s">
        <v>900</v>
      </c>
      <c r="L168">
        <v>329.03</v>
      </c>
      <c r="M168">
        <v>391.15</v>
      </c>
      <c r="N168">
        <v>0.19700000000000001</v>
      </c>
      <c r="O168">
        <v>46</v>
      </c>
    </row>
    <row r="169" spans="1:15">
      <c r="A169" t="s">
        <v>182</v>
      </c>
      <c r="B169" s="2">
        <v>45435</v>
      </c>
      <c r="C169" s="2">
        <v>45457</v>
      </c>
      <c r="D169" t="s">
        <v>649</v>
      </c>
      <c r="E169" t="s">
        <v>657</v>
      </c>
      <c r="F169" t="s">
        <v>673</v>
      </c>
      <c r="G169" t="s">
        <v>705</v>
      </c>
      <c r="H169" t="s">
        <v>708</v>
      </c>
      <c r="I169" t="s">
        <v>725</v>
      </c>
      <c r="J169" t="s">
        <v>732</v>
      </c>
      <c r="K169" t="s">
        <v>901</v>
      </c>
      <c r="L169">
        <v>1481.74</v>
      </c>
      <c r="M169">
        <v>1848.97</v>
      </c>
      <c r="N169">
        <v>0.254</v>
      </c>
      <c r="O169">
        <v>9</v>
      </c>
    </row>
    <row r="170" spans="1:15">
      <c r="A170" t="s">
        <v>183</v>
      </c>
      <c r="B170" s="2">
        <v>45206</v>
      </c>
      <c r="C170" s="2">
        <v>45222</v>
      </c>
      <c r="D170" t="s">
        <v>647</v>
      </c>
      <c r="E170" t="s">
        <v>654</v>
      </c>
      <c r="F170" t="s">
        <v>696</v>
      </c>
      <c r="G170" t="s">
        <v>704</v>
      </c>
      <c r="H170" t="s">
        <v>707</v>
      </c>
      <c r="I170" t="s">
        <v>715</v>
      </c>
      <c r="J170" t="s">
        <v>732</v>
      </c>
      <c r="K170" t="s">
        <v>902</v>
      </c>
      <c r="L170">
        <v>906.81</v>
      </c>
      <c r="M170">
        <v>1395.56</v>
      </c>
      <c r="N170">
        <v>0.185</v>
      </c>
      <c r="O170">
        <v>6</v>
      </c>
    </row>
    <row r="171" spans="1:15">
      <c r="A171" t="s">
        <v>184</v>
      </c>
      <c r="B171" s="2">
        <v>45574</v>
      </c>
      <c r="C171" s="2">
        <v>45604</v>
      </c>
      <c r="D171" t="s">
        <v>649</v>
      </c>
      <c r="E171" t="s">
        <v>658</v>
      </c>
      <c r="F171" t="s">
        <v>693</v>
      </c>
      <c r="G171" t="s">
        <v>705</v>
      </c>
      <c r="H171" t="s">
        <v>710</v>
      </c>
      <c r="I171" t="s">
        <v>713</v>
      </c>
      <c r="J171" t="s">
        <v>727</v>
      </c>
      <c r="K171" t="s">
        <v>903</v>
      </c>
      <c r="L171">
        <v>343.85</v>
      </c>
      <c r="M171">
        <v>538.04</v>
      </c>
      <c r="N171">
        <v>0.13900000000000001</v>
      </c>
      <c r="O171">
        <v>5</v>
      </c>
    </row>
    <row r="172" spans="1:15">
      <c r="A172" t="s">
        <v>185</v>
      </c>
      <c r="B172" s="2">
        <v>45488</v>
      </c>
      <c r="C172" s="2">
        <v>45488</v>
      </c>
      <c r="D172" t="s">
        <v>647</v>
      </c>
      <c r="E172" t="s">
        <v>652</v>
      </c>
      <c r="F172" t="s">
        <v>689</v>
      </c>
      <c r="G172" t="s">
        <v>705</v>
      </c>
      <c r="H172" t="s">
        <v>709</v>
      </c>
      <c r="I172" t="s">
        <v>715</v>
      </c>
      <c r="J172" t="s">
        <v>733</v>
      </c>
      <c r="K172" t="s">
        <v>904</v>
      </c>
      <c r="L172">
        <v>801.77</v>
      </c>
      <c r="M172">
        <v>1218.92</v>
      </c>
      <c r="N172">
        <v>0.254</v>
      </c>
      <c r="O172">
        <v>16</v>
      </c>
    </row>
    <row r="173" spans="1:15">
      <c r="A173" t="s">
        <v>186</v>
      </c>
      <c r="B173" s="2">
        <v>45190</v>
      </c>
      <c r="C173" s="2">
        <v>45209</v>
      </c>
      <c r="D173" t="s">
        <v>647</v>
      </c>
      <c r="E173" t="s">
        <v>652</v>
      </c>
      <c r="F173" t="s">
        <v>689</v>
      </c>
      <c r="G173" t="s">
        <v>702</v>
      </c>
      <c r="H173" t="s">
        <v>708</v>
      </c>
      <c r="I173" t="s">
        <v>726</v>
      </c>
      <c r="J173" t="s">
        <v>727</v>
      </c>
      <c r="K173" t="s">
        <v>905</v>
      </c>
      <c r="L173">
        <v>845.63</v>
      </c>
      <c r="M173">
        <v>2062.12</v>
      </c>
      <c r="N173">
        <v>0.13400000000000001</v>
      </c>
      <c r="O173">
        <v>5</v>
      </c>
    </row>
    <row r="174" spans="1:15">
      <c r="A174" t="s">
        <v>187</v>
      </c>
      <c r="B174" s="2">
        <v>44981</v>
      </c>
      <c r="C174" s="2">
        <v>44994</v>
      </c>
      <c r="D174" t="s">
        <v>648</v>
      </c>
      <c r="E174" t="s">
        <v>660</v>
      </c>
      <c r="F174" t="s">
        <v>700</v>
      </c>
      <c r="G174" t="s">
        <v>706</v>
      </c>
      <c r="H174" t="s">
        <v>708</v>
      </c>
      <c r="I174" t="s">
        <v>724</v>
      </c>
      <c r="J174" t="s">
        <v>727</v>
      </c>
      <c r="K174" t="s">
        <v>906</v>
      </c>
      <c r="L174">
        <v>6.85</v>
      </c>
      <c r="M174">
        <v>10.18</v>
      </c>
      <c r="N174">
        <v>4.7E-2</v>
      </c>
      <c r="O174">
        <v>10</v>
      </c>
    </row>
    <row r="175" spans="1:15">
      <c r="A175" t="s">
        <v>188</v>
      </c>
      <c r="B175" s="2">
        <v>45798</v>
      </c>
      <c r="C175" s="2">
        <v>45796</v>
      </c>
      <c r="D175" t="s">
        <v>646</v>
      </c>
      <c r="E175" t="s">
        <v>661</v>
      </c>
      <c r="F175" t="s">
        <v>682</v>
      </c>
      <c r="G175" t="s">
        <v>703</v>
      </c>
      <c r="H175" t="s">
        <v>710</v>
      </c>
      <c r="I175" t="s">
        <v>719</v>
      </c>
      <c r="J175" t="s">
        <v>731</v>
      </c>
      <c r="K175" t="s">
        <v>907</v>
      </c>
      <c r="L175">
        <v>1263.8399999999999</v>
      </c>
      <c r="M175">
        <v>2281.7199999999998</v>
      </c>
      <c r="N175">
        <v>7.8E-2</v>
      </c>
      <c r="O175">
        <v>15</v>
      </c>
    </row>
    <row r="176" spans="1:15">
      <c r="A176" t="s">
        <v>189</v>
      </c>
      <c r="B176" s="2">
        <v>45435</v>
      </c>
      <c r="C176" s="2">
        <v>45446</v>
      </c>
      <c r="D176" t="s">
        <v>646</v>
      </c>
      <c r="E176" t="s">
        <v>661</v>
      </c>
      <c r="F176" t="s">
        <v>682</v>
      </c>
      <c r="G176" t="s">
        <v>705</v>
      </c>
      <c r="H176" t="s">
        <v>710</v>
      </c>
      <c r="I176" t="s">
        <v>721</v>
      </c>
      <c r="J176" t="s">
        <v>728</v>
      </c>
      <c r="K176" t="s">
        <v>908</v>
      </c>
      <c r="L176">
        <v>180.89</v>
      </c>
      <c r="M176">
        <v>249.57</v>
      </c>
      <c r="N176">
        <v>2.1999999999999999E-2</v>
      </c>
      <c r="O176">
        <v>8</v>
      </c>
    </row>
    <row r="177" spans="1:15">
      <c r="A177" t="s">
        <v>190</v>
      </c>
      <c r="B177" s="2">
        <v>45761</v>
      </c>
      <c r="C177" s="2">
        <v>45781</v>
      </c>
      <c r="D177" t="s">
        <v>649</v>
      </c>
      <c r="E177" t="s">
        <v>658</v>
      </c>
      <c r="F177" t="s">
        <v>674</v>
      </c>
      <c r="G177" t="s">
        <v>706</v>
      </c>
      <c r="H177" t="s">
        <v>709</v>
      </c>
      <c r="I177" t="s">
        <v>723</v>
      </c>
      <c r="J177" t="s">
        <v>732</v>
      </c>
      <c r="K177" t="s">
        <v>909</v>
      </c>
      <c r="L177">
        <v>1413.87</v>
      </c>
      <c r="M177">
        <v>3275</v>
      </c>
      <c r="N177">
        <v>0.255</v>
      </c>
      <c r="O177">
        <v>38</v>
      </c>
    </row>
    <row r="178" spans="1:15">
      <c r="A178" t="s">
        <v>191</v>
      </c>
      <c r="B178" s="2">
        <v>45165</v>
      </c>
      <c r="C178" s="2">
        <v>45180</v>
      </c>
      <c r="D178" t="s">
        <v>649</v>
      </c>
      <c r="E178" t="s">
        <v>658</v>
      </c>
      <c r="F178" t="s">
        <v>683</v>
      </c>
      <c r="G178" t="s">
        <v>704</v>
      </c>
      <c r="H178" t="s">
        <v>709</v>
      </c>
      <c r="I178" t="s">
        <v>725</v>
      </c>
      <c r="J178" t="s">
        <v>728</v>
      </c>
      <c r="K178" t="s">
        <v>910</v>
      </c>
      <c r="L178">
        <v>943.79</v>
      </c>
      <c r="M178">
        <v>1913.76</v>
      </c>
      <c r="N178">
        <v>9.0999999999999998E-2</v>
      </c>
      <c r="O178">
        <v>9</v>
      </c>
    </row>
    <row r="179" spans="1:15">
      <c r="A179" t="s">
        <v>192</v>
      </c>
      <c r="B179" s="2">
        <v>45325</v>
      </c>
      <c r="C179" s="2">
        <v>45343</v>
      </c>
      <c r="D179" t="s">
        <v>649</v>
      </c>
      <c r="E179" t="s">
        <v>656</v>
      </c>
      <c r="F179" t="s">
        <v>698</v>
      </c>
      <c r="G179" t="s">
        <v>701</v>
      </c>
      <c r="H179" t="s">
        <v>707</v>
      </c>
      <c r="I179" t="s">
        <v>722</v>
      </c>
      <c r="J179" t="s">
        <v>727</v>
      </c>
      <c r="K179" t="s">
        <v>911</v>
      </c>
      <c r="L179">
        <v>39.229999999999997</v>
      </c>
      <c r="M179">
        <v>30.09</v>
      </c>
      <c r="N179">
        <v>0.17699999999999999</v>
      </c>
      <c r="O179">
        <v>13</v>
      </c>
    </row>
    <row r="180" spans="1:15">
      <c r="A180" t="s">
        <v>193</v>
      </c>
      <c r="B180" s="2">
        <v>45021</v>
      </c>
      <c r="C180" s="2">
        <v>45032</v>
      </c>
      <c r="D180" t="s">
        <v>648</v>
      </c>
      <c r="E180" t="s">
        <v>653</v>
      </c>
      <c r="F180" t="s">
        <v>688</v>
      </c>
      <c r="G180" t="s">
        <v>703</v>
      </c>
      <c r="H180" t="s">
        <v>708</v>
      </c>
      <c r="I180" t="s">
        <v>719</v>
      </c>
      <c r="J180" t="s">
        <v>732</v>
      </c>
      <c r="K180" t="s">
        <v>912</v>
      </c>
      <c r="L180">
        <v>213.1</v>
      </c>
      <c r="M180">
        <v>501.31</v>
      </c>
      <c r="N180">
        <v>5.6000000000000001E-2</v>
      </c>
      <c r="O180">
        <v>15</v>
      </c>
    </row>
    <row r="181" spans="1:15">
      <c r="A181" t="s">
        <v>194</v>
      </c>
      <c r="B181" s="2">
        <v>45890</v>
      </c>
      <c r="C181" s="2">
        <v>45912</v>
      </c>
      <c r="D181" t="s">
        <v>647</v>
      </c>
      <c r="E181" t="s">
        <v>659</v>
      </c>
      <c r="F181" t="s">
        <v>676</v>
      </c>
      <c r="G181" t="s">
        <v>702</v>
      </c>
      <c r="H181" t="s">
        <v>707</v>
      </c>
      <c r="I181" t="s">
        <v>717</v>
      </c>
      <c r="J181" t="s">
        <v>728</v>
      </c>
      <c r="K181" t="s">
        <v>913</v>
      </c>
      <c r="L181">
        <v>352.66</v>
      </c>
      <c r="M181">
        <v>411.18</v>
      </c>
      <c r="N181">
        <v>0.17299999999999999</v>
      </c>
      <c r="O181">
        <v>13</v>
      </c>
    </row>
    <row r="182" spans="1:15">
      <c r="A182" t="s">
        <v>195</v>
      </c>
      <c r="B182" s="2">
        <v>45915</v>
      </c>
      <c r="C182" s="2">
        <v>45918</v>
      </c>
      <c r="D182" t="s">
        <v>648</v>
      </c>
      <c r="E182" t="s">
        <v>655</v>
      </c>
      <c r="F182" t="s">
        <v>692</v>
      </c>
      <c r="G182" t="s">
        <v>703</v>
      </c>
      <c r="H182" t="s">
        <v>711</v>
      </c>
      <c r="I182" t="s">
        <v>716</v>
      </c>
      <c r="J182" t="s">
        <v>733</v>
      </c>
      <c r="K182" t="s">
        <v>914</v>
      </c>
      <c r="L182">
        <v>5.5</v>
      </c>
      <c r="M182">
        <v>5.92</v>
      </c>
      <c r="N182">
        <v>0.21199999999999999</v>
      </c>
      <c r="O182">
        <v>4</v>
      </c>
    </row>
    <row r="183" spans="1:15">
      <c r="A183" t="s">
        <v>196</v>
      </c>
      <c r="B183" s="2">
        <v>45568</v>
      </c>
      <c r="C183" s="2">
        <v>45576</v>
      </c>
      <c r="D183" t="s">
        <v>647</v>
      </c>
      <c r="E183" t="s">
        <v>659</v>
      </c>
      <c r="F183" t="s">
        <v>699</v>
      </c>
      <c r="G183" t="s">
        <v>706</v>
      </c>
      <c r="H183" t="s">
        <v>711</v>
      </c>
      <c r="I183" t="s">
        <v>717</v>
      </c>
      <c r="J183" t="s">
        <v>730</v>
      </c>
      <c r="K183" t="s">
        <v>915</v>
      </c>
      <c r="L183">
        <v>1132.6099999999999</v>
      </c>
      <c r="M183">
        <v>2206.63</v>
      </c>
      <c r="N183">
        <v>6.3E-2</v>
      </c>
      <c r="O183">
        <v>20</v>
      </c>
    </row>
    <row r="184" spans="1:15">
      <c r="A184" t="s">
        <v>197</v>
      </c>
      <c r="B184" s="2">
        <v>45690</v>
      </c>
      <c r="C184" s="2">
        <v>45720</v>
      </c>
      <c r="D184" t="s">
        <v>647</v>
      </c>
      <c r="E184" t="s">
        <v>652</v>
      </c>
      <c r="F184" t="s">
        <v>666</v>
      </c>
      <c r="G184" t="s">
        <v>702</v>
      </c>
      <c r="H184" t="s">
        <v>710</v>
      </c>
      <c r="I184" t="s">
        <v>716</v>
      </c>
      <c r="J184" t="s">
        <v>733</v>
      </c>
      <c r="K184" t="s">
        <v>916</v>
      </c>
      <c r="L184">
        <v>766.59</v>
      </c>
      <c r="M184">
        <v>1912.8</v>
      </c>
      <c r="N184">
        <v>0.19600000000000001</v>
      </c>
      <c r="O184">
        <v>5</v>
      </c>
    </row>
    <row r="185" spans="1:15">
      <c r="A185" t="s">
        <v>198</v>
      </c>
      <c r="B185" s="2">
        <v>45157</v>
      </c>
      <c r="C185" s="2">
        <v>45161</v>
      </c>
      <c r="D185" t="s">
        <v>646</v>
      </c>
      <c r="E185" t="s">
        <v>651</v>
      </c>
      <c r="F185" t="s">
        <v>669</v>
      </c>
      <c r="G185" t="s">
        <v>705</v>
      </c>
      <c r="H185" t="s">
        <v>708</v>
      </c>
      <c r="I185" t="s">
        <v>713</v>
      </c>
      <c r="J185" t="s">
        <v>732</v>
      </c>
      <c r="K185" t="s">
        <v>917</v>
      </c>
      <c r="L185">
        <v>790.63</v>
      </c>
      <c r="M185">
        <v>1382.31</v>
      </c>
      <c r="N185">
        <v>0.10100000000000001</v>
      </c>
      <c r="O185">
        <v>7</v>
      </c>
    </row>
    <row r="186" spans="1:15">
      <c r="A186" t="s">
        <v>199</v>
      </c>
      <c r="B186" s="2">
        <v>45587</v>
      </c>
      <c r="C186" s="2">
        <v>45594</v>
      </c>
      <c r="D186" t="s">
        <v>646</v>
      </c>
      <c r="E186" t="s">
        <v>651</v>
      </c>
      <c r="F186" t="s">
        <v>663</v>
      </c>
      <c r="G186" t="s">
        <v>706</v>
      </c>
      <c r="H186" t="s">
        <v>710</v>
      </c>
      <c r="I186" t="s">
        <v>724</v>
      </c>
      <c r="J186" t="s">
        <v>732</v>
      </c>
      <c r="K186" t="s">
        <v>918</v>
      </c>
      <c r="L186">
        <v>1023.06</v>
      </c>
      <c r="M186">
        <v>1355.61</v>
      </c>
      <c r="N186">
        <v>0.153</v>
      </c>
      <c r="O186">
        <v>23</v>
      </c>
    </row>
    <row r="187" spans="1:15">
      <c r="A187" t="s">
        <v>200</v>
      </c>
      <c r="B187" s="2">
        <v>45099</v>
      </c>
      <c r="C187" s="2">
        <v>45128</v>
      </c>
      <c r="D187" t="s">
        <v>649</v>
      </c>
      <c r="E187" t="s">
        <v>657</v>
      </c>
      <c r="F187" t="s">
        <v>679</v>
      </c>
      <c r="G187" t="s">
        <v>701</v>
      </c>
      <c r="H187" t="s">
        <v>707</v>
      </c>
      <c r="I187" t="s">
        <v>713</v>
      </c>
      <c r="J187" t="s">
        <v>733</v>
      </c>
      <c r="K187" t="s">
        <v>919</v>
      </c>
      <c r="L187">
        <v>734.34</v>
      </c>
      <c r="M187">
        <v>887.9</v>
      </c>
      <c r="N187">
        <v>2.5000000000000001E-2</v>
      </c>
      <c r="O187">
        <v>12</v>
      </c>
    </row>
    <row r="188" spans="1:15">
      <c r="A188" t="s">
        <v>201</v>
      </c>
      <c r="B188" s="2">
        <v>45670</v>
      </c>
      <c r="C188" s="2">
        <v>45696</v>
      </c>
      <c r="D188" t="s">
        <v>649</v>
      </c>
      <c r="E188" t="s">
        <v>657</v>
      </c>
      <c r="F188" t="s">
        <v>690</v>
      </c>
      <c r="G188" t="s">
        <v>703</v>
      </c>
      <c r="I188" t="s">
        <v>718</v>
      </c>
      <c r="J188" t="s">
        <v>732</v>
      </c>
      <c r="K188" t="s">
        <v>920</v>
      </c>
      <c r="L188">
        <v>594.74</v>
      </c>
      <c r="M188">
        <v>1020.69</v>
      </c>
      <c r="N188">
        <v>0.21099999999999999</v>
      </c>
      <c r="O188">
        <v>6</v>
      </c>
    </row>
    <row r="189" spans="1:15">
      <c r="A189" t="s">
        <v>144</v>
      </c>
      <c r="B189" s="2">
        <v>44955</v>
      </c>
      <c r="C189" s="2">
        <v>44985</v>
      </c>
      <c r="D189" t="s">
        <v>647</v>
      </c>
      <c r="E189" t="s">
        <v>654</v>
      </c>
      <c r="F189" t="s">
        <v>668</v>
      </c>
      <c r="G189" t="s">
        <v>703</v>
      </c>
      <c r="H189" t="s">
        <v>707</v>
      </c>
      <c r="I189" t="s">
        <v>717</v>
      </c>
      <c r="J189" t="s">
        <v>733</v>
      </c>
      <c r="K189" t="s">
        <v>921</v>
      </c>
      <c r="L189">
        <v>1262.0999999999999</v>
      </c>
      <c r="M189">
        <v>1395.53</v>
      </c>
      <c r="N189">
        <v>0.23300000000000001</v>
      </c>
      <c r="O189">
        <v>25</v>
      </c>
    </row>
    <row r="190" spans="1:15">
      <c r="A190" t="s">
        <v>202</v>
      </c>
      <c r="B190" s="2">
        <v>45126</v>
      </c>
      <c r="C190" s="2">
        <v>45138</v>
      </c>
      <c r="D190" t="s">
        <v>648</v>
      </c>
      <c r="E190" t="s">
        <v>655</v>
      </c>
      <c r="F190" t="s">
        <v>692</v>
      </c>
      <c r="G190" t="s">
        <v>701</v>
      </c>
      <c r="H190" t="s">
        <v>707</v>
      </c>
      <c r="I190" t="s">
        <v>712</v>
      </c>
      <c r="J190" t="s">
        <v>732</v>
      </c>
      <c r="K190" t="s">
        <v>922</v>
      </c>
      <c r="L190">
        <v>1334.64</v>
      </c>
      <c r="M190">
        <v>2273.42</v>
      </c>
      <c r="N190">
        <v>0.11799999999999999</v>
      </c>
      <c r="O190">
        <v>14</v>
      </c>
    </row>
    <row r="191" spans="1:15">
      <c r="A191" t="s">
        <v>203</v>
      </c>
      <c r="B191" s="2">
        <v>45431</v>
      </c>
      <c r="C191" s="2">
        <v>45451</v>
      </c>
      <c r="D191" t="s">
        <v>648</v>
      </c>
      <c r="E191" t="s">
        <v>655</v>
      </c>
      <c r="F191" t="s">
        <v>672</v>
      </c>
      <c r="G191" t="s">
        <v>705</v>
      </c>
      <c r="H191" t="s">
        <v>707</v>
      </c>
      <c r="I191" t="s">
        <v>718</v>
      </c>
      <c r="J191" t="s">
        <v>732</v>
      </c>
      <c r="K191" t="s">
        <v>923</v>
      </c>
      <c r="L191">
        <v>1075.9000000000001</v>
      </c>
      <c r="M191">
        <v>1242.1500000000001</v>
      </c>
      <c r="N191">
        <v>1.2E-2</v>
      </c>
      <c r="O191">
        <v>7</v>
      </c>
    </row>
    <row r="192" spans="1:15">
      <c r="A192" t="s">
        <v>204</v>
      </c>
      <c r="B192" s="2">
        <v>45325</v>
      </c>
      <c r="C192" s="2">
        <v>45341</v>
      </c>
      <c r="D192" t="s">
        <v>647</v>
      </c>
      <c r="E192" t="s">
        <v>659</v>
      </c>
      <c r="F192" t="s">
        <v>676</v>
      </c>
      <c r="G192" t="s">
        <v>705</v>
      </c>
      <c r="H192" t="s">
        <v>708</v>
      </c>
      <c r="I192" t="s">
        <v>722</v>
      </c>
      <c r="J192" t="s">
        <v>731</v>
      </c>
      <c r="K192" t="s">
        <v>924</v>
      </c>
      <c r="L192">
        <v>993.75</v>
      </c>
      <c r="M192">
        <v>1310.29</v>
      </c>
      <c r="N192">
        <v>0.215</v>
      </c>
      <c r="O192">
        <v>19</v>
      </c>
    </row>
    <row r="193" spans="1:15">
      <c r="A193" t="s">
        <v>205</v>
      </c>
      <c r="B193" s="2">
        <v>45146</v>
      </c>
      <c r="C193" s="2">
        <v>45160</v>
      </c>
      <c r="D193" t="s">
        <v>649</v>
      </c>
      <c r="E193" t="s">
        <v>658</v>
      </c>
      <c r="F193" t="s">
        <v>674</v>
      </c>
      <c r="G193" t="s">
        <v>703</v>
      </c>
      <c r="H193" t="s">
        <v>711</v>
      </c>
      <c r="I193" t="s">
        <v>725</v>
      </c>
      <c r="J193" t="s">
        <v>732</v>
      </c>
      <c r="K193" t="s">
        <v>925</v>
      </c>
      <c r="L193">
        <v>446.69</v>
      </c>
      <c r="M193">
        <v>967.25</v>
      </c>
      <c r="N193">
        <v>9.4E-2</v>
      </c>
      <c r="O193">
        <v>10</v>
      </c>
    </row>
    <row r="194" spans="1:15">
      <c r="A194" t="s">
        <v>206</v>
      </c>
      <c r="B194" s="2">
        <v>45516</v>
      </c>
      <c r="C194" s="2">
        <v>45538</v>
      </c>
      <c r="D194" t="s">
        <v>648</v>
      </c>
      <c r="E194" t="s">
        <v>660</v>
      </c>
      <c r="F194" t="s">
        <v>697</v>
      </c>
      <c r="G194" t="s">
        <v>704</v>
      </c>
      <c r="H194" t="s">
        <v>710</v>
      </c>
      <c r="I194" t="s">
        <v>714</v>
      </c>
      <c r="J194" t="s">
        <v>731</v>
      </c>
      <c r="K194" t="s">
        <v>926</v>
      </c>
      <c r="L194">
        <v>797.8</v>
      </c>
      <c r="M194">
        <v>886.22</v>
      </c>
      <c r="N194">
        <v>0.23599999999999999</v>
      </c>
      <c r="O194">
        <v>36</v>
      </c>
    </row>
    <row r="195" spans="1:15">
      <c r="A195" t="s">
        <v>207</v>
      </c>
      <c r="B195" s="2">
        <v>45214</v>
      </c>
      <c r="C195" s="2">
        <v>45243</v>
      </c>
      <c r="D195" t="s">
        <v>647</v>
      </c>
      <c r="E195" t="s">
        <v>659</v>
      </c>
      <c r="F195" t="s">
        <v>676</v>
      </c>
      <c r="G195" t="s">
        <v>703</v>
      </c>
      <c r="H195" t="s">
        <v>710</v>
      </c>
      <c r="I195" t="s">
        <v>713</v>
      </c>
      <c r="J195" t="s">
        <v>728</v>
      </c>
      <c r="K195" t="s">
        <v>927</v>
      </c>
      <c r="L195">
        <v>986.44</v>
      </c>
      <c r="M195">
        <v>790.61</v>
      </c>
      <c r="N195">
        <v>7.1999999999999995E-2</v>
      </c>
      <c r="O195">
        <v>6</v>
      </c>
    </row>
    <row r="196" spans="1:15">
      <c r="A196" t="s">
        <v>208</v>
      </c>
      <c r="B196" s="2">
        <v>45050</v>
      </c>
      <c r="C196" s="2">
        <v>45072</v>
      </c>
      <c r="D196" t="s">
        <v>648</v>
      </c>
      <c r="E196" t="s">
        <v>660</v>
      </c>
      <c r="F196" t="s">
        <v>686</v>
      </c>
      <c r="G196" t="s">
        <v>706</v>
      </c>
      <c r="H196" t="s">
        <v>708</v>
      </c>
      <c r="I196" t="s">
        <v>713</v>
      </c>
      <c r="J196" t="s">
        <v>729</v>
      </c>
      <c r="K196" t="s">
        <v>928</v>
      </c>
      <c r="L196">
        <v>249.71</v>
      </c>
      <c r="M196">
        <v>361.33</v>
      </c>
      <c r="N196">
        <v>9.4E-2</v>
      </c>
      <c r="O196">
        <v>12</v>
      </c>
    </row>
    <row r="197" spans="1:15">
      <c r="A197" t="s">
        <v>209</v>
      </c>
      <c r="B197" s="2">
        <v>45557</v>
      </c>
      <c r="C197" s="2">
        <v>45566</v>
      </c>
      <c r="D197" t="s">
        <v>648</v>
      </c>
      <c r="E197" t="s">
        <v>655</v>
      </c>
      <c r="F197" t="s">
        <v>670</v>
      </c>
      <c r="G197" t="s">
        <v>703</v>
      </c>
      <c r="H197" t="s">
        <v>708</v>
      </c>
      <c r="I197" t="s">
        <v>723</v>
      </c>
      <c r="J197" t="s">
        <v>732</v>
      </c>
      <c r="K197" t="s">
        <v>929</v>
      </c>
      <c r="L197">
        <v>1378.8</v>
      </c>
      <c r="M197">
        <v>1952.04</v>
      </c>
      <c r="N197">
        <v>0.159</v>
      </c>
      <c r="O197">
        <v>19</v>
      </c>
    </row>
    <row r="198" spans="1:15">
      <c r="A198" t="s">
        <v>210</v>
      </c>
      <c r="B198" s="2">
        <v>45588</v>
      </c>
      <c r="C198" s="2">
        <v>45610</v>
      </c>
      <c r="D198" t="s">
        <v>647</v>
      </c>
      <c r="E198" t="s">
        <v>652</v>
      </c>
      <c r="F198" t="s">
        <v>666</v>
      </c>
      <c r="G198" t="s">
        <v>703</v>
      </c>
      <c r="H198" t="s">
        <v>711</v>
      </c>
      <c r="I198" t="s">
        <v>717</v>
      </c>
      <c r="J198" t="s">
        <v>730</v>
      </c>
      <c r="K198" t="s">
        <v>930</v>
      </c>
      <c r="L198">
        <v>1406.4</v>
      </c>
      <c r="M198">
        <v>1564.76</v>
      </c>
      <c r="N198">
        <v>0.185</v>
      </c>
      <c r="O198">
        <v>17</v>
      </c>
    </row>
    <row r="199" spans="1:15">
      <c r="A199" t="s">
        <v>211</v>
      </c>
      <c r="B199" s="2">
        <v>45333</v>
      </c>
      <c r="C199" s="2">
        <v>45354</v>
      </c>
      <c r="D199" t="s">
        <v>646</v>
      </c>
      <c r="E199" t="s">
        <v>650</v>
      </c>
      <c r="F199" t="s">
        <v>662</v>
      </c>
      <c r="G199" t="s">
        <v>706</v>
      </c>
      <c r="H199" t="s">
        <v>708</v>
      </c>
      <c r="I199" t="s">
        <v>717</v>
      </c>
      <c r="J199" t="s">
        <v>730</v>
      </c>
      <c r="K199" t="s">
        <v>931</v>
      </c>
      <c r="L199">
        <v>516.86</v>
      </c>
      <c r="M199">
        <v>852.54</v>
      </c>
      <c r="N199">
        <v>5.0999999999999997E-2</v>
      </c>
      <c r="O199">
        <v>14</v>
      </c>
    </row>
    <row r="200" spans="1:15">
      <c r="A200" t="s">
        <v>212</v>
      </c>
      <c r="B200" s="2">
        <v>44956</v>
      </c>
      <c r="C200" s="2">
        <v>44978</v>
      </c>
      <c r="D200" t="s">
        <v>649</v>
      </c>
      <c r="E200" t="s">
        <v>656</v>
      </c>
      <c r="F200" t="s">
        <v>684</v>
      </c>
      <c r="G200" t="s">
        <v>705</v>
      </c>
      <c r="H200" t="s">
        <v>709</v>
      </c>
      <c r="I200" t="s">
        <v>715</v>
      </c>
      <c r="J200" t="s">
        <v>729</v>
      </c>
      <c r="K200" t="s">
        <v>932</v>
      </c>
      <c r="L200">
        <v>1142.8800000000001</v>
      </c>
      <c r="M200">
        <v>1465.29</v>
      </c>
      <c r="N200">
        <v>0.186</v>
      </c>
      <c r="O200">
        <v>7</v>
      </c>
    </row>
    <row r="201" spans="1:15">
      <c r="A201" t="s">
        <v>213</v>
      </c>
      <c r="B201" s="2">
        <v>45030</v>
      </c>
      <c r="C201" s="2">
        <v>45059</v>
      </c>
      <c r="D201" t="s">
        <v>649</v>
      </c>
      <c r="E201" t="s">
        <v>656</v>
      </c>
      <c r="F201" t="s">
        <v>698</v>
      </c>
      <c r="G201" t="s">
        <v>704</v>
      </c>
      <c r="H201" t="s">
        <v>711</v>
      </c>
      <c r="I201" t="s">
        <v>713</v>
      </c>
      <c r="J201" t="s">
        <v>728</v>
      </c>
      <c r="K201" t="s">
        <v>933</v>
      </c>
      <c r="L201">
        <v>1320.33</v>
      </c>
      <c r="M201">
        <v>2645.23</v>
      </c>
      <c r="N201">
        <v>0.155</v>
      </c>
      <c r="O201">
        <v>25</v>
      </c>
    </row>
    <row r="202" spans="1:15">
      <c r="A202" t="s">
        <v>214</v>
      </c>
      <c r="B202" s="2">
        <v>44939</v>
      </c>
      <c r="C202" s="2">
        <v>44945</v>
      </c>
      <c r="D202" t="s">
        <v>648</v>
      </c>
      <c r="E202" t="s">
        <v>660</v>
      </c>
      <c r="F202" t="s">
        <v>677</v>
      </c>
      <c r="G202" t="s">
        <v>701</v>
      </c>
      <c r="H202" t="s">
        <v>711</v>
      </c>
      <c r="I202" t="s">
        <v>722</v>
      </c>
      <c r="J202" t="s">
        <v>730</v>
      </c>
      <c r="K202" t="s">
        <v>934</v>
      </c>
      <c r="L202">
        <v>833.57</v>
      </c>
      <c r="M202">
        <v>881.57</v>
      </c>
      <c r="N202">
        <v>5.7000000000000002E-2</v>
      </c>
      <c r="O202">
        <v>18</v>
      </c>
    </row>
    <row r="203" spans="1:15">
      <c r="A203" t="s">
        <v>215</v>
      </c>
      <c r="B203" s="2">
        <v>45303</v>
      </c>
      <c r="C203" s="2">
        <v>45320</v>
      </c>
      <c r="D203" t="s">
        <v>648</v>
      </c>
      <c r="E203" t="s">
        <v>660</v>
      </c>
      <c r="F203" t="s">
        <v>677</v>
      </c>
      <c r="G203" t="s">
        <v>702</v>
      </c>
      <c r="H203" t="s">
        <v>710</v>
      </c>
      <c r="I203" t="s">
        <v>720</v>
      </c>
      <c r="J203" t="s">
        <v>728</v>
      </c>
      <c r="K203" t="s">
        <v>935</v>
      </c>
      <c r="L203">
        <v>493.76</v>
      </c>
      <c r="M203">
        <v>625.04</v>
      </c>
      <c r="N203">
        <v>0.25800000000000001</v>
      </c>
      <c r="O203">
        <v>10</v>
      </c>
    </row>
    <row r="204" spans="1:15">
      <c r="A204" t="s">
        <v>216</v>
      </c>
      <c r="B204" s="2">
        <v>45153</v>
      </c>
      <c r="C204" s="2">
        <v>45176</v>
      </c>
      <c r="D204" t="s">
        <v>648</v>
      </c>
      <c r="E204" t="s">
        <v>660</v>
      </c>
      <c r="F204" t="s">
        <v>700</v>
      </c>
      <c r="G204" t="s">
        <v>706</v>
      </c>
      <c r="H204" t="s">
        <v>708</v>
      </c>
      <c r="I204" t="s">
        <v>723</v>
      </c>
      <c r="J204" t="s">
        <v>730</v>
      </c>
      <c r="K204" t="s">
        <v>936</v>
      </c>
      <c r="L204">
        <v>590.33000000000004</v>
      </c>
      <c r="M204">
        <v>973.04</v>
      </c>
      <c r="N204">
        <v>0</v>
      </c>
      <c r="O204">
        <v>26</v>
      </c>
    </row>
    <row r="205" spans="1:15">
      <c r="A205" t="s">
        <v>217</v>
      </c>
      <c r="B205" s="2">
        <v>44946</v>
      </c>
      <c r="C205" s="2">
        <v>44960</v>
      </c>
      <c r="D205" t="s">
        <v>646</v>
      </c>
      <c r="E205" t="s">
        <v>650</v>
      </c>
      <c r="F205" t="s">
        <v>662</v>
      </c>
      <c r="G205" t="s">
        <v>701</v>
      </c>
      <c r="H205" t="s">
        <v>707</v>
      </c>
      <c r="I205" t="s">
        <v>724</v>
      </c>
      <c r="J205" t="s">
        <v>729</v>
      </c>
      <c r="K205" t="s">
        <v>937</v>
      </c>
      <c r="L205">
        <v>884.36</v>
      </c>
      <c r="M205">
        <v>1545.34</v>
      </c>
      <c r="N205">
        <v>0.24299999999999999</v>
      </c>
      <c r="O205">
        <v>41</v>
      </c>
    </row>
    <row r="206" spans="1:15">
      <c r="A206" t="s">
        <v>218</v>
      </c>
      <c r="B206" s="2">
        <v>45692</v>
      </c>
      <c r="C206" s="2">
        <v>45713</v>
      </c>
      <c r="D206" t="s">
        <v>649</v>
      </c>
      <c r="E206" t="s">
        <v>658</v>
      </c>
      <c r="F206" t="s">
        <v>674</v>
      </c>
      <c r="G206" t="s">
        <v>701</v>
      </c>
      <c r="H206" t="s">
        <v>709</v>
      </c>
      <c r="I206" t="s">
        <v>726</v>
      </c>
      <c r="J206" t="s">
        <v>732</v>
      </c>
      <c r="K206" t="s">
        <v>938</v>
      </c>
      <c r="L206">
        <v>1016.32</v>
      </c>
      <c r="M206">
        <v>2253.42</v>
      </c>
      <c r="N206">
        <v>5.5E-2</v>
      </c>
      <c r="O206">
        <v>12</v>
      </c>
    </row>
    <row r="207" spans="1:15">
      <c r="A207" t="s">
        <v>219</v>
      </c>
      <c r="B207" s="2">
        <v>45035</v>
      </c>
      <c r="C207" s="2">
        <v>45044</v>
      </c>
      <c r="D207" t="s">
        <v>649</v>
      </c>
      <c r="E207" t="s">
        <v>656</v>
      </c>
      <c r="F207" t="s">
        <v>671</v>
      </c>
      <c r="G207" t="s">
        <v>702</v>
      </c>
      <c r="H207" t="s">
        <v>708</v>
      </c>
      <c r="I207" t="s">
        <v>718</v>
      </c>
      <c r="J207" t="s">
        <v>732</v>
      </c>
      <c r="K207" t="s">
        <v>939</v>
      </c>
      <c r="L207">
        <v>1178.42</v>
      </c>
      <c r="M207">
        <v>2446.56</v>
      </c>
      <c r="N207">
        <v>2.9000000000000001E-2</v>
      </c>
      <c r="O207">
        <v>11</v>
      </c>
    </row>
    <row r="208" spans="1:15">
      <c r="A208" t="s">
        <v>220</v>
      </c>
      <c r="B208" s="2">
        <v>45109</v>
      </c>
      <c r="C208" s="2">
        <v>45139</v>
      </c>
      <c r="D208" t="s">
        <v>649</v>
      </c>
      <c r="E208" t="s">
        <v>658</v>
      </c>
      <c r="F208" t="s">
        <v>674</v>
      </c>
      <c r="G208" t="s">
        <v>705</v>
      </c>
      <c r="H208" t="s">
        <v>707</v>
      </c>
      <c r="I208" t="s">
        <v>717</v>
      </c>
      <c r="J208" t="s">
        <v>727</v>
      </c>
      <c r="K208" t="s">
        <v>940</v>
      </c>
      <c r="L208">
        <v>137.46</v>
      </c>
      <c r="M208">
        <v>188.3</v>
      </c>
      <c r="N208">
        <v>3.7999999999999999E-2</v>
      </c>
      <c r="O208">
        <v>37</v>
      </c>
    </row>
    <row r="209" spans="1:15">
      <c r="A209" t="s">
        <v>221</v>
      </c>
      <c r="B209" s="2">
        <v>45678</v>
      </c>
      <c r="C209" s="2">
        <v>45702</v>
      </c>
      <c r="D209" t="s">
        <v>646</v>
      </c>
      <c r="E209" t="s">
        <v>650</v>
      </c>
      <c r="F209" t="s">
        <v>664</v>
      </c>
      <c r="G209" t="s">
        <v>705</v>
      </c>
      <c r="H209" t="s">
        <v>707</v>
      </c>
      <c r="I209" t="s">
        <v>713</v>
      </c>
      <c r="J209" t="s">
        <v>733</v>
      </c>
      <c r="K209" t="s">
        <v>941</v>
      </c>
      <c r="L209">
        <v>1030.44</v>
      </c>
      <c r="M209">
        <v>2562.84</v>
      </c>
      <c r="N209">
        <v>0.14799999999999999</v>
      </c>
      <c r="O209">
        <v>13</v>
      </c>
    </row>
    <row r="210" spans="1:15">
      <c r="A210" t="s">
        <v>222</v>
      </c>
      <c r="B210" s="2">
        <v>45545</v>
      </c>
      <c r="C210" s="2">
        <v>45572</v>
      </c>
      <c r="D210" t="s">
        <v>646</v>
      </c>
      <c r="E210" t="s">
        <v>650</v>
      </c>
      <c r="F210" t="s">
        <v>662</v>
      </c>
      <c r="G210" t="s">
        <v>704</v>
      </c>
      <c r="H210" t="s">
        <v>707</v>
      </c>
      <c r="I210" t="s">
        <v>716</v>
      </c>
      <c r="J210" t="s">
        <v>728</v>
      </c>
      <c r="K210" t="s">
        <v>942</v>
      </c>
      <c r="L210">
        <v>1248.3900000000001</v>
      </c>
      <c r="M210">
        <v>1805.11</v>
      </c>
      <c r="N210">
        <v>0.20300000000000001</v>
      </c>
      <c r="O210">
        <v>11</v>
      </c>
    </row>
    <row r="211" spans="1:15">
      <c r="A211" t="s">
        <v>223</v>
      </c>
      <c r="B211" s="2">
        <v>45859</v>
      </c>
      <c r="C211" s="2">
        <v>45876</v>
      </c>
      <c r="D211" t="s">
        <v>646</v>
      </c>
      <c r="E211" t="s">
        <v>651</v>
      </c>
      <c r="F211" t="s">
        <v>665</v>
      </c>
      <c r="G211" t="s">
        <v>706</v>
      </c>
      <c r="H211" t="s">
        <v>711</v>
      </c>
      <c r="I211" t="s">
        <v>724</v>
      </c>
      <c r="J211" t="s">
        <v>733</v>
      </c>
      <c r="K211" t="s">
        <v>943</v>
      </c>
      <c r="L211">
        <v>1204.95</v>
      </c>
      <c r="M211">
        <v>2065.73</v>
      </c>
      <c r="N211">
        <v>0.13600000000000001</v>
      </c>
      <c r="O211">
        <v>10</v>
      </c>
    </row>
    <row r="212" spans="1:15">
      <c r="A212" t="s">
        <v>224</v>
      </c>
      <c r="B212" s="2">
        <v>45567</v>
      </c>
      <c r="C212" s="2">
        <v>45588</v>
      </c>
      <c r="D212" t="s">
        <v>646</v>
      </c>
      <c r="E212" t="s">
        <v>661</v>
      </c>
      <c r="F212" t="s">
        <v>687</v>
      </c>
      <c r="G212" t="s">
        <v>701</v>
      </c>
      <c r="H212" t="s">
        <v>709</v>
      </c>
      <c r="I212" t="s">
        <v>720</v>
      </c>
      <c r="J212" t="s">
        <v>727</v>
      </c>
      <c r="K212" t="s">
        <v>944</v>
      </c>
      <c r="L212">
        <v>1095.6099999999999</v>
      </c>
      <c r="M212">
        <v>2366.5100000000002</v>
      </c>
      <c r="N212">
        <v>0.152</v>
      </c>
      <c r="O212">
        <v>9</v>
      </c>
    </row>
    <row r="213" spans="1:15">
      <c r="A213" t="s">
        <v>225</v>
      </c>
      <c r="B213" s="2">
        <v>45852</v>
      </c>
      <c r="C213" s="2">
        <v>45873</v>
      </c>
      <c r="D213" t="s">
        <v>648</v>
      </c>
      <c r="E213" t="s">
        <v>653</v>
      </c>
      <c r="F213" t="s">
        <v>681</v>
      </c>
      <c r="G213" t="s">
        <v>704</v>
      </c>
      <c r="H213" t="s">
        <v>708</v>
      </c>
      <c r="I213" t="s">
        <v>722</v>
      </c>
      <c r="J213" t="s">
        <v>732</v>
      </c>
      <c r="K213" t="s">
        <v>945</v>
      </c>
      <c r="L213">
        <v>90.3</v>
      </c>
      <c r="M213">
        <v>131.76</v>
      </c>
      <c r="N213">
        <v>0.10199999999999999</v>
      </c>
      <c r="O213">
        <v>15</v>
      </c>
    </row>
    <row r="214" spans="1:15">
      <c r="A214" t="s">
        <v>226</v>
      </c>
      <c r="B214" s="2">
        <v>45544</v>
      </c>
      <c r="C214" s="2">
        <v>45566</v>
      </c>
      <c r="D214" t="s">
        <v>647</v>
      </c>
      <c r="E214" t="s">
        <v>659</v>
      </c>
      <c r="F214" t="s">
        <v>676</v>
      </c>
      <c r="G214" t="s">
        <v>704</v>
      </c>
      <c r="H214" t="s">
        <v>711</v>
      </c>
      <c r="I214" t="s">
        <v>716</v>
      </c>
      <c r="J214" t="s">
        <v>728</v>
      </c>
      <c r="K214" t="s">
        <v>946</v>
      </c>
      <c r="L214">
        <v>1166.18</v>
      </c>
      <c r="M214">
        <v>1335.02</v>
      </c>
      <c r="N214">
        <v>0.128</v>
      </c>
      <c r="O214">
        <v>6</v>
      </c>
    </row>
    <row r="215" spans="1:15">
      <c r="A215" t="s">
        <v>227</v>
      </c>
      <c r="B215" s="2">
        <v>45686</v>
      </c>
      <c r="C215" s="2">
        <v>45694</v>
      </c>
      <c r="D215" t="s">
        <v>646</v>
      </c>
      <c r="E215" t="s">
        <v>650</v>
      </c>
      <c r="F215" t="s">
        <v>662</v>
      </c>
      <c r="G215" t="s">
        <v>702</v>
      </c>
      <c r="H215" t="s">
        <v>707</v>
      </c>
      <c r="I215" t="s">
        <v>717</v>
      </c>
      <c r="J215" t="s">
        <v>730</v>
      </c>
      <c r="K215" t="s">
        <v>947</v>
      </c>
      <c r="L215">
        <v>1445.27</v>
      </c>
      <c r="M215">
        <v>2691.45</v>
      </c>
      <c r="N215">
        <v>0</v>
      </c>
      <c r="O215">
        <v>9</v>
      </c>
    </row>
    <row r="216" spans="1:15">
      <c r="A216" t="s">
        <v>228</v>
      </c>
      <c r="B216" s="2">
        <v>45240</v>
      </c>
      <c r="C216" s="2">
        <v>45258</v>
      </c>
      <c r="D216" t="s">
        <v>648</v>
      </c>
      <c r="E216" t="s">
        <v>655</v>
      </c>
      <c r="F216" t="s">
        <v>672</v>
      </c>
      <c r="G216" t="s">
        <v>702</v>
      </c>
      <c r="H216" t="s">
        <v>709</v>
      </c>
      <c r="I216" t="s">
        <v>716</v>
      </c>
      <c r="J216" t="s">
        <v>733</v>
      </c>
      <c r="K216" t="s">
        <v>948</v>
      </c>
      <c r="L216">
        <v>388.51</v>
      </c>
      <c r="M216">
        <v>776.46</v>
      </c>
      <c r="N216">
        <v>0.157</v>
      </c>
      <c r="O216">
        <v>12</v>
      </c>
    </row>
    <row r="217" spans="1:15">
      <c r="A217" t="s">
        <v>229</v>
      </c>
      <c r="B217" s="2">
        <v>45351</v>
      </c>
      <c r="C217" s="2">
        <v>45381</v>
      </c>
      <c r="D217" t="s">
        <v>647</v>
      </c>
      <c r="E217" t="s">
        <v>652</v>
      </c>
      <c r="F217" t="s">
        <v>694</v>
      </c>
      <c r="G217" t="s">
        <v>705</v>
      </c>
      <c r="H217" t="s">
        <v>711</v>
      </c>
      <c r="I217" t="s">
        <v>714</v>
      </c>
      <c r="J217" t="s">
        <v>729</v>
      </c>
      <c r="K217" t="s">
        <v>949</v>
      </c>
      <c r="L217">
        <v>231.11</v>
      </c>
      <c r="M217">
        <v>318.17</v>
      </c>
      <c r="N217">
        <v>0.20100000000000001</v>
      </c>
      <c r="O217">
        <v>60</v>
      </c>
    </row>
    <row r="218" spans="1:15">
      <c r="A218" t="s">
        <v>230</v>
      </c>
      <c r="B218" s="2">
        <v>45280</v>
      </c>
      <c r="C218" s="2">
        <v>45305</v>
      </c>
      <c r="D218" t="s">
        <v>647</v>
      </c>
      <c r="E218" t="s">
        <v>654</v>
      </c>
      <c r="F218" t="s">
        <v>691</v>
      </c>
      <c r="G218" t="s">
        <v>703</v>
      </c>
      <c r="H218" t="s">
        <v>709</v>
      </c>
      <c r="I218" t="s">
        <v>716</v>
      </c>
      <c r="J218" t="s">
        <v>732</v>
      </c>
      <c r="K218" t="s">
        <v>950</v>
      </c>
      <c r="L218">
        <v>1085.6099999999999</v>
      </c>
      <c r="M218">
        <v>1246.4100000000001</v>
      </c>
      <c r="N218">
        <v>0.113</v>
      </c>
      <c r="O218">
        <v>7</v>
      </c>
    </row>
    <row r="219" spans="1:15">
      <c r="A219" t="s">
        <v>231</v>
      </c>
      <c r="B219" s="2">
        <v>44948</v>
      </c>
      <c r="C219" s="2">
        <v>44947</v>
      </c>
      <c r="D219" t="s">
        <v>649</v>
      </c>
      <c r="E219" t="s">
        <v>656</v>
      </c>
      <c r="F219" t="s">
        <v>684</v>
      </c>
      <c r="G219" t="s">
        <v>701</v>
      </c>
      <c r="H219" t="s">
        <v>711</v>
      </c>
      <c r="I219" t="s">
        <v>721</v>
      </c>
      <c r="J219" t="s">
        <v>732</v>
      </c>
      <c r="K219" t="s">
        <v>951</v>
      </c>
      <c r="L219">
        <v>150.86000000000001</v>
      </c>
      <c r="M219">
        <v>346.96</v>
      </c>
      <c r="N219">
        <v>0.19600000000000001</v>
      </c>
      <c r="O219">
        <v>8</v>
      </c>
    </row>
    <row r="220" spans="1:15">
      <c r="A220" t="s">
        <v>232</v>
      </c>
      <c r="B220" s="2">
        <v>45576</v>
      </c>
      <c r="C220" s="2">
        <v>45605</v>
      </c>
      <c r="D220" t="s">
        <v>647</v>
      </c>
      <c r="E220" t="s">
        <v>659</v>
      </c>
      <c r="F220" t="s">
        <v>685</v>
      </c>
      <c r="G220" t="s">
        <v>703</v>
      </c>
      <c r="H220" t="s">
        <v>708</v>
      </c>
      <c r="I220" t="s">
        <v>721</v>
      </c>
      <c r="J220" t="s">
        <v>728</v>
      </c>
      <c r="K220" t="s">
        <v>952</v>
      </c>
      <c r="L220">
        <v>391.64</v>
      </c>
      <c r="M220">
        <v>504.76</v>
      </c>
      <c r="N220">
        <v>4.0000000000000001E-3</v>
      </c>
      <c r="O220">
        <v>13</v>
      </c>
    </row>
    <row r="221" spans="1:15">
      <c r="A221" t="s">
        <v>233</v>
      </c>
      <c r="B221" s="2">
        <v>45554</v>
      </c>
      <c r="C221" s="2">
        <v>45579</v>
      </c>
      <c r="D221" t="s">
        <v>648</v>
      </c>
      <c r="E221" t="s">
        <v>655</v>
      </c>
      <c r="F221" t="s">
        <v>692</v>
      </c>
      <c r="G221" t="s">
        <v>705</v>
      </c>
      <c r="H221" t="s">
        <v>707</v>
      </c>
      <c r="I221" t="s">
        <v>723</v>
      </c>
      <c r="J221" t="s">
        <v>728</v>
      </c>
      <c r="K221" t="s">
        <v>953</v>
      </c>
      <c r="L221">
        <v>386.96</v>
      </c>
      <c r="M221">
        <v>937.46</v>
      </c>
      <c r="N221">
        <v>0.26600000000000001</v>
      </c>
      <c r="O221">
        <v>41</v>
      </c>
    </row>
    <row r="222" spans="1:15">
      <c r="A222" t="s">
        <v>234</v>
      </c>
      <c r="B222" s="2">
        <v>45894</v>
      </c>
      <c r="C222" s="2">
        <v>45924</v>
      </c>
      <c r="D222" t="s">
        <v>646</v>
      </c>
      <c r="E222" t="s">
        <v>650</v>
      </c>
      <c r="F222" t="s">
        <v>664</v>
      </c>
      <c r="G222" t="s">
        <v>704</v>
      </c>
      <c r="H222" t="s">
        <v>711</v>
      </c>
      <c r="I222" t="s">
        <v>717</v>
      </c>
      <c r="J222" t="s">
        <v>727</v>
      </c>
      <c r="K222" t="s">
        <v>954</v>
      </c>
      <c r="L222">
        <v>589.14</v>
      </c>
      <c r="M222">
        <v>1300.58</v>
      </c>
      <c r="N222">
        <v>5.5E-2</v>
      </c>
      <c r="O222">
        <v>11</v>
      </c>
    </row>
    <row r="223" spans="1:15">
      <c r="A223" t="s">
        <v>235</v>
      </c>
      <c r="B223" s="2">
        <v>45194</v>
      </c>
      <c r="C223" s="2">
        <v>45201</v>
      </c>
      <c r="D223" t="s">
        <v>648</v>
      </c>
      <c r="E223" t="s">
        <v>660</v>
      </c>
      <c r="F223" t="s">
        <v>700</v>
      </c>
      <c r="G223" t="s">
        <v>702</v>
      </c>
      <c r="H223" t="s">
        <v>709</v>
      </c>
      <c r="I223" t="s">
        <v>714</v>
      </c>
      <c r="J223" t="s">
        <v>733</v>
      </c>
      <c r="K223" t="s">
        <v>955</v>
      </c>
      <c r="L223">
        <v>145.58000000000001</v>
      </c>
      <c r="M223">
        <v>228.15</v>
      </c>
      <c r="N223">
        <v>0.20399999999999999</v>
      </c>
      <c r="O223">
        <v>5</v>
      </c>
    </row>
    <row r="224" spans="1:15">
      <c r="A224" t="s">
        <v>236</v>
      </c>
      <c r="B224" s="2">
        <v>45164</v>
      </c>
      <c r="C224" s="2">
        <v>45179</v>
      </c>
      <c r="D224" t="s">
        <v>646</v>
      </c>
      <c r="E224" t="s">
        <v>661</v>
      </c>
      <c r="F224" t="s">
        <v>695</v>
      </c>
      <c r="G224" t="s">
        <v>703</v>
      </c>
      <c r="H224" t="s">
        <v>711</v>
      </c>
      <c r="I224" t="s">
        <v>725</v>
      </c>
      <c r="J224" t="s">
        <v>727</v>
      </c>
      <c r="K224" t="s">
        <v>956</v>
      </c>
      <c r="L224">
        <v>241.14</v>
      </c>
      <c r="M224">
        <v>496.52</v>
      </c>
      <c r="N224">
        <v>9.2999999999999999E-2</v>
      </c>
      <c r="O224">
        <v>10</v>
      </c>
    </row>
    <row r="225" spans="1:15">
      <c r="A225" t="s">
        <v>237</v>
      </c>
      <c r="B225" s="2">
        <v>45854</v>
      </c>
      <c r="C225" s="2">
        <v>45855</v>
      </c>
      <c r="D225" t="s">
        <v>646</v>
      </c>
      <c r="E225" t="s">
        <v>661</v>
      </c>
      <c r="F225" t="s">
        <v>687</v>
      </c>
      <c r="G225" t="s">
        <v>705</v>
      </c>
      <c r="H225" t="s">
        <v>710</v>
      </c>
      <c r="I225" t="s">
        <v>717</v>
      </c>
      <c r="J225" t="s">
        <v>729</v>
      </c>
      <c r="K225" t="s">
        <v>957</v>
      </c>
      <c r="L225">
        <v>1198.9000000000001</v>
      </c>
      <c r="M225">
        <v>2941.2</v>
      </c>
      <c r="N225">
        <v>5.0999999999999997E-2</v>
      </c>
      <c r="O225">
        <v>24</v>
      </c>
    </row>
    <row r="226" spans="1:15">
      <c r="A226" t="s">
        <v>238</v>
      </c>
      <c r="B226" s="2">
        <v>45035</v>
      </c>
      <c r="C226" s="2">
        <v>45053</v>
      </c>
      <c r="D226" t="s">
        <v>649</v>
      </c>
      <c r="E226" t="s">
        <v>658</v>
      </c>
      <c r="F226" t="s">
        <v>674</v>
      </c>
      <c r="G226" t="s">
        <v>706</v>
      </c>
      <c r="H226" t="s">
        <v>707</v>
      </c>
      <c r="I226" t="s">
        <v>725</v>
      </c>
      <c r="J226" t="s">
        <v>731</v>
      </c>
      <c r="K226" t="s">
        <v>958</v>
      </c>
      <c r="L226">
        <v>1089.1500000000001</v>
      </c>
      <c r="M226">
        <v>1088.2</v>
      </c>
      <c r="N226">
        <v>5.0999999999999997E-2</v>
      </c>
      <c r="O226">
        <v>15</v>
      </c>
    </row>
    <row r="227" spans="1:15">
      <c r="A227" t="s">
        <v>239</v>
      </c>
      <c r="B227" s="2">
        <v>45279</v>
      </c>
      <c r="C227" s="2">
        <v>45280</v>
      </c>
      <c r="D227" t="s">
        <v>648</v>
      </c>
      <c r="E227" t="s">
        <v>655</v>
      </c>
      <c r="F227" t="s">
        <v>692</v>
      </c>
      <c r="G227" t="s">
        <v>704</v>
      </c>
      <c r="H227" t="s">
        <v>710</v>
      </c>
      <c r="I227" t="s">
        <v>713</v>
      </c>
      <c r="J227" t="s">
        <v>730</v>
      </c>
      <c r="K227" t="s">
        <v>959</v>
      </c>
      <c r="L227">
        <v>1080.43</v>
      </c>
      <c r="M227">
        <v>2529.15</v>
      </c>
      <c r="N227">
        <v>0.14699999999999999</v>
      </c>
      <c r="O227">
        <v>10</v>
      </c>
    </row>
    <row r="228" spans="1:15">
      <c r="A228" t="s">
        <v>240</v>
      </c>
      <c r="B228" s="2">
        <v>45137</v>
      </c>
      <c r="C228" s="2">
        <v>45145</v>
      </c>
      <c r="D228" t="s">
        <v>647</v>
      </c>
      <c r="E228" t="s">
        <v>652</v>
      </c>
      <c r="F228" t="s">
        <v>694</v>
      </c>
      <c r="G228" t="s">
        <v>702</v>
      </c>
      <c r="H228" t="s">
        <v>709</v>
      </c>
      <c r="I228" t="s">
        <v>720</v>
      </c>
      <c r="J228" t="s">
        <v>729</v>
      </c>
      <c r="K228" t="s">
        <v>960</v>
      </c>
      <c r="L228">
        <v>1352.44</v>
      </c>
      <c r="M228">
        <v>2698.01</v>
      </c>
      <c r="N228">
        <v>0.13100000000000001</v>
      </c>
      <c r="O228">
        <v>13</v>
      </c>
    </row>
    <row r="229" spans="1:15">
      <c r="A229" t="s">
        <v>241</v>
      </c>
      <c r="B229" s="2">
        <v>45203</v>
      </c>
      <c r="C229" s="2">
        <v>45228</v>
      </c>
      <c r="D229" t="s">
        <v>648</v>
      </c>
      <c r="E229" t="s">
        <v>660</v>
      </c>
      <c r="F229" t="s">
        <v>686</v>
      </c>
      <c r="G229" t="s">
        <v>705</v>
      </c>
      <c r="H229" t="s">
        <v>710</v>
      </c>
      <c r="I229" t="s">
        <v>719</v>
      </c>
      <c r="J229" t="s">
        <v>733</v>
      </c>
      <c r="K229" t="s">
        <v>961</v>
      </c>
      <c r="L229">
        <v>1239.8399999999999</v>
      </c>
      <c r="M229">
        <v>1482.75</v>
      </c>
      <c r="N229">
        <v>6.7000000000000004E-2</v>
      </c>
      <c r="O229">
        <v>4</v>
      </c>
    </row>
    <row r="230" spans="1:15">
      <c r="A230" t="s">
        <v>242</v>
      </c>
      <c r="B230" s="2">
        <v>45879</v>
      </c>
      <c r="C230" s="2">
        <v>45899</v>
      </c>
      <c r="D230" t="s">
        <v>648</v>
      </c>
      <c r="E230" t="s">
        <v>660</v>
      </c>
      <c r="F230" t="s">
        <v>686</v>
      </c>
      <c r="G230" t="s">
        <v>701</v>
      </c>
      <c r="H230" t="s">
        <v>709</v>
      </c>
      <c r="I230" t="s">
        <v>723</v>
      </c>
      <c r="J230" t="s">
        <v>728</v>
      </c>
      <c r="K230" t="s">
        <v>962</v>
      </c>
      <c r="L230">
        <v>933.29</v>
      </c>
      <c r="M230">
        <v>1456.81</v>
      </c>
      <c r="N230">
        <v>0.123</v>
      </c>
      <c r="O230">
        <v>13</v>
      </c>
    </row>
    <row r="231" spans="1:15">
      <c r="A231" t="s">
        <v>243</v>
      </c>
      <c r="B231" s="2">
        <v>44992</v>
      </c>
      <c r="C231" s="2">
        <v>45017</v>
      </c>
      <c r="D231" t="s">
        <v>646</v>
      </c>
      <c r="E231" t="s">
        <v>650</v>
      </c>
      <c r="F231" t="s">
        <v>664</v>
      </c>
      <c r="G231" t="s">
        <v>704</v>
      </c>
      <c r="H231" t="s">
        <v>709</v>
      </c>
      <c r="I231" t="s">
        <v>726</v>
      </c>
      <c r="J231" t="s">
        <v>728</v>
      </c>
      <c r="K231" t="s">
        <v>963</v>
      </c>
      <c r="L231">
        <v>1024.0999999999999</v>
      </c>
      <c r="M231">
        <v>918.19</v>
      </c>
      <c r="N231">
        <v>0.189</v>
      </c>
      <c r="O231">
        <v>10</v>
      </c>
    </row>
    <row r="232" spans="1:15">
      <c r="A232" t="s">
        <v>244</v>
      </c>
      <c r="B232" s="2">
        <v>45069</v>
      </c>
      <c r="C232" s="2">
        <v>45087</v>
      </c>
      <c r="D232" t="s">
        <v>647</v>
      </c>
      <c r="E232" t="s">
        <v>659</v>
      </c>
      <c r="F232" t="s">
        <v>685</v>
      </c>
      <c r="G232" t="s">
        <v>701</v>
      </c>
      <c r="H232" t="s">
        <v>710</v>
      </c>
      <c r="I232" t="s">
        <v>718</v>
      </c>
      <c r="J232" t="s">
        <v>727</v>
      </c>
      <c r="K232" t="s">
        <v>964</v>
      </c>
      <c r="L232">
        <v>54.62</v>
      </c>
      <c r="M232">
        <v>48.94</v>
      </c>
      <c r="N232">
        <v>0.14799999999999999</v>
      </c>
      <c r="O232">
        <v>16</v>
      </c>
    </row>
    <row r="233" spans="1:15">
      <c r="A233" t="s">
        <v>245</v>
      </c>
      <c r="B233" s="2">
        <v>45771</v>
      </c>
      <c r="C233" s="2">
        <v>45783</v>
      </c>
      <c r="D233" t="s">
        <v>648</v>
      </c>
      <c r="E233" t="s">
        <v>655</v>
      </c>
      <c r="F233" t="s">
        <v>672</v>
      </c>
      <c r="G233" t="s">
        <v>704</v>
      </c>
      <c r="H233" t="s">
        <v>708</v>
      </c>
      <c r="I233" t="s">
        <v>712</v>
      </c>
      <c r="J233" t="s">
        <v>730</v>
      </c>
      <c r="K233" t="s">
        <v>965</v>
      </c>
      <c r="L233">
        <v>394.13</v>
      </c>
      <c r="M233">
        <v>932.29</v>
      </c>
      <c r="N233">
        <v>0.109</v>
      </c>
      <c r="O233">
        <v>7</v>
      </c>
    </row>
    <row r="234" spans="1:15">
      <c r="A234" t="s">
        <v>246</v>
      </c>
      <c r="B234" s="2">
        <v>45538</v>
      </c>
      <c r="C234" s="2">
        <v>45543</v>
      </c>
      <c r="D234" t="s">
        <v>646</v>
      </c>
      <c r="E234" t="s">
        <v>651</v>
      </c>
      <c r="F234" t="s">
        <v>665</v>
      </c>
      <c r="G234" t="s">
        <v>705</v>
      </c>
      <c r="H234" t="s">
        <v>711</v>
      </c>
      <c r="I234" t="s">
        <v>723</v>
      </c>
      <c r="J234" t="s">
        <v>728</v>
      </c>
      <c r="K234" t="s">
        <v>966</v>
      </c>
      <c r="L234">
        <v>197.63</v>
      </c>
      <c r="M234">
        <v>325.79000000000002</v>
      </c>
      <c r="N234">
        <v>0.11600000000000001</v>
      </c>
      <c r="O234">
        <v>10</v>
      </c>
    </row>
    <row r="235" spans="1:15">
      <c r="A235" t="s">
        <v>247</v>
      </c>
      <c r="B235" s="2">
        <v>45540</v>
      </c>
      <c r="C235" s="2">
        <v>45560</v>
      </c>
      <c r="D235" t="s">
        <v>647</v>
      </c>
      <c r="E235" t="s">
        <v>652</v>
      </c>
      <c r="F235" t="s">
        <v>666</v>
      </c>
      <c r="G235" t="s">
        <v>706</v>
      </c>
      <c r="H235" t="s">
        <v>710</v>
      </c>
      <c r="I235" t="s">
        <v>726</v>
      </c>
      <c r="J235" t="s">
        <v>732</v>
      </c>
      <c r="K235" t="s">
        <v>967</v>
      </c>
      <c r="L235">
        <v>195.54</v>
      </c>
      <c r="M235">
        <v>405.97</v>
      </c>
      <c r="N235">
        <v>0.187</v>
      </c>
      <c r="O235">
        <v>16</v>
      </c>
    </row>
    <row r="236" spans="1:15">
      <c r="A236" t="s">
        <v>248</v>
      </c>
      <c r="B236" s="2">
        <v>44999</v>
      </c>
      <c r="C236" s="2">
        <v>45015</v>
      </c>
      <c r="D236" t="s">
        <v>646</v>
      </c>
      <c r="E236" t="s">
        <v>661</v>
      </c>
      <c r="F236" t="s">
        <v>695</v>
      </c>
      <c r="G236" t="s">
        <v>704</v>
      </c>
      <c r="H236" t="s">
        <v>710</v>
      </c>
      <c r="I236" t="s">
        <v>723</v>
      </c>
      <c r="J236" t="s">
        <v>727</v>
      </c>
      <c r="K236" t="s">
        <v>968</v>
      </c>
      <c r="L236">
        <v>1309.77</v>
      </c>
      <c r="M236">
        <v>1589.07</v>
      </c>
      <c r="N236">
        <v>0.10199999999999999</v>
      </c>
      <c r="O236">
        <v>10</v>
      </c>
    </row>
    <row r="237" spans="1:15">
      <c r="A237" t="s">
        <v>249</v>
      </c>
      <c r="B237" s="2">
        <v>45302</v>
      </c>
      <c r="C237" s="2">
        <v>45324</v>
      </c>
      <c r="D237" t="s">
        <v>647</v>
      </c>
      <c r="E237" t="s">
        <v>652</v>
      </c>
      <c r="F237" t="s">
        <v>694</v>
      </c>
      <c r="G237" t="s">
        <v>705</v>
      </c>
      <c r="H237" t="s">
        <v>708</v>
      </c>
      <c r="J237" t="s">
        <v>728</v>
      </c>
      <c r="K237" t="s">
        <v>969</v>
      </c>
      <c r="L237">
        <v>1237.68</v>
      </c>
      <c r="M237">
        <v>1432.8</v>
      </c>
      <c r="N237">
        <v>6.8000000000000005E-2</v>
      </c>
      <c r="O237">
        <v>13</v>
      </c>
    </row>
    <row r="238" spans="1:15">
      <c r="A238" t="s">
        <v>250</v>
      </c>
      <c r="B238" s="2">
        <v>45548</v>
      </c>
      <c r="C238" s="2">
        <v>45567</v>
      </c>
      <c r="D238" t="s">
        <v>646</v>
      </c>
      <c r="E238" t="s">
        <v>650</v>
      </c>
      <c r="F238" t="s">
        <v>675</v>
      </c>
      <c r="G238" t="s">
        <v>705</v>
      </c>
      <c r="H238" t="s">
        <v>707</v>
      </c>
      <c r="I238" t="s">
        <v>724</v>
      </c>
      <c r="J238" t="s">
        <v>730</v>
      </c>
      <c r="K238" t="s">
        <v>970</v>
      </c>
      <c r="L238">
        <v>1338.99</v>
      </c>
      <c r="M238">
        <v>1765.76</v>
      </c>
      <c r="N238">
        <v>0.126</v>
      </c>
      <c r="O238">
        <v>24</v>
      </c>
    </row>
    <row r="239" spans="1:15">
      <c r="A239" t="s">
        <v>251</v>
      </c>
      <c r="B239" s="2">
        <v>45855</v>
      </c>
      <c r="C239" s="2">
        <v>45861</v>
      </c>
      <c r="D239" t="s">
        <v>648</v>
      </c>
      <c r="E239" t="s">
        <v>653</v>
      </c>
      <c r="F239" t="s">
        <v>688</v>
      </c>
      <c r="G239" t="s">
        <v>704</v>
      </c>
      <c r="H239" t="s">
        <v>708</v>
      </c>
      <c r="I239" t="s">
        <v>722</v>
      </c>
      <c r="J239" t="s">
        <v>727</v>
      </c>
      <c r="K239" t="s">
        <v>971</v>
      </c>
      <c r="L239">
        <v>1364.89</v>
      </c>
      <c r="M239">
        <v>2757.54</v>
      </c>
      <c r="N239">
        <v>0.17199999999999999</v>
      </c>
      <c r="O239">
        <v>61</v>
      </c>
    </row>
    <row r="240" spans="1:15">
      <c r="A240" t="s">
        <v>252</v>
      </c>
      <c r="B240" s="2">
        <v>45258</v>
      </c>
      <c r="C240" s="2">
        <v>45267</v>
      </c>
      <c r="D240" t="s">
        <v>647</v>
      </c>
      <c r="E240" t="s">
        <v>654</v>
      </c>
      <c r="F240" t="s">
        <v>680</v>
      </c>
      <c r="G240" t="s">
        <v>706</v>
      </c>
      <c r="H240" t="s">
        <v>709</v>
      </c>
      <c r="I240" t="s">
        <v>716</v>
      </c>
      <c r="J240" t="s">
        <v>730</v>
      </c>
      <c r="K240" t="s">
        <v>972</v>
      </c>
      <c r="L240">
        <v>699.33</v>
      </c>
      <c r="M240">
        <v>873.75</v>
      </c>
      <c r="N240">
        <v>0.23499999999999999</v>
      </c>
      <c r="O240">
        <v>10</v>
      </c>
    </row>
    <row r="241" spans="1:15">
      <c r="A241" t="s">
        <v>253</v>
      </c>
      <c r="B241" s="2">
        <v>45381</v>
      </c>
      <c r="C241" s="2">
        <v>45406</v>
      </c>
      <c r="D241" t="s">
        <v>648</v>
      </c>
      <c r="E241" t="s">
        <v>660</v>
      </c>
      <c r="F241" t="s">
        <v>697</v>
      </c>
      <c r="G241" t="s">
        <v>703</v>
      </c>
      <c r="H241" t="s">
        <v>708</v>
      </c>
      <c r="I241" t="s">
        <v>715</v>
      </c>
      <c r="J241" t="s">
        <v>731</v>
      </c>
      <c r="K241" t="s">
        <v>973</v>
      </c>
      <c r="L241">
        <v>160.82</v>
      </c>
      <c r="M241">
        <v>258.52</v>
      </c>
      <c r="N241">
        <v>0.13</v>
      </c>
      <c r="O241">
        <v>17</v>
      </c>
    </row>
    <row r="242" spans="1:15">
      <c r="A242" t="s">
        <v>254</v>
      </c>
      <c r="B242" s="2">
        <v>45188</v>
      </c>
      <c r="C242" s="2">
        <v>45207</v>
      </c>
      <c r="D242" t="s">
        <v>647</v>
      </c>
      <c r="E242" t="s">
        <v>654</v>
      </c>
      <c r="F242" t="s">
        <v>668</v>
      </c>
      <c r="G242" t="s">
        <v>702</v>
      </c>
      <c r="H242" t="s">
        <v>711</v>
      </c>
      <c r="I242" t="s">
        <v>713</v>
      </c>
      <c r="J242" t="s">
        <v>728</v>
      </c>
      <c r="K242" t="s">
        <v>974</v>
      </c>
      <c r="L242">
        <v>385.32</v>
      </c>
      <c r="M242">
        <v>606.76</v>
      </c>
      <c r="N242">
        <v>8.5999999999999993E-2</v>
      </c>
      <c r="O242">
        <v>8</v>
      </c>
    </row>
    <row r="243" spans="1:15">
      <c r="A243" t="s">
        <v>255</v>
      </c>
      <c r="B243" s="2">
        <v>45793</v>
      </c>
      <c r="C243" s="2">
        <v>45804</v>
      </c>
      <c r="D243" t="s">
        <v>647</v>
      </c>
      <c r="E243" t="s">
        <v>659</v>
      </c>
      <c r="F243" t="s">
        <v>699</v>
      </c>
      <c r="G243" t="s">
        <v>706</v>
      </c>
      <c r="H243" t="s">
        <v>708</v>
      </c>
      <c r="I243" t="s">
        <v>721</v>
      </c>
      <c r="J243" t="s">
        <v>730</v>
      </c>
      <c r="K243" t="s">
        <v>975</v>
      </c>
      <c r="L243">
        <v>918.12</v>
      </c>
      <c r="M243">
        <v>1337.69</v>
      </c>
      <c r="N243">
        <v>9.5000000000000001E-2</v>
      </c>
      <c r="O243">
        <v>8</v>
      </c>
    </row>
    <row r="244" spans="1:15">
      <c r="A244" t="s">
        <v>256</v>
      </c>
      <c r="B244" s="2">
        <v>45871</v>
      </c>
      <c r="C244" s="2">
        <v>45877</v>
      </c>
      <c r="D244" t="s">
        <v>647</v>
      </c>
      <c r="E244" t="s">
        <v>652</v>
      </c>
      <c r="F244" t="s">
        <v>666</v>
      </c>
      <c r="G244" t="s">
        <v>704</v>
      </c>
      <c r="H244" t="s">
        <v>711</v>
      </c>
      <c r="I244" t="s">
        <v>725</v>
      </c>
      <c r="J244" t="s">
        <v>731</v>
      </c>
      <c r="K244" t="s">
        <v>976</v>
      </c>
      <c r="L244">
        <v>1225.94</v>
      </c>
      <c r="M244">
        <v>1793.08</v>
      </c>
      <c r="N244">
        <v>0.13600000000000001</v>
      </c>
      <c r="O244">
        <v>22</v>
      </c>
    </row>
    <row r="245" spans="1:15">
      <c r="A245" t="s">
        <v>257</v>
      </c>
      <c r="B245" s="2">
        <v>45630</v>
      </c>
      <c r="C245" s="2">
        <v>45638</v>
      </c>
      <c r="D245" t="s">
        <v>649</v>
      </c>
      <c r="E245" t="s">
        <v>656</v>
      </c>
      <c r="F245" t="s">
        <v>698</v>
      </c>
      <c r="G245" t="s">
        <v>706</v>
      </c>
      <c r="H245" t="s">
        <v>709</v>
      </c>
      <c r="I245" t="s">
        <v>717</v>
      </c>
      <c r="J245" t="s">
        <v>728</v>
      </c>
      <c r="K245" t="s">
        <v>977</v>
      </c>
      <c r="L245">
        <v>72.06</v>
      </c>
      <c r="M245">
        <v>122.74</v>
      </c>
      <c r="N245">
        <v>0.23799999999999999</v>
      </c>
      <c r="O245">
        <v>8</v>
      </c>
    </row>
    <row r="246" spans="1:15">
      <c r="A246" t="s">
        <v>258</v>
      </c>
      <c r="B246" s="2">
        <v>45035</v>
      </c>
      <c r="C246" s="2">
        <v>45044</v>
      </c>
      <c r="D246" t="s">
        <v>648</v>
      </c>
      <c r="E246" t="s">
        <v>655</v>
      </c>
      <c r="F246" t="s">
        <v>692</v>
      </c>
      <c r="G246" t="s">
        <v>701</v>
      </c>
      <c r="H246" t="s">
        <v>710</v>
      </c>
      <c r="I246" t="s">
        <v>724</v>
      </c>
      <c r="J246" t="s">
        <v>730</v>
      </c>
      <c r="K246" t="s">
        <v>978</v>
      </c>
      <c r="L246">
        <v>1013.54</v>
      </c>
      <c r="M246">
        <v>927.93</v>
      </c>
      <c r="N246">
        <v>0.17499999999999999</v>
      </c>
      <c r="O246">
        <v>16</v>
      </c>
    </row>
    <row r="247" spans="1:15">
      <c r="A247" t="s">
        <v>259</v>
      </c>
      <c r="B247" s="2">
        <v>45357</v>
      </c>
      <c r="C247" s="2">
        <v>45377</v>
      </c>
      <c r="D247" t="s">
        <v>646</v>
      </c>
      <c r="E247" t="s">
        <v>651</v>
      </c>
      <c r="F247" t="s">
        <v>663</v>
      </c>
      <c r="G247" t="s">
        <v>704</v>
      </c>
      <c r="H247" t="s">
        <v>709</v>
      </c>
      <c r="I247" t="s">
        <v>714</v>
      </c>
      <c r="J247" t="s">
        <v>730</v>
      </c>
      <c r="K247" t="s">
        <v>979</v>
      </c>
      <c r="L247">
        <v>65.64</v>
      </c>
      <c r="M247">
        <v>151.88</v>
      </c>
      <c r="N247">
        <v>0.16700000000000001</v>
      </c>
      <c r="O247">
        <v>23</v>
      </c>
    </row>
    <row r="248" spans="1:15">
      <c r="A248" t="s">
        <v>260</v>
      </c>
      <c r="B248" s="2">
        <v>45338</v>
      </c>
      <c r="C248" s="2">
        <v>45355</v>
      </c>
      <c r="D248" t="s">
        <v>648</v>
      </c>
      <c r="E248" t="s">
        <v>653</v>
      </c>
      <c r="F248" t="s">
        <v>681</v>
      </c>
      <c r="G248" t="s">
        <v>703</v>
      </c>
      <c r="H248" t="s">
        <v>707</v>
      </c>
      <c r="I248" t="s">
        <v>726</v>
      </c>
      <c r="J248" t="s">
        <v>731</v>
      </c>
      <c r="K248" t="s">
        <v>980</v>
      </c>
      <c r="L248">
        <v>1350.98</v>
      </c>
      <c r="M248">
        <v>2210.4</v>
      </c>
      <c r="N248">
        <v>0.26300000000000001</v>
      </c>
      <c r="O248">
        <v>6</v>
      </c>
    </row>
    <row r="249" spans="1:15">
      <c r="A249" t="s">
        <v>261</v>
      </c>
      <c r="B249" s="2">
        <v>45769</v>
      </c>
      <c r="C249" s="2">
        <v>45779</v>
      </c>
      <c r="D249" t="s">
        <v>649</v>
      </c>
      <c r="E249" t="s">
        <v>656</v>
      </c>
      <c r="F249" t="s">
        <v>671</v>
      </c>
      <c r="G249" t="s">
        <v>701</v>
      </c>
      <c r="H249" t="s">
        <v>709</v>
      </c>
      <c r="I249" t="s">
        <v>712</v>
      </c>
      <c r="J249" t="s">
        <v>732</v>
      </c>
      <c r="K249" t="s">
        <v>981</v>
      </c>
      <c r="L249">
        <v>20.149999999999999</v>
      </c>
      <c r="M249">
        <v>39.74</v>
      </c>
      <c r="N249">
        <v>0.151</v>
      </c>
      <c r="O249">
        <v>18</v>
      </c>
    </row>
    <row r="250" spans="1:15">
      <c r="A250" t="s">
        <v>262</v>
      </c>
      <c r="B250" s="2">
        <v>45604</v>
      </c>
      <c r="C250" s="2">
        <v>45604</v>
      </c>
      <c r="D250" t="s">
        <v>646</v>
      </c>
      <c r="E250" t="s">
        <v>650</v>
      </c>
      <c r="F250" t="s">
        <v>678</v>
      </c>
      <c r="G250" t="s">
        <v>706</v>
      </c>
      <c r="H250" t="s">
        <v>709</v>
      </c>
      <c r="I250" t="s">
        <v>724</v>
      </c>
      <c r="J250" t="s">
        <v>729</v>
      </c>
      <c r="K250" t="s">
        <v>982</v>
      </c>
      <c r="L250">
        <v>803.28</v>
      </c>
      <c r="M250">
        <v>1009</v>
      </c>
      <c r="N250">
        <v>0.11</v>
      </c>
      <c r="O250">
        <v>4</v>
      </c>
    </row>
    <row r="251" spans="1:15">
      <c r="A251" t="s">
        <v>263</v>
      </c>
      <c r="B251" s="2">
        <v>45912</v>
      </c>
      <c r="C251" s="2">
        <v>45930</v>
      </c>
      <c r="D251" t="s">
        <v>647</v>
      </c>
      <c r="E251" t="s">
        <v>652</v>
      </c>
      <c r="F251" t="s">
        <v>694</v>
      </c>
      <c r="G251" t="s">
        <v>703</v>
      </c>
      <c r="H251" t="s">
        <v>709</v>
      </c>
      <c r="I251" t="s">
        <v>721</v>
      </c>
      <c r="J251" t="s">
        <v>732</v>
      </c>
      <c r="K251" t="s">
        <v>983</v>
      </c>
      <c r="L251">
        <v>1212.99</v>
      </c>
      <c r="M251">
        <v>1653.64</v>
      </c>
      <c r="N251">
        <v>0.107</v>
      </c>
      <c r="O251">
        <v>8</v>
      </c>
    </row>
    <row r="252" spans="1:15">
      <c r="A252" t="s">
        <v>264</v>
      </c>
      <c r="B252" s="2">
        <v>45537</v>
      </c>
      <c r="C252" s="2">
        <v>45543</v>
      </c>
      <c r="D252" t="s">
        <v>648</v>
      </c>
      <c r="E252" t="s">
        <v>660</v>
      </c>
      <c r="F252" t="s">
        <v>697</v>
      </c>
      <c r="G252" t="s">
        <v>704</v>
      </c>
      <c r="H252" t="s">
        <v>711</v>
      </c>
      <c r="I252" t="s">
        <v>722</v>
      </c>
      <c r="J252" t="s">
        <v>727</v>
      </c>
      <c r="K252" t="s">
        <v>984</v>
      </c>
      <c r="L252">
        <v>462.94</v>
      </c>
      <c r="M252">
        <v>1015.7</v>
      </c>
      <c r="N252">
        <v>0.14299999999999999</v>
      </c>
      <c r="O252">
        <v>14</v>
      </c>
    </row>
    <row r="253" spans="1:15">
      <c r="A253" t="s">
        <v>265</v>
      </c>
      <c r="B253" s="2">
        <v>44989</v>
      </c>
      <c r="C253" s="2">
        <v>45009</v>
      </c>
      <c r="D253" t="s">
        <v>648</v>
      </c>
      <c r="E253" t="s">
        <v>653</v>
      </c>
      <c r="F253" t="s">
        <v>681</v>
      </c>
      <c r="G253" t="s">
        <v>704</v>
      </c>
      <c r="H253" t="s">
        <v>710</v>
      </c>
      <c r="I253" t="s">
        <v>714</v>
      </c>
      <c r="J253" t="s">
        <v>731</v>
      </c>
      <c r="K253" t="s">
        <v>985</v>
      </c>
      <c r="L253">
        <v>481.71</v>
      </c>
      <c r="M253">
        <v>912.45</v>
      </c>
      <c r="N253">
        <v>0.20300000000000001</v>
      </c>
      <c r="O253">
        <v>24</v>
      </c>
    </row>
    <row r="254" spans="1:15">
      <c r="A254" t="s">
        <v>266</v>
      </c>
      <c r="B254" s="2">
        <v>45366</v>
      </c>
      <c r="C254" s="2">
        <v>45391</v>
      </c>
      <c r="D254" t="s">
        <v>648</v>
      </c>
      <c r="E254" t="s">
        <v>653</v>
      </c>
      <c r="F254" t="s">
        <v>688</v>
      </c>
      <c r="G254" t="s">
        <v>704</v>
      </c>
      <c r="H254" t="s">
        <v>708</v>
      </c>
      <c r="I254" t="s">
        <v>721</v>
      </c>
      <c r="J254" t="s">
        <v>732</v>
      </c>
      <c r="K254" t="s">
        <v>986</v>
      </c>
      <c r="L254">
        <v>648.64</v>
      </c>
      <c r="M254">
        <v>815.19</v>
      </c>
      <c r="N254">
        <v>0.22500000000000001</v>
      </c>
      <c r="O254">
        <v>28</v>
      </c>
    </row>
    <row r="255" spans="1:15">
      <c r="A255" t="s">
        <v>267</v>
      </c>
      <c r="B255" s="2">
        <v>45502</v>
      </c>
      <c r="C255" s="2">
        <v>45504</v>
      </c>
      <c r="D255" t="s">
        <v>648</v>
      </c>
      <c r="E255" t="s">
        <v>660</v>
      </c>
      <c r="F255" t="s">
        <v>700</v>
      </c>
      <c r="G255" t="s">
        <v>702</v>
      </c>
      <c r="H255" t="s">
        <v>709</v>
      </c>
      <c r="I255" t="s">
        <v>714</v>
      </c>
      <c r="J255" t="s">
        <v>728</v>
      </c>
      <c r="K255" t="s">
        <v>987</v>
      </c>
      <c r="L255">
        <v>798.97</v>
      </c>
      <c r="M255">
        <v>1814.06</v>
      </c>
      <c r="N255">
        <v>0.122</v>
      </c>
      <c r="O255">
        <v>16</v>
      </c>
    </row>
    <row r="256" spans="1:15">
      <c r="A256" t="s">
        <v>268</v>
      </c>
      <c r="B256" s="2">
        <v>45592</v>
      </c>
      <c r="C256" s="2">
        <v>45616</v>
      </c>
      <c r="D256" t="s">
        <v>647</v>
      </c>
      <c r="E256" t="s">
        <v>652</v>
      </c>
      <c r="F256" t="s">
        <v>694</v>
      </c>
      <c r="G256" t="s">
        <v>703</v>
      </c>
      <c r="H256" t="s">
        <v>708</v>
      </c>
      <c r="I256" t="s">
        <v>722</v>
      </c>
      <c r="J256" t="s">
        <v>732</v>
      </c>
      <c r="K256" t="s">
        <v>988</v>
      </c>
      <c r="L256">
        <v>317.25</v>
      </c>
      <c r="M256">
        <v>758.92</v>
      </c>
      <c r="N256">
        <v>5.2999999999999999E-2</v>
      </c>
      <c r="O256">
        <v>9</v>
      </c>
    </row>
    <row r="257" spans="1:15">
      <c r="A257" t="s">
        <v>269</v>
      </c>
      <c r="B257" s="2">
        <v>45411</v>
      </c>
      <c r="C257" s="2">
        <v>45431</v>
      </c>
      <c r="D257" t="s">
        <v>649</v>
      </c>
      <c r="E257" t="s">
        <v>656</v>
      </c>
      <c r="F257" t="s">
        <v>698</v>
      </c>
      <c r="G257" t="s">
        <v>706</v>
      </c>
      <c r="H257" t="s">
        <v>709</v>
      </c>
      <c r="I257" t="s">
        <v>712</v>
      </c>
      <c r="J257" t="s">
        <v>731</v>
      </c>
      <c r="K257" t="s">
        <v>989</v>
      </c>
      <c r="L257">
        <v>668.97</v>
      </c>
      <c r="M257">
        <v>1667.44</v>
      </c>
      <c r="N257">
        <v>3.4000000000000002E-2</v>
      </c>
      <c r="O257">
        <v>15</v>
      </c>
    </row>
    <row r="258" spans="1:15">
      <c r="A258" t="s">
        <v>270</v>
      </c>
      <c r="B258" s="2">
        <v>45204</v>
      </c>
      <c r="C258" s="2">
        <v>45205</v>
      </c>
      <c r="D258" t="s">
        <v>647</v>
      </c>
      <c r="E258" t="s">
        <v>654</v>
      </c>
      <c r="F258" t="s">
        <v>668</v>
      </c>
      <c r="G258" t="s">
        <v>703</v>
      </c>
      <c r="H258" t="s">
        <v>708</v>
      </c>
      <c r="I258" t="s">
        <v>714</v>
      </c>
      <c r="J258" t="s">
        <v>727</v>
      </c>
      <c r="K258" t="s">
        <v>990</v>
      </c>
      <c r="L258">
        <v>1470.26</v>
      </c>
      <c r="M258">
        <v>2562.5500000000002</v>
      </c>
      <c r="N258">
        <v>0.17299999999999999</v>
      </c>
      <c r="O258">
        <v>9</v>
      </c>
    </row>
    <row r="259" spans="1:15">
      <c r="A259" t="s">
        <v>271</v>
      </c>
      <c r="B259" s="2">
        <v>45035</v>
      </c>
      <c r="C259" s="2">
        <v>45053</v>
      </c>
      <c r="D259" t="s">
        <v>649</v>
      </c>
      <c r="E259" t="s">
        <v>658</v>
      </c>
      <c r="F259" t="s">
        <v>683</v>
      </c>
      <c r="G259" t="s">
        <v>703</v>
      </c>
      <c r="H259" t="s">
        <v>711</v>
      </c>
      <c r="I259" t="s">
        <v>722</v>
      </c>
      <c r="J259" t="s">
        <v>729</v>
      </c>
      <c r="K259" t="s">
        <v>991</v>
      </c>
      <c r="L259">
        <v>516.96</v>
      </c>
      <c r="M259">
        <v>745.38</v>
      </c>
      <c r="N259">
        <v>0.19700000000000001</v>
      </c>
      <c r="O259">
        <v>4</v>
      </c>
    </row>
    <row r="260" spans="1:15">
      <c r="A260" t="s">
        <v>272</v>
      </c>
      <c r="B260" s="2">
        <v>45835</v>
      </c>
      <c r="C260" s="2">
        <v>45843</v>
      </c>
      <c r="D260" t="s">
        <v>649</v>
      </c>
      <c r="E260" t="s">
        <v>656</v>
      </c>
      <c r="F260" t="s">
        <v>684</v>
      </c>
      <c r="G260" t="s">
        <v>705</v>
      </c>
      <c r="H260" t="s">
        <v>711</v>
      </c>
      <c r="I260" t="s">
        <v>715</v>
      </c>
      <c r="J260" t="s">
        <v>732</v>
      </c>
      <c r="K260" t="s">
        <v>992</v>
      </c>
      <c r="L260">
        <v>314.93</v>
      </c>
      <c r="M260">
        <v>687.95</v>
      </c>
      <c r="N260">
        <v>0.20499999999999999</v>
      </c>
      <c r="O260">
        <v>8</v>
      </c>
    </row>
    <row r="261" spans="1:15">
      <c r="A261" t="s">
        <v>273</v>
      </c>
      <c r="B261" s="2">
        <v>45210</v>
      </c>
      <c r="C261" s="2">
        <v>45212</v>
      </c>
      <c r="D261" t="s">
        <v>648</v>
      </c>
      <c r="E261" t="s">
        <v>655</v>
      </c>
      <c r="F261" t="s">
        <v>672</v>
      </c>
      <c r="G261" t="s">
        <v>704</v>
      </c>
      <c r="H261" t="s">
        <v>710</v>
      </c>
      <c r="J261" t="s">
        <v>733</v>
      </c>
      <c r="K261" t="s">
        <v>993</v>
      </c>
      <c r="L261">
        <v>715.94</v>
      </c>
      <c r="M261">
        <v>550.07000000000005</v>
      </c>
      <c r="N261">
        <v>0.14000000000000001</v>
      </c>
      <c r="O261">
        <v>16</v>
      </c>
    </row>
    <row r="262" spans="1:15">
      <c r="A262" t="s">
        <v>274</v>
      </c>
      <c r="B262" s="2">
        <v>45066</v>
      </c>
      <c r="C262" s="2">
        <v>45084</v>
      </c>
      <c r="D262" t="s">
        <v>646</v>
      </c>
      <c r="E262" t="s">
        <v>651</v>
      </c>
      <c r="F262" t="s">
        <v>663</v>
      </c>
      <c r="G262" t="s">
        <v>706</v>
      </c>
      <c r="H262" t="s">
        <v>710</v>
      </c>
      <c r="I262" t="s">
        <v>718</v>
      </c>
      <c r="J262" t="s">
        <v>727</v>
      </c>
      <c r="K262" t="s">
        <v>994</v>
      </c>
      <c r="L262">
        <v>1120.06</v>
      </c>
      <c r="M262">
        <v>2068.21</v>
      </c>
      <c r="N262">
        <v>7.8E-2</v>
      </c>
      <c r="O262">
        <v>12</v>
      </c>
    </row>
    <row r="263" spans="1:15">
      <c r="A263" t="s">
        <v>275</v>
      </c>
      <c r="B263" s="2">
        <v>45073</v>
      </c>
      <c r="C263" s="2">
        <v>45096</v>
      </c>
      <c r="D263" t="s">
        <v>649</v>
      </c>
      <c r="E263" t="s">
        <v>656</v>
      </c>
      <c r="F263" t="s">
        <v>671</v>
      </c>
      <c r="G263" t="s">
        <v>702</v>
      </c>
      <c r="H263" t="s">
        <v>707</v>
      </c>
      <c r="I263" t="s">
        <v>719</v>
      </c>
      <c r="J263" t="s">
        <v>733</v>
      </c>
      <c r="K263" t="s">
        <v>995</v>
      </c>
      <c r="L263">
        <v>1471.58</v>
      </c>
      <c r="M263">
        <v>2576.65</v>
      </c>
      <c r="N263">
        <v>4.0000000000000001E-3</v>
      </c>
      <c r="O263">
        <v>7</v>
      </c>
    </row>
    <row r="264" spans="1:15">
      <c r="A264" t="s">
        <v>276</v>
      </c>
      <c r="B264" s="2">
        <v>45142</v>
      </c>
      <c r="C264" s="2">
        <v>45162</v>
      </c>
      <c r="D264" t="s">
        <v>648</v>
      </c>
      <c r="E264" t="s">
        <v>655</v>
      </c>
      <c r="F264" t="s">
        <v>672</v>
      </c>
      <c r="G264" t="s">
        <v>703</v>
      </c>
      <c r="H264" t="s">
        <v>711</v>
      </c>
      <c r="J264" t="s">
        <v>729</v>
      </c>
      <c r="K264" t="s">
        <v>996</v>
      </c>
      <c r="L264">
        <v>582.88</v>
      </c>
      <c r="M264">
        <v>1044.1400000000001</v>
      </c>
      <c r="N264">
        <v>0.216</v>
      </c>
      <c r="O264">
        <v>10</v>
      </c>
    </row>
    <row r="265" spans="1:15">
      <c r="A265" t="s">
        <v>277</v>
      </c>
      <c r="B265" s="2">
        <v>45829</v>
      </c>
      <c r="C265" s="2">
        <v>45835</v>
      </c>
      <c r="D265" t="s">
        <v>646</v>
      </c>
      <c r="E265" t="s">
        <v>661</v>
      </c>
      <c r="F265" t="s">
        <v>687</v>
      </c>
      <c r="G265" t="s">
        <v>706</v>
      </c>
      <c r="H265" t="s">
        <v>710</v>
      </c>
      <c r="I265" t="s">
        <v>725</v>
      </c>
      <c r="J265" t="s">
        <v>730</v>
      </c>
      <c r="K265" t="s">
        <v>997</v>
      </c>
      <c r="L265">
        <v>93.91</v>
      </c>
      <c r="M265">
        <v>99.04</v>
      </c>
      <c r="N265">
        <v>5.7000000000000002E-2</v>
      </c>
      <c r="O265">
        <v>6</v>
      </c>
    </row>
    <row r="266" spans="1:15">
      <c r="A266" t="s">
        <v>278</v>
      </c>
      <c r="B266" s="2">
        <v>45763</v>
      </c>
      <c r="C266" s="2">
        <v>45773</v>
      </c>
      <c r="D266" t="s">
        <v>646</v>
      </c>
      <c r="E266" t="s">
        <v>651</v>
      </c>
      <c r="F266" t="s">
        <v>663</v>
      </c>
      <c r="G266" t="s">
        <v>706</v>
      </c>
      <c r="H266" t="s">
        <v>709</v>
      </c>
      <c r="I266" t="s">
        <v>721</v>
      </c>
      <c r="J266" t="s">
        <v>731</v>
      </c>
      <c r="K266" t="s">
        <v>998</v>
      </c>
      <c r="L266">
        <v>1457.44</v>
      </c>
      <c r="M266">
        <v>1996.81</v>
      </c>
      <c r="N266">
        <v>0.126</v>
      </c>
      <c r="O266">
        <v>23</v>
      </c>
    </row>
    <row r="267" spans="1:15">
      <c r="A267" t="s">
        <v>279</v>
      </c>
      <c r="B267" s="2">
        <v>45902</v>
      </c>
      <c r="C267" s="2">
        <v>45911</v>
      </c>
      <c r="D267" t="s">
        <v>648</v>
      </c>
      <c r="E267" t="s">
        <v>653</v>
      </c>
      <c r="F267" t="s">
        <v>667</v>
      </c>
      <c r="G267" t="s">
        <v>701</v>
      </c>
      <c r="H267" t="s">
        <v>710</v>
      </c>
      <c r="I267" t="s">
        <v>724</v>
      </c>
      <c r="J267" t="s">
        <v>728</v>
      </c>
      <c r="K267" t="s">
        <v>999</v>
      </c>
      <c r="L267">
        <v>1207.6300000000001</v>
      </c>
      <c r="M267">
        <v>921.68</v>
      </c>
      <c r="N267">
        <v>0.19600000000000001</v>
      </c>
      <c r="O267">
        <v>17</v>
      </c>
    </row>
    <row r="268" spans="1:15">
      <c r="A268" t="s">
        <v>280</v>
      </c>
      <c r="B268" s="2">
        <v>45573</v>
      </c>
      <c r="C268" s="2">
        <v>45573</v>
      </c>
      <c r="D268" t="s">
        <v>649</v>
      </c>
      <c r="E268" t="s">
        <v>658</v>
      </c>
      <c r="F268" t="s">
        <v>683</v>
      </c>
      <c r="G268" t="s">
        <v>701</v>
      </c>
      <c r="H268" t="s">
        <v>708</v>
      </c>
      <c r="I268" t="s">
        <v>718</v>
      </c>
      <c r="J268" t="s">
        <v>732</v>
      </c>
      <c r="K268" t="s">
        <v>1000</v>
      </c>
      <c r="L268">
        <v>1108.1099999999999</v>
      </c>
      <c r="M268">
        <v>2503.79</v>
      </c>
      <c r="N268">
        <v>0.184</v>
      </c>
      <c r="O268">
        <v>19</v>
      </c>
    </row>
    <row r="269" spans="1:15">
      <c r="A269" t="s">
        <v>281</v>
      </c>
      <c r="B269" s="2">
        <v>45053</v>
      </c>
      <c r="C269" s="2">
        <v>45051</v>
      </c>
      <c r="D269" t="s">
        <v>646</v>
      </c>
      <c r="E269" t="s">
        <v>651</v>
      </c>
      <c r="F269" t="s">
        <v>663</v>
      </c>
      <c r="G269" t="s">
        <v>703</v>
      </c>
      <c r="H269" t="s">
        <v>709</v>
      </c>
      <c r="I269" t="s">
        <v>720</v>
      </c>
      <c r="J269" t="s">
        <v>727</v>
      </c>
      <c r="K269" t="s">
        <v>1001</v>
      </c>
      <c r="L269">
        <v>1269.6500000000001</v>
      </c>
      <c r="M269">
        <v>2462.77</v>
      </c>
      <c r="N269">
        <v>0.107</v>
      </c>
      <c r="O269">
        <v>8</v>
      </c>
    </row>
    <row r="270" spans="1:15">
      <c r="A270" t="s">
        <v>282</v>
      </c>
      <c r="B270" s="2">
        <v>45284</v>
      </c>
      <c r="C270" s="2">
        <v>45292</v>
      </c>
      <c r="D270" t="s">
        <v>648</v>
      </c>
      <c r="E270" t="s">
        <v>655</v>
      </c>
      <c r="F270" t="s">
        <v>670</v>
      </c>
      <c r="G270" t="s">
        <v>702</v>
      </c>
      <c r="H270" t="s">
        <v>711</v>
      </c>
      <c r="I270" t="s">
        <v>712</v>
      </c>
      <c r="J270" t="s">
        <v>730</v>
      </c>
      <c r="K270" t="s">
        <v>1002</v>
      </c>
      <c r="L270">
        <v>526.49</v>
      </c>
      <c r="M270">
        <v>496.2</v>
      </c>
      <c r="N270">
        <v>0</v>
      </c>
      <c r="O270">
        <v>14</v>
      </c>
    </row>
    <row r="271" spans="1:15">
      <c r="A271" t="s">
        <v>283</v>
      </c>
      <c r="B271" s="2">
        <v>45301</v>
      </c>
      <c r="C271" s="2">
        <v>45314</v>
      </c>
      <c r="D271" t="s">
        <v>649</v>
      </c>
      <c r="E271" t="s">
        <v>657</v>
      </c>
      <c r="F271" t="s">
        <v>673</v>
      </c>
      <c r="G271" t="s">
        <v>701</v>
      </c>
      <c r="H271" t="s">
        <v>711</v>
      </c>
      <c r="I271" t="s">
        <v>720</v>
      </c>
      <c r="J271" t="s">
        <v>728</v>
      </c>
      <c r="K271" t="s">
        <v>1003</v>
      </c>
      <c r="L271">
        <v>720</v>
      </c>
      <c r="M271">
        <v>907.59</v>
      </c>
      <c r="N271">
        <v>0.154</v>
      </c>
      <c r="O271">
        <v>10</v>
      </c>
    </row>
    <row r="272" spans="1:15">
      <c r="A272" t="s">
        <v>284</v>
      </c>
      <c r="B272" s="2">
        <v>45141</v>
      </c>
      <c r="C272" s="2">
        <v>45152</v>
      </c>
      <c r="D272" t="s">
        <v>648</v>
      </c>
      <c r="E272" t="s">
        <v>655</v>
      </c>
      <c r="F272" t="s">
        <v>672</v>
      </c>
      <c r="G272" t="s">
        <v>701</v>
      </c>
      <c r="H272" t="s">
        <v>711</v>
      </c>
      <c r="I272" t="s">
        <v>713</v>
      </c>
      <c r="J272" t="s">
        <v>733</v>
      </c>
      <c r="K272" t="s">
        <v>1004</v>
      </c>
      <c r="L272">
        <v>232.73</v>
      </c>
      <c r="M272">
        <v>334.19</v>
      </c>
      <c r="N272">
        <v>0.13400000000000001</v>
      </c>
      <c r="O272">
        <v>25</v>
      </c>
    </row>
    <row r="273" spans="1:15">
      <c r="A273" t="s">
        <v>285</v>
      </c>
      <c r="B273" s="2">
        <v>45707</v>
      </c>
      <c r="C273" s="2">
        <v>45725</v>
      </c>
      <c r="D273" t="s">
        <v>647</v>
      </c>
      <c r="E273" t="s">
        <v>654</v>
      </c>
      <c r="F273" t="s">
        <v>680</v>
      </c>
      <c r="G273" t="s">
        <v>705</v>
      </c>
      <c r="H273" t="s">
        <v>711</v>
      </c>
      <c r="I273" t="s">
        <v>719</v>
      </c>
      <c r="J273" t="s">
        <v>732</v>
      </c>
      <c r="K273" t="s">
        <v>1005</v>
      </c>
      <c r="L273">
        <v>325.87</v>
      </c>
      <c r="M273">
        <v>538.79</v>
      </c>
      <c r="N273">
        <v>0.17399999999999999</v>
      </c>
      <c r="O273">
        <v>16</v>
      </c>
    </row>
    <row r="274" spans="1:15">
      <c r="A274" t="s">
        <v>286</v>
      </c>
      <c r="B274" s="2">
        <v>45382</v>
      </c>
      <c r="C274" s="2">
        <v>45399</v>
      </c>
      <c r="D274" t="s">
        <v>649</v>
      </c>
      <c r="E274" t="s">
        <v>656</v>
      </c>
      <c r="F274" t="s">
        <v>698</v>
      </c>
      <c r="G274" t="s">
        <v>702</v>
      </c>
      <c r="H274" t="s">
        <v>711</v>
      </c>
      <c r="I274" t="s">
        <v>722</v>
      </c>
      <c r="J274" t="s">
        <v>732</v>
      </c>
      <c r="K274" t="s">
        <v>1006</v>
      </c>
      <c r="L274">
        <v>1025.51</v>
      </c>
      <c r="M274">
        <v>1436.54</v>
      </c>
      <c r="N274">
        <v>0.13900000000000001</v>
      </c>
      <c r="O274">
        <v>28</v>
      </c>
    </row>
    <row r="275" spans="1:15">
      <c r="A275" t="s">
        <v>287</v>
      </c>
      <c r="B275" s="2">
        <v>45131</v>
      </c>
      <c r="C275" s="2">
        <v>45151</v>
      </c>
      <c r="D275" t="s">
        <v>648</v>
      </c>
      <c r="E275" t="s">
        <v>653</v>
      </c>
      <c r="F275" t="s">
        <v>681</v>
      </c>
      <c r="G275" t="s">
        <v>702</v>
      </c>
      <c r="H275" t="s">
        <v>711</v>
      </c>
      <c r="I275" t="s">
        <v>712</v>
      </c>
      <c r="J275" t="s">
        <v>732</v>
      </c>
      <c r="K275" t="s">
        <v>1007</v>
      </c>
      <c r="L275">
        <v>1082.3800000000001</v>
      </c>
      <c r="M275">
        <v>1766.55</v>
      </c>
      <c r="N275">
        <v>0.16400000000000001</v>
      </c>
      <c r="O275">
        <v>20</v>
      </c>
    </row>
    <row r="276" spans="1:15">
      <c r="A276" t="s">
        <v>288</v>
      </c>
      <c r="B276" s="2">
        <v>45367</v>
      </c>
      <c r="C276" s="2">
        <v>45395</v>
      </c>
      <c r="D276" t="s">
        <v>649</v>
      </c>
      <c r="E276" t="s">
        <v>657</v>
      </c>
      <c r="F276" t="s">
        <v>690</v>
      </c>
      <c r="G276" t="s">
        <v>705</v>
      </c>
      <c r="H276" t="s">
        <v>708</v>
      </c>
      <c r="I276" t="s">
        <v>723</v>
      </c>
      <c r="J276" t="s">
        <v>728</v>
      </c>
      <c r="K276" t="s">
        <v>1008</v>
      </c>
      <c r="L276">
        <v>287.61</v>
      </c>
      <c r="M276">
        <v>628.54</v>
      </c>
      <c r="N276">
        <v>0.13500000000000001</v>
      </c>
      <c r="O276">
        <v>21</v>
      </c>
    </row>
    <row r="277" spans="1:15">
      <c r="A277" t="s">
        <v>289</v>
      </c>
      <c r="B277" s="2">
        <v>45316</v>
      </c>
      <c r="C277" s="2">
        <v>45318</v>
      </c>
      <c r="D277" t="s">
        <v>648</v>
      </c>
      <c r="E277" t="s">
        <v>655</v>
      </c>
      <c r="F277" t="s">
        <v>670</v>
      </c>
      <c r="G277" t="s">
        <v>703</v>
      </c>
      <c r="H277" t="s">
        <v>709</v>
      </c>
      <c r="I277" t="s">
        <v>725</v>
      </c>
      <c r="J277" t="s">
        <v>731</v>
      </c>
      <c r="K277" t="s">
        <v>1009</v>
      </c>
      <c r="L277">
        <v>1410.97</v>
      </c>
      <c r="M277">
        <v>1650.75</v>
      </c>
      <c r="N277">
        <v>0.13500000000000001</v>
      </c>
      <c r="O277">
        <v>6</v>
      </c>
    </row>
    <row r="278" spans="1:15">
      <c r="A278" t="s">
        <v>290</v>
      </c>
      <c r="B278" s="2">
        <v>45378</v>
      </c>
      <c r="C278" s="2">
        <v>45393</v>
      </c>
      <c r="D278" t="s">
        <v>648</v>
      </c>
      <c r="E278" t="s">
        <v>660</v>
      </c>
      <c r="F278" t="s">
        <v>686</v>
      </c>
      <c r="G278" t="s">
        <v>705</v>
      </c>
      <c r="H278" t="s">
        <v>711</v>
      </c>
      <c r="I278" t="s">
        <v>719</v>
      </c>
      <c r="J278" t="s">
        <v>729</v>
      </c>
      <c r="K278" t="s">
        <v>1010</v>
      </c>
      <c r="L278">
        <v>1338.35</v>
      </c>
      <c r="M278">
        <v>2247.14</v>
      </c>
      <c r="N278">
        <v>0.115</v>
      </c>
      <c r="O278">
        <v>40</v>
      </c>
    </row>
    <row r="279" spans="1:15">
      <c r="A279" t="s">
        <v>291</v>
      </c>
      <c r="B279" s="2">
        <v>45832</v>
      </c>
      <c r="C279" s="2">
        <v>45852</v>
      </c>
      <c r="D279" t="s">
        <v>649</v>
      </c>
      <c r="E279" t="s">
        <v>656</v>
      </c>
      <c r="F279" t="s">
        <v>671</v>
      </c>
      <c r="G279" t="s">
        <v>701</v>
      </c>
      <c r="H279" t="s">
        <v>711</v>
      </c>
      <c r="I279" t="s">
        <v>719</v>
      </c>
      <c r="J279" t="s">
        <v>733</v>
      </c>
      <c r="K279" t="s">
        <v>1011</v>
      </c>
      <c r="L279">
        <v>385.08</v>
      </c>
      <c r="M279">
        <v>893.19</v>
      </c>
      <c r="N279">
        <v>0.151</v>
      </c>
      <c r="O279">
        <v>8</v>
      </c>
    </row>
    <row r="280" spans="1:15">
      <c r="A280" t="s">
        <v>292</v>
      </c>
      <c r="B280" s="2">
        <v>45459</v>
      </c>
      <c r="C280" s="2">
        <v>45476</v>
      </c>
      <c r="D280" t="s">
        <v>646</v>
      </c>
      <c r="E280" t="s">
        <v>661</v>
      </c>
      <c r="F280" t="s">
        <v>682</v>
      </c>
      <c r="G280" t="s">
        <v>706</v>
      </c>
      <c r="H280" t="s">
        <v>709</v>
      </c>
      <c r="I280" t="s">
        <v>721</v>
      </c>
      <c r="J280" t="s">
        <v>730</v>
      </c>
      <c r="K280" t="s">
        <v>1012</v>
      </c>
      <c r="L280">
        <v>1173.83</v>
      </c>
      <c r="M280">
        <v>2328.9</v>
      </c>
      <c r="N280">
        <v>0.12</v>
      </c>
      <c r="O280">
        <v>17</v>
      </c>
    </row>
    <row r="281" spans="1:15">
      <c r="A281" t="s">
        <v>293</v>
      </c>
      <c r="B281" s="2">
        <v>45229</v>
      </c>
      <c r="C281" s="2">
        <v>45244</v>
      </c>
      <c r="D281" t="s">
        <v>647</v>
      </c>
      <c r="E281" t="s">
        <v>654</v>
      </c>
      <c r="F281" t="s">
        <v>668</v>
      </c>
      <c r="G281" t="s">
        <v>701</v>
      </c>
      <c r="H281" t="s">
        <v>708</v>
      </c>
      <c r="I281" t="s">
        <v>721</v>
      </c>
      <c r="J281" t="s">
        <v>731</v>
      </c>
      <c r="K281" t="s">
        <v>1013</v>
      </c>
      <c r="L281">
        <v>953.46</v>
      </c>
      <c r="M281">
        <v>2066.75</v>
      </c>
      <c r="N281">
        <v>0.13800000000000001</v>
      </c>
      <c r="O281">
        <v>5</v>
      </c>
    </row>
    <row r="282" spans="1:15">
      <c r="A282" t="s">
        <v>294</v>
      </c>
      <c r="B282" s="2">
        <v>45092</v>
      </c>
      <c r="C282" s="2">
        <v>45100</v>
      </c>
      <c r="D282" t="s">
        <v>648</v>
      </c>
      <c r="E282" t="s">
        <v>660</v>
      </c>
      <c r="F282" t="s">
        <v>686</v>
      </c>
      <c r="G282" t="s">
        <v>704</v>
      </c>
      <c r="H282" t="s">
        <v>710</v>
      </c>
      <c r="I282" t="s">
        <v>719</v>
      </c>
      <c r="J282" t="s">
        <v>732</v>
      </c>
      <c r="K282" t="s">
        <v>1014</v>
      </c>
      <c r="L282">
        <v>1097.0899999999999</v>
      </c>
      <c r="M282">
        <v>2182.31</v>
      </c>
      <c r="N282">
        <v>0.112</v>
      </c>
      <c r="O282">
        <v>9</v>
      </c>
    </row>
    <row r="283" spans="1:15">
      <c r="A283" t="s">
        <v>295</v>
      </c>
      <c r="B283" s="2">
        <v>45730</v>
      </c>
      <c r="C283" s="2">
        <v>45745</v>
      </c>
      <c r="D283" t="s">
        <v>647</v>
      </c>
      <c r="E283" t="s">
        <v>652</v>
      </c>
      <c r="F283" t="s">
        <v>689</v>
      </c>
      <c r="G283" t="s">
        <v>703</v>
      </c>
      <c r="H283" t="s">
        <v>711</v>
      </c>
      <c r="I283" t="s">
        <v>722</v>
      </c>
      <c r="J283" t="s">
        <v>729</v>
      </c>
      <c r="K283" t="s">
        <v>1015</v>
      </c>
      <c r="L283">
        <v>1106.96</v>
      </c>
      <c r="M283">
        <v>2726.62</v>
      </c>
      <c r="N283">
        <v>0.317</v>
      </c>
      <c r="O283">
        <v>7</v>
      </c>
    </row>
    <row r="284" spans="1:15">
      <c r="A284" t="s">
        <v>296</v>
      </c>
      <c r="B284" s="2">
        <v>45153</v>
      </c>
      <c r="C284" s="2">
        <v>45163</v>
      </c>
      <c r="D284" t="s">
        <v>646</v>
      </c>
      <c r="E284" t="s">
        <v>650</v>
      </c>
      <c r="F284" t="s">
        <v>664</v>
      </c>
      <c r="G284" t="s">
        <v>705</v>
      </c>
      <c r="H284" t="s">
        <v>707</v>
      </c>
      <c r="I284" t="s">
        <v>725</v>
      </c>
      <c r="J284" t="s">
        <v>730</v>
      </c>
      <c r="K284" t="s">
        <v>1016</v>
      </c>
      <c r="L284">
        <v>91.85</v>
      </c>
      <c r="M284">
        <v>111.29</v>
      </c>
      <c r="N284">
        <v>0</v>
      </c>
      <c r="O284">
        <v>6</v>
      </c>
    </row>
    <row r="285" spans="1:15">
      <c r="A285" t="s">
        <v>297</v>
      </c>
      <c r="B285" s="2">
        <v>45794</v>
      </c>
      <c r="C285" s="2">
        <v>45805</v>
      </c>
      <c r="D285" t="s">
        <v>647</v>
      </c>
      <c r="E285" t="s">
        <v>654</v>
      </c>
      <c r="F285" t="s">
        <v>668</v>
      </c>
      <c r="G285" t="s">
        <v>701</v>
      </c>
      <c r="H285" t="s">
        <v>710</v>
      </c>
      <c r="I285" t="s">
        <v>717</v>
      </c>
      <c r="J285" t="s">
        <v>731</v>
      </c>
      <c r="K285" t="s">
        <v>1017</v>
      </c>
      <c r="L285">
        <v>623.4</v>
      </c>
      <c r="M285">
        <v>1100.0899999999999</v>
      </c>
      <c r="N285">
        <v>0.114</v>
      </c>
      <c r="O285">
        <v>12</v>
      </c>
    </row>
    <row r="286" spans="1:15">
      <c r="A286" t="s">
        <v>298</v>
      </c>
      <c r="B286" s="2">
        <v>45304</v>
      </c>
      <c r="C286" s="2">
        <v>45327</v>
      </c>
      <c r="D286" t="s">
        <v>649</v>
      </c>
      <c r="E286" t="s">
        <v>656</v>
      </c>
      <c r="F286" t="s">
        <v>698</v>
      </c>
      <c r="G286" t="s">
        <v>702</v>
      </c>
      <c r="H286" t="s">
        <v>711</v>
      </c>
      <c r="I286" t="s">
        <v>717</v>
      </c>
      <c r="J286" t="s">
        <v>731</v>
      </c>
      <c r="K286" t="s">
        <v>1018</v>
      </c>
      <c r="L286">
        <v>1017.93</v>
      </c>
      <c r="M286">
        <v>1529.14</v>
      </c>
      <c r="N286">
        <v>0.155</v>
      </c>
      <c r="O286">
        <v>12</v>
      </c>
    </row>
    <row r="287" spans="1:15">
      <c r="A287" t="s">
        <v>299</v>
      </c>
      <c r="B287" s="2">
        <v>45101</v>
      </c>
      <c r="C287" s="2">
        <v>45128</v>
      </c>
      <c r="D287" t="s">
        <v>647</v>
      </c>
      <c r="E287" t="s">
        <v>652</v>
      </c>
      <c r="F287" t="s">
        <v>694</v>
      </c>
      <c r="G287" t="s">
        <v>704</v>
      </c>
      <c r="H287" t="s">
        <v>709</v>
      </c>
      <c r="I287" t="s">
        <v>713</v>
      </c>
      <c r="J287" t="s">
        <v>730</v>
      </c>
      <c r="K287" t="s">
        <v>1019</v>
      </c>
      <c r="L287">
        <v>554.76</v>
      </c>
      <c r="M287">
        <v>728.69</v>
      </c>
      <c r="N287">
        <v>0.22</v>
      </c>
      <c r="O287">
        <v>7</v>
      </c>
    </row>
    <row r="288" spans="1:15">
      <c r="A288" t="s">
        <v>300</v>
      </c>
      <c r="B288" s="2">
        <v>45751</v>
      </c>
      <c r="C288" s="2">
        <v>45760</v>
      </c>
      <c r="D288" t="s">
        <v>649</v>
      </c>
      <c r="E288" t="s">
        <v>656</v>
      </c>
      <c r="F288" t="s">
        <v>684</v>
      </c>
      <c r="G288" t="s">
        <v>704</v>
      </c>
      <c r="H288" t="s">
        <v>709</v>
      </c>
      <c r="I288" t="s">
        <v>721</v>
      </c>
      <c r="J288" t="s">
        <v>730</v>
      </c>
      <c r="K288" t="s">
        <v>1020</v>
      </c>
      <c r="L288">
        <v>7.02</v>
      </c>
      <c r="M288">
        <v>6.28</v>
      </c>
      <c r="N288">
        <v>0.13400000000000001</v>
      </c>
      <c r="O288">
        <v>14</v>
      </c>
    </row>
    <row r="289" spans="1:15">
      <c r="A289" t="s">
        <v>301</v>
      </c>
      <c r="B289" s="2">
        <v>45542</v>
      </c>
      <c r="C289" s="2">
        <v>45542</v>
      </c>
      <c r="D289" t="s">
        <v>647</v>
      </c>
      <c r="E289" t="s">
        <v>654</v>
      </c>
      <c r="F289" t="s">
        <v>691</v>
      </c>
      <c r="G289" t="s">
        <v>702</v>
      </c>
      <c r="H289" t="s">
        <v>710</v>
      </c>
      <c r="I289" t="s">
        <v>717</v>
      </c>
      <c r="J289" t="s">
        <v>729</v>
      </c>
      <c r="K289" t="s">
        <v>1021</v>
      </c>
      <c r="L289">
        <v>1066.6500000000001</v>
      </c>
      <c r="M289">
        <v>2569.77</v>
      </c>
      <c r="N289">
        <v>0.13400000000000001</v>
      </c>
      <c r="O289">
        <v>9</v>
      </c>
    </row>
    <row r="290" spans="1:15">
      <c r="A290" t="s">
        <v>302</v>
      </c>
      <c r="B290" s="2">
        <v>45319</v>
      </c>
      <c r="C290" s="2">
        <v>45321</v>
      </c>
      <c r="D290" t="s">
        <v>646</v>
      </c>
      <c r="E290" t="s">
        <v>661</v>
      </c>
      <c r="F290" t="s">
        <v>695</v>
      </c>
      <c r="G290" t="s">
        <v>704</v>
      </c>
      <c r="H290" t="s">
        <v>711</v>
      </c>
      <c r="I290" t="s">
        <v>721</v>
      </c>
      <c r="J290" t="s">
        <v>733</v>
      </c>
      <c r="K290" t="s">
        <v>1022</v>
      </c>
      <c r="L290">
        <v>798.45</v>
      </c>
      <c r="M290">
        <v>1592.02</v>
      </c>
      <c r="N290">
        <v>6.6000000000000003E-2</v>
      </c>
      <c r="O290">
        <v>18</v>
      </c>
    </row>
    <row r="291" spans="1:15">
      <c r="A291" t="s">
        <v>303</v>
      </c>
      <c r="B291" s="2">
        <v>45125</v>
      </c>
      <c r="C291" s="2">
        <v>45148</v>
      </c>
      <c r="D291" t="s">
        <v>646</v>
      </c>
      <c r="E291" t="s">
        <v>661</v>
      </c>
      <c r="F291" t="s">
        <v>682</v>
      </c>
      <c r="G291" t="s">
        <v>705</v>
      </c>
      <c r="H291" t="s">
        <v>707</v>
      </c>
      <c r="I291" t="s">
        <v>716</v>
      </c>
      <c r="J291" t="s">
        <v>727</v>
      </c>
      <c r="K291" t="s">
        <v>1023</v>
      </c>
      <c r="L291">
        <v>1271.56</v>
      </c>
      <c r="M291">
        <v>995.47</v>
      </c>
      <c r="N291">
        <v>0.192</v>
      </c>
      <c r="O291">
        <v>13</v>
      </c>
    </row>
    <row r="292" spans="1:15">
      <c r="A292" t="s">
        <v>304</v>
      </c>
      <c r="B292" s="2">
        <v>45897</v>
      </c>
      <c r="C292" s="2">
        <v>45895</v>
      </c>
      <c r="D292" t="s">
        <v>646</v>
      </c>
      <c r="E292" t="s">
        <v>651</v>
      </c>
      <c r="F292" t="s">
        <v>663</v>
      </c>
      <c r="G292" t="s">
        <v>705</v>
      </c>
      <c r="H292" t="s">
        <v>707</v>
      </c>
      <c r="I292" t="s">
        <v>720</v>
      </c>
      <c r="J292" t="s">
        <v>733</v>
      </c>
      <c r="K292" t="s">
        <v>1024</v>
      </c>
      <c r="L292">
        <v>521.05999999999995</v>
      </c>
      <c r="M292">
        <v>1240.31</v>
      </c>
      <c r="N292">
        <v>0.14599999999999999</v>
      </c>
      <c r="O292">
        <v>18</v>
      </c>
    </row>
    <row r="293" spans="1:15">
      <c r="A293" t="s">
        <v>305</v>
      </c>
      <c r="B293" s="2">
        <v>45746</v>
      </c>
      <c r="C293" s="2">
        <v>45754</v>
      </c>
      <c r="D293" t="s">
        <v>648</v>
      </c>
      <c r="E293" t="s">
        <v>655</v>
      </c>
      <c r="F293" t="s">
        <v>670</v>
      </c>
      <c r="G293" t="s">
        <v>703</v>
      </c>
      <c r="H293" t="s">
        <v>711</v>
      </c>
      <c r="I293" t="s">
        <v>716</v>
      </c>
      <c r="J293" t="s">
        <v>728</v>
      </c>
      <c r="K293" t="s">
        <v>1025</v>
      </c>
      <c r="L293">
        <v>71.62</v>
      </c>
      <c r="M293">
        <v>118.37</v>
      </c>
      <c r="N293">
        <v>0.156</v>
      </c>
      <c r="O293">
        <v>11</v>
      </c>
    </row>
    <row r="294" spans="1:15">
      <c r="A294" t="s">
        <v>306</v>
      </c>
      <c r="B294" s="2">
        <v>45220</v>
      </c>
      <c r="C294" s="2">
        <v>45239</v>
      </c>
      <c r="D294" t="s">
        <v>649</v>
      </c>
      <c r="E294" t="s">
        <v>658</v>
      </c>
      <c r="F294" t="s">
        <v>683</v>
      </c>
      <c r="G294" t="s">
        <v>703</v>
      </c>
      <c r="H294" t="s">
        <v>711</v>
      </c>
      <c r="I294" t="s">
        <v>720</v>
      </c>
      <c r="J294" t="s">
        <v>733</v>
      </c>
      <c r="K294" t="s">
        <v>1026</v>
      </c>
      <c r="L294">
        <v>1142.48</v>
      </c>
      <c r="M294">
        <v>2105.5300000000002</v>
      </c>
      <c r="N294">
        <v>0.20699999999999999</v>
      </c>
      <c r="O294">
        <v>14</v>
      </c>
    </row>
    <row r="295" spans="1:15">
      <c r="A295" t="s">
        <v>307</v>
      </c>
      <c r="B295" s="2">
        <v>45161</v>
      </c>
      <c r="C295" s="2">
        <v>45191</v>
      </c>
      <c r="D295" t="s">
        <v>649</v>
      </c>
      <c r="E295" t="s">
        <v>658</v>
      </c>
      <c r="F295" t="s">
        <v>683</v>
      </c>
      <c r="G295" t="s">
        <v>704</v>
      </c>
      <c r="H295" t="s">
        <v>710</v>
      </c>
      <c r="I295" t="s">
        <v>719</v>
      </c>
      <c r="J295" t="s">
        <v>733</v>
      </c>
      <c r="K295" t="s">
        <v>1027</v>
      </c>
      <c r="L295">
        <v>209.81</v>
      </c>
      <c r="M295">
        <v>523</v>
      </c>
      <c r="N295">
        <v>5.8999999999999997E-2</v>
      </c>
      <c r="O295">
        <v>15</v>
      </c>
    </row>
    <row r="296" spans="1:15">
      <c r="A296" t="s">
        <v>308</v>
      </c>
      <c r="B296" s="2">
        <v>45758</v>
      </c>
      <c r="C296" s="2">
        <v>45781</v>
      </c>
      <c r="D296" t="s">
        <v>647</v>
      </c>
      <c r="E296" t="s">
        <v>652</v>
      </c>
      <c r="F296" t="s">
        <v>666</v>
      </c>
      <c r="G296" t="s">
        <v>705</v>
      </c>
      <c r="H296" t="s">
        <v>708</v>
      </c>
      <c r="I296" t="s">
        <v>724</v>
      </c>
      <c r="J296" t="s">
        <v>727</v>
      </c>
      <c r="K296" t="s">
        <v>1028</v>
      </c>
      <c r="L296">
        <v>786.2</v>
      </c>
      <c r="M296">
        <v>1075.3</v>
      </c>
      <c r="N296">
        <v>0.08</v>
      </c>
      <c r="O296">
        <v>9</v>
      </c>
    </row>
    <row r="297" spans="1:15">
      <c r="A297" t="s">
        <v>309</v>
      </c>
      <c r="B297" s="2">
        <v>45809</v>
      </c>
      <c r="C297" s="2">
        <v>45835</v>
      </c>
      <c r="D297" t="s">
        <v>649</v>
      </c>
      <c r="E297" t="s">
        <v>656</v>
      </c>
      <c r="F297" t="s">
        <v>684</v>
      </c>
      <c r="G297" t="s">
        <v>704</v>
      </c>
      <c r="H297" t="s">
        <v>710</v>
      </c>
      <c r="I297" t="s">
        <v>718</v>
      </c>
      <c r="J297" t="s">
        <v>731</v>
      </c>
      <c r="K297" t="s">
        <v>1029</v>
      </c>
      <c r="L297">
        <v>1362.31</v>
      </c>
      <c r="M297">
        <v>3294.57</v>
      </c>
      <c r="N297">
        <v>0.113</v>
      </c>
      <c r="O297">
        <v>7</v>
      </c>
    </row>
    <row r="298" spans="1:15">
      <c r="A298" t="s">
        <v>310</v>
      </c>
      <c r="B298" s="2">
        <v>45353</v>
      </c>
      <c r="C298" s="2">
        <v>45367</v>
      </c>
      <c r="D298" t="s">
        <v>648</v>
      </c>
      <c r="E298" t="s">
        <v>653</v>
      </c>
      <c r="F298" t="s">
        <v>688</v>
      </c>
      <c r="G298" t="s">
        <v>703</v>
      </c>
      <c r="H298" t="s">
        <v>711</v>
      </c>
      <c r="I298" t="s">
        <v>719</v>
      </c>
      <c r="J298" t="s">
        <v>728</v>
      </c>
      <c r="K298" t="s">
        <v>1030</v>
      </c>
      <c r="L298">
        <v>248.24</v>
      </c>
      <c r="M298">
        <v>464.05</v>
      </c>
      <c r="N298">
        <v>0.16900000000000001</v>
      </c>
      <c r="O298">
        <v>11</v>
      </c>
    </row>
    <row r="299" spans="1:15">
      <c r="A299" t="s">
        <v>311</v>
      </c>
      <c r="B299" s="2">
        <v>45097</v>
      </c>
      <c r="C299" s="2">
        <v>45115</v>
      </c>
      <c r="D299" t="s">
        <v>648</v>
      </c>
      <c r="E299" t="s">
        <v>660</v>
      </c>
      <c r="F299" t="s">
        <v>697</v>
      </c>
      <c r="G299" t="s">
        <v>703</v>
      </c>
      <c r="H299" t="s">
        <v>711</v>
      </c>
      <c r="I299" t="s">
        <v>721</v>
      </c>
      <c r="J299" t="s">
        <v>732</v>
      </c>
      <c r="K299" t="s">
        <v>1031</v>
      </c>
      <c r="L299">
        <v>337</v>
      </c>
      <c r="M299">
        <v>511.03</v>
      </c>
      <c r="N299">
        <v>0.108</v>
      </c>
      <c r="O299">
        <v>7</v>
      </c>
    </row>
    <row r="300" spans="1:15">
      <c r="A300" t="s">
        <v>312</v>
      </c>
      <c r="B300" s="2">
        <v>45377</v>
      </c>
      <c r="C300" s="2">
        <v>45387</v>
      </c>
      <c r="D300" t="s">
        <v>648</v>
      </c>
      <c r="E300" t="s">
        <v>660</v>
      </c>
      <c r="F300" t="s">
        <v>697</v>
      </c>
      <c r="G300" t="s">
        <v>704</v>
      </c>
      <c r="H300" t="s">
        <v>711</v>
      </c>
      <c r="I300" t="s">
        <v>713</v>
      </c>
      <c r="J300" t="s">
        <v>732</v>
      </c>
      <c r="K300" t="s">
        <v>1032</v>
      </c>
      <c r="L300">
        <v>5.66</v>
      </c>
      <c r="M300">
        <v>4.22</v>
      </c>
      <c r="N300">
        <v>0.11899999999999999</v>
      </c>
      <c r="O300">
        <v>18</v>
      </c>
    </row>
    <row r="301" spans="1:15">
      <c r="A301" t="s">
        <v>313</v>
      </c>
      <c r="B301" s="2">
        <v>45679</v>
      </c>
      <c r="C301" s="2">
        <v>45679</v>
      </c>
      <c r="D301" t="s">
        <v>649</v>
      </c>
      <c r="E301" t="s">
        <v>657</v>
      </c>
      <c r="F301" t="s">
        <v>679</v>
      </c>
      <c r="G301" t="s">
        <v>705</v>
      </c>
      <c r="H301" t="s">
        <v>708</v>
      </c>
      <c r="I301" t="s">
        <v>717</v>
      </c>
      <c r="J301" t="s">
        <v>733</v>
      </c>
      <c r="K301" t="s">
        <v>1033</v>
      </c>
      <c r="L301">
        <v>591.72</v>
      </c>
      <c r="M301">
        <v>577.24</v>
      </c>
      <c r="N301">
        <v>0</v>
      </c>
      <c r="O301">
        <v>22</v>
      </c>
    </row>
    <row r="302" spans="1:15">
      <c r="A302" t="s">
        <v>314</v>
      </c>
      <c r="B302" s="2">
        <v>45787</v>
      </c>
      <c r="C302" s="2">
        <v>45804</v>
      </c>
      <c r="D302" t="s">
        <v>648</v>
      </c>
      <c r="E302" t="s">
        <v>653</v>
      </c>
      <c r="F302" t="s">
        <v>688</v>
      </c>
      <c r="G302" t="s">
        <v>702</v>
      </c>
      <c r="H302" t="s">
        <v>711</v>
      </c>
      <c r="I302" t="s">
        <v>712</v>
      </c>
      <c r="J302" t="s">
        <v>727</v>
      </c>
      <c r="K302" t="s">
        <v>1034</v>
      </c>
      <c r="L302">
        <v>862.89</v>
      </c>
      <c r="M302">
        <v>1426.03</v>
      </c>
      <c r="N302">
        <v>5.6000000000000001E-2</v>
      </c>
      <c r="O302">
        <v>19</v>
      </c>
    </row>
    <row r="303" spans="1:15">
      <c r="A303" t="s">
        <v>315</v>
      </c>
      <c r="B303" s="2">
        <v>45204</v>
      </c>
      <c r="C303" s="2">
        <v>45230</v>
      </c>
      <c r="D303" t="s">
        <v>647</v>
      </c>
      <c r="E303" t="s">
        <v>659</v>
      </c>
      <c r="F303" t="s">
        <v>685</v>
      </c>
      <c r="G303" t="s">
        <v>704</v>
      </c>
      <c r="I303" t="s">
        <v>713</v>
      </c>
      <c r="J303" t="s">
        <v>728</v>
      </c>
      <c r="K303" t="s">
        <v>1035</v>
      </c>
      <c r="L303">
        <v>649.91</v>
      </c>
      <c r="M303">
        <v>1360.12</v>
      </c>
      <c r="N303">
        <v>0.19400000000000001</v>
      </c>
      <c r="O303">
        <v>9</v>
      </c>
    </row>
    <row r="304" spans="1:15">
      <c r="A304" t="s">
        <v>316</v>
      </c>
      <c r="B304" s="2">
        <v>45125</v>
      </c>
      <c r="C304" s="2">
        <v>45129</v>
      </c>
      <c r="D304" t="s">
        <v>648</v>
      </c>
      <c r="E304" t="s">
        <v>655</v>
      </c>
      <c r="F304" t="s">
        <v>670</v>
      </c>
      <c r="G304" t="s">
        <v>704</v>
      </c>
      <c r="H304" t="s">
        <v>711</v>
      </c>
      <c r="I304" t="s">
        <v>721</v>
      </c>
      <c r="J304" t="s">
        <v>729</v>
      </c>
      <c r="K304" t="s">
        <v>1036</v>
      </c>
      <c r="L304">
        <v>1269.55</v>
      </c>
      <c r="M304">
        <v>2071.1</v>
      </c>
      <c r="N304">
        <v>0.129</v>
      </c>
      <c r="O304">
        <v>22</v>
      </c>
    </row>
    <row r="305" spans="1:15">
      <c r="A305" t="s">
        <v>317</v>
      </c>
      <c r="B305" s="2">
        <v>45830</v>
      </c>
      <c r="C305" s="2">
        <v>45846</v>
      </c>
      <c r="D305" t="s">
        <v>649</v>
      </c>
      <c r="E305" t="s">
        <v>658</v>
      </c>
      <c r="F305" t="s">
        <v>683</v>
      </c>
      <c r="G305" t="s">
        <v>702</v>
      </c>
      <c r="H305" t="s">
        <v>711</v>
      </c>
      <c r="I305" t="s">
        <v>720</v>
      </c>
      <c r="J305" t="s">
        <v>730</v>
      </c>
      <c r="K305" t="s">
        <v>1037</v>
      </c>
      <c r="L305">
        <v>892.73</v>
      </c>
      <c r="M305">
        <v>979.84</v>
      </c>
      <c r="N305">
        <v>0.17399999999999999</v>
      </c>
      <c r="O305">
        <v>10</v>
      </c>
    </row>
    <row r="306" spans="1:15">
      <c r="A306" t="s">
        <v>318</v>
      </c>
      <c r="B306" s="2">
        <v>45462</v>
      </c>
      <c r="C306" s="2">
        <v>45463</v>
      </c>
      <c r="D306" t="s">
        <v>646</v>
      </c>
      <c r="E306" t="s">
        <v>650</v>
      </c>
      <c r="F306" t="s">
        <v>662</v>
      </c>
      <c r="G306" t="s">
        <v>705</v>
      </c>
      <c r="H306" t="s">
        <v>711</v>
      </c>
      <c r="I306" t="s">
        <v>713</v>
      </c>
      <c r="J306" t="s">
        <v>731</v>
      </c>
      <c r="K306" t="s">
        <v>1038</v>
      </c>
      <c r="L306">
        <v>231.63</v>
      </c>
      <c r="M306">
        <v>537.39</v>
      </c>
      <c r="N306">
        <v>0.08</v>
      </c>
      <c r="O306">
        <v>12</v>
      </c>
    </row>
    <row r="307" spans="1:15">
      <c r="A307" t="s">
        <v>319</v>
      </c>
      <c r="B307" s="2">
        <v>45756</v>
      </c>
      <c r="C307" s="2">
        <v>45759</v>
      </c>
      <c r="D307" t="s">
        <v>649</v>
      </c>
      <c r="E307" t="s">
        <v>657</v>
      </c>
      <c r="F307" t="s">
        <v>679</v>
      </c>
      <c r="G307" t="s">
        <v>705</v>
      </c>
      <c r="H307" t="s">
        <v>710</v>
      </c>
      <c r="I307" t="s">
        <v>722</v>
      </c>
      <c r="J307" t="s">
        <v>732</v>
      </c>
      <c r="K307" t="s">
        <v>1039</v>
      </c>
      <c r="L307">
        <v>86.68</v>
      </c>
      <c r="M307">
        <v>213.32</v>
      </c>
      <c r="N307">
        <v>3.7999999999999999E-2</v>
      </c>
      <c r="O307">
        <v>8</v>
      </c>
    </row>
    <row r="308" spans="1:15">
      <c r="A308" t="s">
        <v>320</v>
      </c>
      <c r="B308" s="2">
        <v>45741</v>
      </c>
      <c r="C308" s="2">
        <v>45742</v>
      </c>
      <c r="D308" t="s">
        <v>646</v>
      </c>
      <c r="E308" t="s">
        <v>651</v>
      </c>
      <c r="F308" t="s">
        <v>665</v>
      </c>
      <c r="G308" t="s">
        <v>702</v>
      </c>
      <c r="H308" t="s">
        <v>710</v>
      </c>
      <c r="I308" t="s">
        <v>715</v>
      </c>
      <c r="J308" t="s">
        <v>733</v>
      </c>
      <c r="K308" t="s">
        <v>1040</v>
      </c>
      <c r="L308">
        <v>1450.43</v>
      </c>
      <c r="M308">
        <v>1994.67</v>
      </c>
      <c r="N308">
        <v>0.1</v>
      </c>
      <c r="O308">
        <v>24</v>
      </c>
    </row>
    <row r="309" spans="1:15">
      <c r="A309" t="s">
        <v>321</v>
      </c>
      <c r="B309" s="2">
        <v>45795</v>
      </c>
      <c r="C309" s="2">
        <v>45817</v>
      </c>
      <c r="D309" t="s">
        <v>648</v>
      </c>
      <c r="E309" t="s">
        <v>660</v>
      </c>
      <c r="F309" t="s">
        <v>700</v>
      </c>
      <c r="G309" t="s">
        <v>704</v>
      </c>
      <c r="H309" t="s">
        <v>707</v>
      </c>
      <c r="I309" t="s">
        <v>722</v>
      </c>
      <c r="J309" t="s">
        <v>729</v>
      </c>
      <c r="K309" t="s">
        <v>1041</v>
      </c>
      <c r="L309">
        <v>382.96</v>
      </c>
      <c r="M309">
        <v>552.84</v>
      </c>
      <c r="N309">
        <v>0.17599999999999999</v>
      </c>
      <c r="O309">
        <v>8</v>
      </c>
    </row>
    <row r="310" spans="1:15">
      <c r="A310" t="s">
        <v>322</v>
      </c>
      <c r="B310" s="2">
        <v>45679</v>
      </c>
      <c r="C310" s="2">
        <v>45692</v>
      </c>
      <c r="D310" t="s">
        <v>647</v>
      </c>
      <c r="E310" t="s">
        <v>652</v>
      </c>
      <c r="F310" t="s">
        <v>689</v>
      </c>
      <c r="G310" t="s">
        <v>705</v>
      </c>
      <c r="H310" t="s">
        <v>710</v>
      </c>
      <c r="I310" t="s">
        <v>716</v>
      </c>
      <c r="J310" t="s">
        <v>728</v>
      </c>
      <c r="K310" t="s">
        <v>1042</v>
      </c>
      <c r="L310">
        <v>122.29</v>
      </c>
      <c r="M310">
        <v>224.95</v>
      </c>
      <c r="N310">
        <v>0.153</v>
      </c>
      <c r="O310">
        <v>28</v>
      </c>
    </row>
    <row r="311" spans="1:15">
      <c r="A311" t="s">
        <v>323</v>
      </c>
      <c r="B311" s="2">
        <v>44936</v>
      </c>
      <c r="C311" s="2">
        <v>44955</v>
      </c>
      <c r="D311" t="s">
        <v>649</v>
      </c>
      <c r="E311" t="s">
        <v>657</v>
      </c>
      <c r="F311" t="s">
        <v>679</v>
      </c>
      <c r="G311" t="s">
        <v>703</v>
      </c>
      <c r="H311" t="s">
        <v>711</v>
      </c>
      <c r="I311" t="s">
        <v>726</v>
      </c>
      <c r="J311" t="s">
        <v>731</v>
      </c>
      <c r="K311" t="s">
        <v>1043</v>
      </c>
      <c r="L311">
        <v>401.66</v>
      </c>
      <c r="M311">
        <v>772.09</v>
      </c>
      <c r="N311">
        <v>8.8999999999999996E-2</v>
      </c>
      <c r="O311">
        <v>14</v>
      </c>
    </row>
    <row r="312" spans="1:15">
      <c r="A312" t="s">
        <v>324</v>
      </c>
      <c r="B312" s="2">
        <v>45655</v>
      </c>
      <c r="C312" s="2">
        <v>45669</v>
      </c>
      <c r="D312" t="s">
        <v>649</v>
      </c>
      <c r="E312" t="s">
        <v>658</v>
      </c>
      <c r="F312" t="s">
        <v>693</v>
      </c>
      <c r="G312" t="s">
        <v>701</v>
      </c>
      <c r="H312" t="s">
        <v>711</v>
      </c>
      <c r="I312" t="s">
        <v>717</v>
      </c>
      <c r="J312" t="s">
        <v>732</v>
      </c>
      <c r="K312" t="s">
        <v>1044</v>
      </c>
      <c r="L312">
        <v>1399.72</v>
      </c>
      <c r="M312">
        <v>3149.21</v>
      </c>
      <c r="N312">
        <v>0.185</v>
      </c>
      <c r="O312">
        <v>12</v>
      </c>
    </row>
    <row r="313" spans="1:15">
      <c r="A313" t="s">
        <v>325</v>
      </c>
      <c r="B313" s="2">
        <v>45435</v>
      </c>
      <c r="C313" s="2">
        <v>45449</v>
      </c>
      <c r="D313" t="s">
        <v>648</v>
      </c>
      <c r="E313" t="s">
        <v>655</v>
      </c>
      <c r="F313" t="s">
        <v>692</v>
      </c>
      <c r="G313" t="s">
        <v>703</v>
      </c>
      <c r="H313" t="s">
        <v>708</v>
      </c>
      <c r="I313" t="s">
        <v>714</v>
      </c>
      <c r="J313" t="s">
        <v>729</v>
      </c>
      <c r="K313" t="s">
        <v>1045</v>
      </c>
      <c r="L313">
        <v>51.13</v>
      </c>
      <c r="M313">
        <v>57.53</v>
      </c>
      <c r="N313">
        <v>4.4999999999999998E-2</v>
      </c>
      <c r="O313">
        <v>16</v>
      </c>
    </row>
    <row r="314" spans="1:15">
      <c r="A314" t="s">
        <v>326</v>
      </c>
      <c r="B314" s="2">
        <v>45101</v>
      </c>
      <c r="C314" s="2">
        <v>45099</v>
      </c>
      <c r="D314" t="s">
        <v>648</v>
      </c>
      <c r="E314" t="s">
        <v>653</v>
      </c>
      <c r="F314" t="s">
        <v>667</v>
      </c>
      <c r="G314" t="s">
        <v>703</v>
      </c>
      <c r="H314" t="s">
        <v>707</v>
      </c>
      <c r="I314" t="s">
        <v>724</v>
      </c>
      <c r="J314" t="s">
        <v>733</v>
      </c>
      <c r="K314" t="s">
        <v>1046</v>
      </c>
      <c r="L314">
        <v>471.42</v>
      </c>
      <c r="M314">
        <v>824.81</v>
      </c>
      <c r="N314">
        <v>8.7999999999999995E-2</v>
      </c>
      <c r="O314">
        <v>15</v>
      </c>
    </row>
    <row r="315" spans="1:15">
      <c r="A315" t="s">
        <v>327</v>
      </c>
      <c r="B315" s="2">
        <v>45600</v>
      </c>
      <c r="C315" s="2">
        <v>45601</v>
      </c>
      <c r="D315" t="s">
        <v>649</v>
      </c>
      <c r="E315" t="s">
        <v>658</v>
      </c>
      <c r="F315" t="s">
        <v>683</v>
      </c>
      <c r="G315" t="s">
        <v>701</v>
      </c>
      <c r="H315" t="s">
        <v>707</v>
      </c>
      <c r="I315" t="s">
        <v>724</v>
      </c>
      <c r="J315" t="s">
        <v>728</v>
      </c>
      <c r="K315" t="s">
        <v>1047</v>
      </c>
      <c r="L315">
        <v>840.68</v>
      </c>
      <c r="M315">
        <v>1493.53</v>
      </c>
      <c r="N315">
        <v>0</v>
      </c>
      <c r="O315">
        <v>27</v>
      </c>
    </row>
    <row r="316" spans="1:15">
      <c r="A316" t="s">
        <v>328</v>
      </c>
      <c r="B316" s="2">
        <v>45451</v>
      </c>
      <c r="C316" s="2">
        <v>45467</v>
      </c>
      <c r="D316" t="s">
        <v>646</v>
      </c>
      <c r="E316" t="s">
        <v>661</v>
      </c>
      <c r="F316" t="s">
        <v>687</v>
      </c>
      <c r="G316" t="s">
        <v>702</v>
      </c>
      <c r="H316" t="s">
        <v>710</v>
      </c>
      <c r="I316" t="s">
        <v>722</v>
      </c>
      <c r="J316" t="s">
        <v>732</v>
      </c>
      <c r="K316" t="s">
        <v>1048</v>
      </c>
      <c r="L316">
        <v>597.85</v>
      </c>
      <c r="M316">
        <v>741.92</v>
      </c>
      <c r="N316">
        <v>3.1E-2</v>
      </c>
      <c r="O316">
        <v>7</v>
      </c>
    </row>
    <row r="317" spans="1:15">
      <c r="A317" t="s">
        <v>329</v>
      </c>
      <c r="B317" s="2">
        <v>45809</v>
      </c>
      <c r="C317" s="2">
        <v>45814</v>
      </c>
      <c r="D317" t="s">
        <v>649</v>
      </c>
      <c r="E317" t="s">
        <v>657</v>
      </c>
      <c r="F317" t="s">
        <v>690</v>
      </c>
      <c r="G317" t="s">
        <v>704</v>
      </c>
      <c r="H317" t="s">
        <v>710</v>
      </c>
      <c r="I317" t="s">
        <v>715</v>
      </c>
      <c r="J317" t="s">
        <v>727</v>
      </c>
      <c r="K317" t="s">
        <v>1049</v>
      </c>
      <c r="L317">
        <v>379.45</v>
      </c>
      <c r="M317">
        <v>742.23</v>
      </c>
      <c r="N317">
        <v>0.09</v>
      </c>
      <c r="O317">
        <v>13</v>
      </c>
    </row>
    <row r="318" spans="1:15">
      <c r="A318" t="s">
        <v>330</v>
      </c>
      <c r="B318" s="2">
        <v>45052</v>
      </c>
      <c r="C318" s="2">
        <v>45060</v>
      </c>
      <c r="D318" t="s">
        <v>647</v>
      </c>
      <c r="E318" t="s">
        <v>652</v>
      </c>
      <c r="F318" t="s">
        <v>666</v>
      </c>
      <c r="G318" t="s">
        <v>706</v>
      </c>
      <c r="H318" t="s">
        <v>709</v>
      </c>
      <c r="I318" t="s">
        <v>717</v>
      </c>
      <c r="J318" t="s">
        <v>730</v>
      </c>
      <c r="K318" t="s">
        <v>1050</v>
      </c>
      <c r="L318">
        <v>291.18</v>
      </c>
      <c r="M318">
        <v>479.54</v>
      </c>
      <c r="N318">
        <v>0.14099999999999999</v>
      </c>
      <c r="O318">
        <v>22</v>
      </c>
    </row>
    <row r="319" spans="1:15">
      <c r="A319" t="s">
        <v>331</v>
      </c>
      <c r="B319" s="2">
        <v>45244</v>
      </c>
      <c r="C319" s="2">
        <v>45260</v>
      </c>
      <c r="D319" t="s">
        <v>648</v>
      </c>
      <c r="E319" t="s">
        <v>655</v>
      </c>
      <c r="F319" t="s">
        <v>670</v>
      </c>
      <c r="G319" t="s">
        <v>706</v>
      </c>
      <c r="H319" t="s">
        <v>711</v>
      </c>
      <c r="I319" t="s">
        <v>723</v>
      </c>
      <c r="J319" t="s">
        <v>729</v>
      </c>
      <c r="K319" t="s">
        <v>1051</v>
      </c>
      <c r="L319">
        <v>1017.92</v>
      </c>
      <c r="M319">
        <v>1175.25</v>
      </c>
      <c r="N319">
        <v>7.4999999999999997E-2</v>
      </c>
      <c r="O319">
        <v>15</v>
      </c>
    </row>
    <row r="320" spans="1:15">
      <c r="A320" t="s">
        <v>332</v>
      </c>
      <c r="B320" s="2">
        <v>45748</v>
      </c>
      <c r="C320" s="2">
        <v>45774</v>
      </c>
      <c r="D320" t="s">
        <v>648</v>
      </c>
      <c r="E320" t="s">
        <v>660</v>
      </c>
      <c r="F320" t="s">
        <v>686</v>
      </c>
      <c r="G320" t="s">
        <v>701</v>
      </c>
      <c r="H320" t="s">
        <v>711</v>
      </c>
      <c r="I320" t="s">
        <v>714</v>
      </c>
      <c r="J320" t="s">
        <v>732</v>
      </c>
      <c r="K320" t="s">
        <v>1052</v>
      </c>
      <c r="L320">
        <v>156.55000000000001</v>
      </c>
      <c r="M320">
        <v>227.45</v>
      </c>
      <c r="N320">
        <v>1.4E-2</v>
      </c>
      <c r="O320">
        <v>13</v>
      </c>
    </row>
    <row r="321" spans="1:15">
      <c r="A321" t="s">
        <v>333</v>
      </c>
      <c r="B321" s="2">
        <v>45008</v>
      </c>
      <c r="C321" s="2">
        <v>45031</v>
      </c>
      <c r="D321" t="s">
        <v>646</v>
      </c>
      <c r="E321" t="s">
        <v>650</v>
      </c>
      <c r="F321" t="s">
        <v>675</v>
      </c>
      <c r="G321" t="s">
        <v>705</v>
      </c>
      <c r="H321" t="s">
        <v>707</v>
      </c>
      <c r="I321" t="s">
        <v>712</v>
      </c>
      <c r="J321" t="s">
        <v>733</v>
      </c>
      <c r="K321" t="s">
        <v>1053</v>
      </c>
      <c r="L321">
        <v>875.36</v>
      </c>
      <c r="M321">
        <v>1178.6199999999999</v>
      </c>
      <c r="N321">
        <v>0.151</v>
      </c>
      <c r="O321">
        <v>53</v>
      </c>
    </row>
    <row r="322" spans="1:15">
      <c r="A322" t="s">
        <v>334</v>
      </c>
      <c r="B322" s="2">
        <v>45440</v>
      </c>
      <c r="C322" s="2">
        <v>45461</v>
      </c>
      <c r="D322" t="s">
        <v>649</v>
      </c>
      <c r="E322" t="s">
        <v>656</v>
      </c>
      <c r="F322" t="s">
        <v>698</v>
      </c>
      <c r="G322" t="s">
        <v>705</v>
      </c>
      <c r="H322" t="s">
        <v>708</v>
      </c>
      <c r="I322" t="s">
        <v>718</v>
      </c>
      <c r="J322" t="s">
        <v>730</v>
      </c>
      <c r="K322" t="s">
        <v>1054</v>
      </c>
      <c r="L322">
        <v>986.85</v>
      </c>
      <c r="M322">
        <v>2422.1</v>
      </c>
      <c r="N322">
        <v>7.5999999999999998E-2</v>
      </c>
      <c r="O322">
        <v>10</v>
      </c>
    </row>
    <row r="323" spans="1:15">
      <c r="A323" t="s">
        <v>335</v>
      </c>
      <c r="B323" s="2">
        <v>45293</v>
      </c>
      <c r="C323" s="2">
        <v>45292</v>
      </c>
      <c r="D323" t="s">
        <v>648</v>
      </c>
      <c r="E323" t="s">
        <v>660</v>
      </c>
      <c r="F323" t="s">
        <v>677</v>
      </c>
      <c r="G323" t="s">
        <v>702</v>
      </c>
      <c r="H323" t="s">
        <v>709</v>
      </c>
      <c r="I323" t="s">
        <v>717</v>
      </c>
      <c r="J323" t="s">
        <v>729</v>
      </c>
      <c r="K323" t="s">
        <v>1055</v>
      </c>
      <c r="L323">
        <v>404.77</v>
      </c>
      <c r="M323">
        <v>433.88</v>
      </c>
      <c r="N323">
        <v>0.215</v>
      </c>
      <c r="O323">
        <v>22</v>
      </c>
    </row>
    <row r="324" spans="1:15">
      <c r="A324" t="s">
        <v>336</v>
      </c>
      <c r="B324" s="2">
        <v>44985</v>
      </c>
      <c r="C324" s="2">
        <v>44984</v>
      </c>
      <c r="D324" t="s">
        <v>649</v>
      </c>
      <c r="E324" t="s">
        <v>657</v>
      </c>
      <c r="F324" t="s">
        <v>673</v>
      </c>
      <c r="G324" t="s">
        <v>701</v>
      </c>
      <c r="H324" t="s">
        <v>707</v>
      </c>
      <c r="I324" t="s">
        <v>723</v>
      </c>
      <c r="J324" t="s">
        <v>729</v>
      </c>
      <c r="K324" t="s">
        <v>1056</v>
      </c>
      <c r="L324">
        <v>1299.81</v>
      </c>
      <c r="M324">
        <v>3149.13</v>
      </c>
      <c r="N324">
        <v>0.10299999999999999</v>
      </c>
      <c r="O324">
        <v>14</v>
      </c>
    </row>
    <row r="325" spans="1:15">
      <c r="A325" t="s">
        <v>337</v>
      </c>
      <c r="B325" s="2">
        <v>45340</v>
      </c>
      <c r="C325" s="2">
        <v>45362</v>
      </c>
      <c r="D325" t="s">
        <v>648</v>
      </c>
      <c r="E325" t="s">
        <v>655</v>
      </c>
      <c r="F325" t="s">
        <v>670</v>
      </c>
      <c r="G325" t="s">
        <v>704</v>
      </c>
      <c r="H325" t="s">
        <v>708</v>
      </c>
      <c r="I325" t="s">
        <v>720</v>
      </c>
      <c r="J325" t="s">
        <v>727</v>
      </c>
      <c r="K325" t="s">
        <v>1057</v>
      </c>
      <c r="L325">
        <v>80.48</v>
      </c>
      <c r="M325">
        <v>65.650000000000006</v>
      </c>
      <c r="N325">
        <v>0.17599999999999999</v>
      </c>
      <c r="O325">
        <v>13</v>
      </c>
    </row>
    <row r="326" spans="1:15">
      <c r="A326" t="s">
        <v>338</v>
      </c>
      <c r="B326" s="2">
        <v>45544</v>
      </c>
      <c r="C326" s="2">
        <v>45573</v>
      </c>
      <c r="D326" t="s">
        <v>648</v>
      </c>
      <c r="E326" t="s">
        <v>655</v>
      </c>
      <c r="F326" t="s">
        <v>670</v>
      </c>
      <c r="G326" t="s">
        <v>702</v>
      </c>
      <c r="H326" t="s">
        <v>711</v>
      </c>
      <c r="I326" t="s">
        <v>713</v>
      </c>
      <c r="J326" t="s">
        <v>727</v>
      </c>
      <c r="K326" t="s">
        <v>1058</v>
      </c>
      <c r="L326">
        <v>1010.33</v>
      </c>
      <c r="M326">
        <v>2492.14</v>
      </c>
      <c r="N326">
        <v>5.0999999999999997E-2</v>
      </c>
      <c r="O326">
        <v>11</v>
      </c>
    </row>
    <row r="327" spans="1:15">
      <c r="A327" t="s">
        <v>339</v>
      </c>
      <c r="B327" s="2">
        <v>45053</v>
      </c>
      <c r="C327" s="2">
        <v>45075</v>
      </c>
      <c r="D327" t="s">
        <v>646</v>
      </c>
      <c r="E327" t="s">
        <v>661</v>
      </c>
      <c r="F327" t="s">
        <v>687</v>
      </c>
      <c r="G327" t="s">
        <v>702</v>
      </c>
      <c r="H327" t="s">
        <v>710</v>
      </c>
      <c r="I327" t="s">
        <v>723</v>
      </c>
      <c r="J327" t="s">
        <v>733</v>
      </c>
      <c r="K327" t="s">
        <v>1059</v>
      </c>
      <c r="L327">
        <v>653.86</v>
      </c>
      <c r="M327">
        <v>931.84</v>
      </c>
      <c r="N327">
        <v>0.121</v>
      </c>
      <c r="O327">
        <v>12</v>
      </c>
    </row>
    <row r="328" spans="1:15">
      <c r="A328" t="s">
        <v>340</v>
      </c>
      <c r="B328" s="2">
        <v>45303</v>
      </c>
      <c r="C328" s="2">
        <v>45320</v>
      </c>
      <c r="D328" t="s">
        <v>647</v>
      </c>
      <c r="E328" t="s">
        <v>654</v>
      </c>
      <c r="F328" t="s">
        <v>696</v>
      </c>
      <c r="G328" t="s">
        <v>705</v>
      </c>
      <c r="H328" t="s">
        <v>711</v>
      </c>
      <c r="I328" t="s">
        <v>717</v>
      </c>
      <c r="J328" t="s">
        <v>727</v>
      </c>
      <c r="K328" t="s">
        <v>1060</v>
      </c>
      <c r="L328">
        <v>310.02</v>
      </c>
      <c r="M328">
        <v>619.51</v>
      </c>
      <c r="N328">
        <v>4.2000000000000003E-2</v>
      </c>
      <c r="O328">
        <v>4</v>
      </c>
    </row>
    <row r="329" spans="1:15">
      <c r="A329" t="s">
        <v>341</v>
      </c>
      <c r="B329" s="2">
        <v>45087</v>
      </c>
      <c r="C329" s="2">
        <v>45095</v>
      </c>
      <c r="D329" t="s">
        <v>646</v>
      </c>
      <c r="E329" t="s">
        <v>650</v>
      </c>
      <c r="F329" t="s">
        <v>678</v>
      </c>
      <c r="G329" t="s">
        <v>706</v>
      </c>
      <c r="H329" t="s">
        <v>711</v>
      </c>
      <c r="I329" t="s">
        <v>722</v>
      </c>
      <c r="J329" t="s">
        <v>730</v>
      </c>
      <c r="K329" t="s">
        <v>1061</v>
      </c>
      <c r="L329">
        <v>894.23</v>
      </c>
      <c r="M329">
        <v>1421.55</v>
      </c>
      <c r="N329">
        <v>0.109</v>
      </c>
      <c r="O329">
        <v>3</v>
      </c>
    </row>
    <row r="330" spans="1:15">
      <c r="A330" t="s">
        <v>342</v>
      </c>
      <c r="B330" s="2">
        <v>45796</v>
      </c>
      <c r="C330" s="2">
        <v>45794</v>
      </c>
      <c r="D330" t="s">
        <v>648</v>
      </c>
      <c r="E330" t="s">
        <v>655</v>
      </c>
      <c r="F330" t="s">
        <v>670</v>
      </c>
      <c r="G330" t="s">
        <v>705</v>
      </c>
      <c r="H330" t="s">
        <v>710</v>
      </c>
      <c r="I330" t="s">
        <v>716</v>
      </c>
      <c r="J330" t="s">
        <v>732</v>
      </c>
      <c r="K330" t="s">
        <v>1062</v>
      </c>
      <c r="L330">
        <v>383.77</v>
      </c>
      <c r="M330">
        <v>952.56</v>
      </c>
      <c r="N330">
        <v>0.34599999999999997</v>
      </c>
      <c r="O330">
        <v>10</v>
      </c>
    </row>
    <row r="331" spans="1:15">
      <c r="A331" t="s">
        <v>343</v>
      </c>
      <c r="B331" s="2">
        <v>45221</v>
      </c>
      <c r="C331" s="2">
        <v>45246</v>
      </c>
      <c r="D331" t="s">
        <v>648</v>
      </c>
      <c r="E331" t="s">
        <v>653</v>
      </c>
      <c r="F331" t="s">
        <v>667</v>
      </c>
      <c r="G331" t="s">
        <v>705</v>
      </c>
      <c r="H331" t="s">
        <v>709</v>
      </c>
      <c r="I331" t="s">
        <v>714</v>
      </c>
      <c r="J331" t="s">
        <v>731</v>
      </c>
      <c r="K331" t="s">
        <v>1063</v>
      </c>
      <c r="L331">
        <v>1373.31</v>
      </c>
      <c r="M331">
        <v>3154.14</v>
      </c>
      <c r="N331">
        <v>0.2</v>
      </c>
      <c r="O331">
        <v>11</v>
      </c>
    </row>
    <row r="332" spans="1:15">
      <c r="A332" t="s">
        <v>344</v>
      </c>
      <c r="B332" s="2">
        <v>45668</v>
      </c>
      <c r="C332" s="2">
        <v>45680</v>
      </c>
      <c r="D332" t="s">
        <v>648</v>
      </c>
      <c r="E332" t="s">
        <v>660</v>
      </c>
      <c r="F332" t="s">
        <v>697</v>
      </c>
      <c r="G332" t="s">
        <v>704</v>
      </c>
      <c r="H332" t="s">
        <v>710</v>
      </c>
      <c r="I332" t="s">
        <v>722</v>
      </c>
      <c r="J332" t="s">
        <v>730</v>
      </c>
      <c r="K332" t="s">
        <v>1064</v>
      </c>
      <c r="L332">
        <v>100.69</v>
      </c>
      <c r="M332">
        <v>226.14</v>
      </c>
      <c r="N332">
        <v>6.5000000000000002E-2</v>
      </c>
      <c r="O332">
        <v>12</v>
      </c>
    </row>
    <row r="333" spans="1:15">
      <c r="A333" t="s">
        <v>345</v>
      </c>
      <c r="B333" s="2">
        <v>45914</v>
      </c>
      <c r="C333" s="2">
        <v>45926</v>
      </c>
      <c r="D333" t="s">
        <v>649</v>
      </c>
      <c r="E333" t="s">
        <v>658</v>
      </c>
      <c r="F333" t="s">
        <v>683</v>
      </c>
      <c r="G333" t="s">
        <v>705</v>
      </c>
      <c r="H333" t="s">
        <v>711</v>
      </c>
      <c r="I333" t="s">
        <v>725</v>
      </c>
      <c r="J333" t="s">
        <v>729</v>
      </c>
      <c r="K333" t="s">
        <v>1065</v>
      </c>
      <c r="L333">
        <v>425.15</v>
      </c>
      <c r="M333">
        <v>885.92</v>
      </c>
      <c r="N333">
        <v>0.23899999999999999</v>
      </c>
      <c r="O333">
        <v>13</v>
      </c>
    </row>
    <row r="334" spans="1:15">
      <c r="A334" t="s">
        <v>346</v>
      </c>
      <c r="B334" s="2">
        <v>45168</v>
      </c>
      <c r="C334" s="2">
        <v>45172</v>
      </c>
      <c r="D334" t="s">
        <v>647</v>
      </c>
      <c r="E334" t="s">
        <v>654</v>
      </c>
      <c r="F334" t="s">
        <v>680</v>
      </c>
      <c r="G334" t="s">
        <v>705</v>
      </c>
      <c r="H334" t="s">
        <v>709</v>
      </c>
      <c r="I334" t="s">
        <v>716</v>
      </c>
      <c r="J334" t="s">
        <v>733</v>
      </c>
      <c r="K334" t="s">
        <v>1066</v>
      </c>
      <c r="L334">
        <v>1082.25</v>
      </c>
      <c r="M334">
        <v>2433.34</v>
      </c>
      <c r="N334">
        <v>0.27</v>
      </c>
      <c r="O334">
        <v>4</v>
      </c>
    </row>
    <row r="335" spans="1:15">
      <c r="A335" t="s">
        <v>347</v>
      </c>
      <c r="B335" s="2">
        <v>45245</v>
      </c>
      <c r="C335" s="2">
        <v>45266</v>
      </c>
      <c r="D335" t="s">
        <v>649</v>
      </c>
      <c r="E335" t="s">
        <v>658</v>
      </c>
      <c r="F335" t="s">
        <v>693</v>
      </c>
      <c r="G335" t="s">
        <v>702</v>
      </c>
      <c r="H335" t="s">
        <v>711</v>
      </c>
      <c r="I335" t="s">
        <v>722</v>
      </c>
      <c r="J335" t="s">
        <v>733</v>
      </c>
      <c r="K335" t="s">
        <v>1067</v>
      </c>
      <c r="L335">
        <v>1184.99</v>
      </c>
      <c r="M335">
        <v>1154.3399999999999</v>
      </c>
      <c r="N335">
        <v>2.8000000000000001E-2</v>
      </c>
      <c r="O335">
        <v>5</v>
      </c>
    </row>
    <row r="336" spans="1:15">
      <c r="A336" t="s">
        <v>348</v>
      </c>
      <c r="B336" s="2">
        <v>45774</v>
      </c>
      <c r="C336" s="2">
        <v>45804</v>
      </c>
      <c r="D336" t="s">
        <v>647</v>
      </c>
      <c r="E336" t="s">
        <v>654</v>
      </c>
      <c r="G336" t="s">
        <v>706</v>
      </c>
      <c r="H336" t="s">
        <v>709</v>
      </c>
      <c r="I336" t="s">
        <v>722</v>
      </c>
      <c r="J336" t="s">
        <v>730</v>
      </c>
      <c r="K336" t="s">
        <v>1068</v>
      </c>
      <c r="L336">
        <v>481.32</v>
      </c>
      <c r="M336">
        <v>1135.99</v>
      </c>
      <c r="N336">
        <v>0.14499999999999999</v>
      </c>
      <c r="O336">
        <v>5</v>
      </c>
    </row>
    <row r="337" spans="1:15">
      <c r="A337" t="s">
        <v>349</v>
      </c>
      <c r="B337" s="2">
        <v>45391</v>
      </c>
      <c r="C337" s="2">
        <v>45400</v>
      </c>
      <c r="D337" t="s">
        <v>649</v>
      </c>
      <c r="E337" t="s">
        <v>657</v>
      </c>
      <c r="F337" t="s">
        <v>679</v>
      </c>
      <c r="G337" t="s">
        <v>704</v>
      </c>
      <c r="H337" t="s">
        <v>708</v>
      </c>
      <c r="I337" t="s">
        <v>718</v>
      </c>
      <c r="J337" t="s">
        <v>728</v>
      </c>
      <c r="K337" t="s">
        <v>1069</v>
      </c>
      <c r="L337">
        <v>1288.8499999999999</v>
      </c>
      <c r="M337">
        <v>2751.84</v>
      </c>
      <c r="N337">
        <v>0.158</v>
      </c>
      <c r="O337">
        <v>7</v>
      </c>
    </row>
    <row r="338" spans="1:15">
      <c r="A338" t="s">
        <v>350</v>
      </c>
      <c r="B338" s="2">
        <v>45484</v>
      </c>
      <c r="C338" s="2">
        <v>45504</v>
      </c>
      <c r="D338" t="s">
        <v>647</v>
      </c>
      <c r="E338" t="s">
        <v>659</v>
      </c>
      <c r="F338" t="s">
        <v>676</v>
      </c>
      <c r="G338" t="s">
        <v>704</v>
      </c>
      <c r="H338" t="s">
        <v>708</v>
      </c>
      <c r="I338" t="s">
        <v>715</v>
      </c>
      <c r="J338" t="s">
        <v>730</v>
      </c>
      <c r="K338" t="s">
        <v>1070</v>
      </c>
      <c r="L338">
        <v>647.26</v>
      </c>
      <c r="M338">
        <v>1374.72</v>
      </c>
      <c r="N338">
        <v>6.6000000000000003E-2</v>
      </c>
      <c r="O338">
        <v>22</v>
      </c>
    </row>
    <row r="339" spans="1:15">
      <c r="A339" t="s">
        <v>351</v>
      </c>
      <c r="B339" s="2">
        <v>45340</v>
      </c>
      <c r="C339" s="2">
        <v>45354</v>
      </c>
      <c r="D339" t="s">
        <v>648</v>
      </c>
      <c r="E339" t="s">
        <v>655</v>
      </c>
      <c r="G339" t="s">
        <v>706</v>
      </c>
      <c r="H339" t="s">
        <v>710</v>
      </c>
      <c r="I339" t="s">
        <v>720</v>
      </c>
      <c r="J339" t="s">
        <v>728</v>
      </c>
      <c r="K339" t="s">
        <v>1071</v>
      </c>
      <c r="L339">
        <v>624.23</v>
      </c>
      <c r="M339">
        <v>1318.37</v>
      </c>
      <c r="N339">
        <v>0.21</v>
      </c>
      <c r="O339">
        <v>37</v>
      </c>
    </row>
    <row r="340" spans="1:15">
      <c r="A340" t="s">
        <v>352</v>
      </c>
      <c r="B340" s="2">
        <v>45132</v>
      </c>
      <c r="C340" s="2">
        <v>45148</v>
      </c>
      <c r="D340" t="s">
        <v>646</v>
      </c>
      <c r="E340" t="s">
        <v>651</v>
      </c>
      <c r="F340" t="s">
        <v>663</v>
      </c>
      <c r="G340" t="s">
        <v>701</v>
      </c>
      <c r="H340" t="s">
        <v>710</v>
      </c>
      <c r="I340" t="s">
        <v>714</v>
      </c>
      <c r="J340" t="s">
        <v>733</v>
      </c>
      <c r="K340" t="s">
        <v>1072</v>
      </c>
      <c r="L340">
        <v>506.83</v>
      </c>
      <c r="M340">
        <v>441.74</v>
      </c>
      <c r="N340">
        <v>0.24</v>
      </c>
      <c r="O340">
        <v>9</v>
      </c>
    </row>
    <row r="341" spans="1:15">
      <c r="A341" t="s">
        <v>353</v>
      </c>
      <c r="B341" s="2">
        <v>45121</v>
      </c>
      <c r="C341" s="2">
        <v>45128</v>
      </c>
      <c r="D341" t="s">
        <v>646</v>
      </c>
      <c r="E341" t="s">
        <v>661</v>
      </c>
      <c r="F341" t="s">
        <v>687</v>
      </c>
      <c r="G341" t="s">
        <v>706</v>
      </c>
      <c r="H341" t="s">
        <v>709</v>
      </c>
      <c r="J341" t="s">
        <v>732</v>
      </c>
      <c r="K341" t="s">
        <v>1073</v>
      </c>
      <c r="L341">
        <v>620.74</v>
      </c>
      <c r="M341">
        <v>1330.07</v>
      </c>
      <c r="N341">
        <v>0.29899999999999999</v>
      </c>
      <c r="O341">
        <v>28</v>
      </c>
    </row>
    <row r="342" spans="1:15">
      <c r="A342" t="s">
        <v>354</v>
      </c>
      <c r="B342" s="2">
        <v>45131</v>
      </c>
      <c r="C342" s="2">
        <v>45157</v>
      </c>
      <c r="D342" t="s">
        <v>646</v>
      </c>
      <c r="E342" t="s">
        <v>650</v>
      </c>
      <c r="F342" t="s">
        <v>664</v>
      </c>
      <c r="G342" t="s">
        <v>706</v>
      </c>
      <c r="H342" t="s">
        <v>710</v>
      </c>
      <c r="I342" t="s">
        <v>724</v>
      </c>
      <c r="J342" t="s">
        <v>733</v>
      </c>
      <c r="K342" t="s">
        <v>1074</v>
      </c>
      <c r="L342">
        <v>661.45</v>
      </c>
      <c r="M342">
        <v>1634.86</v>
      </c>
      <c r="N342">
        <v>0.56499999999999995</v>
      </c>
      <c r="O342">
        <v>24</v>
      </c>
    </row>
    <row r="343" spans="1:15">
      <c r="A343" t="s">
        <v>355</v>
      </c>
      <c r="B343" s="2">
        <v>45029</v>
      </c>
      <c r="C343" s="2">
        <v>45027</v>
      </c>
      <c r="D343" t="s">
        <v>648</v>
      </c>
      <c r="E343" t="s">
        <v>660</v>
      </c>
      <c r="F343" t="s">
        <v>686</v>
      </c>
      <c r="G343" t="s">
        <v>702</v>
      </c>
      <c r="H343" t="s">
        <v>709</v>
      </c>
      <c r="I343" t="s">
        <v>715</v>
      </c>
      <c r="J343" t="s">
        <v>729</v>
      </c>
      <c r="K343" t="s">
        <v>1075</v>
      </c>
      <c r="L343">
        <v>32.1</v>
      </c>
      <c r="M343">
        <v>70.599999999999994</v>
      </c>
      <c r="N343">
        <v>0.28199999999999997</v>
      </c>
      <c r="O343">
        <v>22</v>
      </c>
    </row>
    <row r="344" spans="1:15">
      <c r="A344" t="s">
        <v>356</v>
      </c>
      <c r="B344" s="2">
        <v>45594</v>
      </c>
      <c r="C344" s="2">
        <v>45600</v>
      </c>
      <c r="D344" t="s">
        <v>646</v>
      </c>
      <c r="E344" t="s">
        <v>650</v>
      </c>
      <c r="F344" t="s">
        <v>664</v>
      </c>
      <c r="G344" t="s">
        <v>701</v>
      </c>
      <c r="H344" t="s">
        <v>710</v>
      </c>
      <c r="I344" t="s">
        <v>724</v>
      </c>
      <c r="J344" t="s">
        <v>728</v>
      </c>
      <c r="K344" t="s">
        <v>1076</v>
      </c>
      <c r="L344">
        <v>805.81</v>
      </c>
      <c r="M344">
        <v>1823.04</v>
      </c>
      <c r="N344">
        <v>0</v>
      </c>
      <c r="O344">
        <v>11</v>
      </c>
    </row>
    <row r="345" spans="1:15">
      <c r="A345" t="s">
        <v>357</v>
      </c>
      <c r="B345" s="2">
        <v>45339</v>
      </c>
      <c r="C345" s="2">
        <v>45355</v>
      </c>
      <c r="D345" t="s">
        <v>647</v>
      </c>
      <c r="E345" t="s">
        <v>654</v>
      </c>
      <c r="F345" t="s">
        <v>680</v>
      </c>
      <c r="G345" t="s">
        <v>705</v>
      </c>
      <c r="H345" t="s">
        <v>709</v>
      </c>
      <c r="I345" t="s">
        <v>721</v>
      </c>
      <c r="J345" t="s">
        <v>730</v>
      </c>
      <c r="K345" t="s">
        <v>1077</v>
      </c>
      <c r="L345">
        <v>1231.8</v>
      </c>
      <c r="M345">
        <v>2015.99</v>
      </c>
      <c r="N345">
        <v>0.26100000000000001</v>
      </c>
      <c r="O345">
        <v>6</v>
      </c>
    </row>
    <row r="346" spans="1:15">
      <c r="A346" t="s">
        <v>358</v>
      </c>
      <c r="B346" s="2">
        <v>45486</v>
      </c>
      <c r="C346" s="2">
        <v>45485</v>
      </c>
      <c r="D346" t="s">
        <v>647</v>
      </c>
      <c r="E346" t="s">
        <v>652</v>
      </c>
      <c r="F346" t="s">
        <v>694</v>
      </c>
      <c r="G346" t="s">
        <v>705</v>
      </c>
      <c r="H346" t="s">
        <v>709</v>
      </c>
      <c r="I346" t="s">
        <v>721</v>
      </c>
      <c r="J346" t="s">
        <v>729</v>
      </c>
      <c r="K346" t="s">
        <v>1078</v>
      </c>
      <c r="L346">
        <v>105.13</v>
      </c>
      <c r="M346">
        <v>244.13</v>
      </c>
      <c r="N346">
        <v>7.0999999999999994E-2</v>
      </c>
      <c r="O346">
        <v>14</v>
      </c>
    </row>
    <row r="347" spans="1:15">
      <c r="A347" t="s">
        <v>359</v>
      </c>
      <c r="B347" s="2">
        <v>45261</v>
      </c>
      <c r="C347" s="2">
        <v>45278</v>
      </c>
      <c r="D347" t="s">
        <v>647</v>
      </c>
      <c r="E347" t="s">
        <v>652</v>
      </c>
      <c r="F347" t="s">
        <v>694</v>
      </c>
      <c r="G347" t="s">
        <v>705</v>
      </c>
      <c r="H347" t="s">
        <v>711</v>
      </c>
      <c r="I347" t="s">
        <v>725</v>
      </c>
      <c r="J347" t="s">
        <v>731</v>
      </c>
      <c r="K347" t="s">
        <v>1079</v>
      </c>
      <c r="L347">
        <v>1495.79</v>
      </c>
      <c r="M347">
        <v>2783.12</v>
      </c>
      <c r="N347">
        <v>0.02</v>
      </c>
      <c r="O347">
        <v>5</v>
      </c>
    </row>
    <row r="348" spans="1:15">
      <c r="A348" t="s">
        <v>360</v>
      </c>
      <c r="B348" s="2">
        <v>45498</v>
      </c>
      <c r="C348" s="2">
        <v>45506</v>
      </c>
      <c r="D348" t="s">
        <v>648</v>
      </c>
      <c r="E348" t="s">
        <v>653</v>
      </c>
      <c r="F348" t="s">
        <v>681</v>
      </c>
      <c r="G348" t="s">
        <v>704</v>
      </c>
      <c r="H348" t="s">
        <v>711</v>
      </c>
      <c r="I348" t="s">
        <v>713</v>
      </c>
      <c r="J348" t="s">
        <v>733</v>
      </c>
      <c r="K348" t="s">
        <v>1080</v>
      </c>
      <c r="L348">
        <v>986.81</v>
      </c>
      <c r="M348">
        <v>2050.31</v>
      </c>
      <c r="N348">
        <v>0.10299999999999999</v>
      </c>
      <c r="O348">
        <v>43</v>
      </c>
    </row>
    <row r="349" spans="1:15">
      <c r="A349" t="s">
        <v>361</v>
      </c>
      <c r="B349" s="2">
        <v>45050</v>
      </c>
      <c r="C349" s="2">
        <v>45062</v>
      </c>
      <c r="D349" t="s">
        <v>646</v>
      </c>
      <c r="E349" t="s">
        <v>651</v>
      </c>
      <c r="F349" t="s">
        <v>669</v>
      </c>
      <c r="G349" t="s">
        <v>705</v>
      </c>
      <c r="H349" t="s">
        <v>709</v>
      </c>
      <c r="I349" t="s">
        <v>713</v>
      </c>
      <c r="J349" t="s">
        <v>730</v>
      </c>
      <c r="K349" t="s">
        <v>1081</v>
      </c>
      <c r="L349">
        <v>77.739999999999995</v>
      </c>
      <c r="M349">
        <v>147.12</v>
      </c>
      <c r="N349">
        <v>0</v>
      </c>
      <c r="O349">
        <v>15</v>
      </c>
    </row>
    <row r="350" spans="1:15">
      <c r="A350" t="s">
        <v>362</v>
      </c>
      <c r="B350" s="2">
        <v>45281</v>
      </c>
      <c r="C350" s="2">
        <v>45297</v>
      </c>
      <c r="D350" t="s">
        <v>646</v>
      </c>
      <c r="E350" t="s">
        <v>651</v>
      </c>
      <c r="G350" t="s">
        <v>701</v>
      </c>
      <c r="H350" t="s">
        <v>709</v>
      </c>
      <c r="I350" t="s">
        <v>723</v>
      </c>
      <c r="J350" t="s">
        <v>727</v>
      </c>
      <c r="K350" t="s">
        <v>1082</v>
      </c>
      <c r="L350">
        <v>932.61</v>
      </c>
      <c r="M350">
        <v>1982.98</v>
      </c>
      <c r="N350">
        <v>0.14399999999999999</v>
      </c>
      <c r="O350">
        <v>16</v>
      </c>
    </row>
    <row r="351" spans="1:15">
      <c r="A351" t="s">
        <v>363</v>
      </c>
      <c r="B351" s="2">
        <v>45825</v>
      </c>
      <c r="C351" s="2">
        <v>45843</v>
      </c>
      <c r="D351" t="s">
        <v>647</v>
      </c>
      <c r="E351" t="s">
        <v>654</v>
      </c>
      <c r="F351" t="s">
        <v>680</v>
      </c>
      <c r="G351" t="s">
        <v>704</v>
      </c>
      <c r="H351" t="s">
        <v>709</v>
      </c>
      <c r="I351" t="s">
        <v>716</v>
      </c>
      <c r="J351" t="s">
        <v>731</v>
      </c>
      <c r="K351" t="s">
        <v>1083</v>
      </c>
      <c r="L351">
        <v>982.93</v>
      </c>
      <c r="M351">
        <v>2299.3000000000002</v>
      </c>
      <c r="N351">
        <v>0.113</v>
      </c>
      <c r="O351">
        <v>6</v>
      </c>
    </row>
    <row r="352" spans="1:15">
      <c r="A352" t="s">
        <v>364</v>
      </c>
      <c r="B352" s="2">
        <v>44980</v>
      </c>
      <c r="C352" s="2">
        <v>44993</v>
      </c>
      <c r="D352" t="s">
        <v>649</v>
      </c>
      <c r="E352" t="s">
        <v>658</v>
      </c>
      <c r="F352" t="s">
        <v>693</v>
      </c>
      <c r="G352" t="s">
        <v>705</v>
      </c>
      <c r="H352" t="s">
        <v>711</v>
      </c>
      <c r="I352" t="s">
        <v>712</v>
      </c>
      <c r="J352" t="s">
        <v>728</v>
      </c>
      <c r="K352" t="s">
        <v>1084</v>
      </c>
      <c r="L352">
        <v>307.37</v>
      </c>
      <c r="M352">
        <v>462.61</v>
      </c>
      <c r="N352">
        <v>0.188</v>
      </c>
      <c r="O352">
        <v>11</v>
      </c>
    </row>
    <row r="353" spans="1:15">
      <c r="A353" t="s">
        <v>365</v>
      </c>
      <c r="B353" s="2">
        <v>45262</v>
      </c>
      <c r="C353" s="2">
        <v>45276</v>
      </c>
      <c r="D353" t="s">
        <v>649</v>
      </c>
      <c r="E353" t="s">
        <v>656</v>
      </c>
      <c r="F353" t="s">
        <v>698</v>
      </c>
      <c r="G353" t="s">
        <v>702</v>
      </c>
      <c r="H353" t="s">
        <v>711</v>
      </c>
      <c r="I353" t="s">
        <v>725</v>
      </c>
      <c r="J353" t="s">
        <v>732</v>
      </c>
      <c r="K353" t="s">
        <v>1085</v>
      </c>
      <c r="L353">
        <v>879.08</v>
      </c>
      <c r="M353">
        <v>1093.3900000000001</v>
      </c>
      <c r="N353">
        <v>0.113</v>
      </c>
      <c r="O353">
        <v>17</v>
      </c>
    </row>
    <row r="354" spans="1:15">
      <c r="A354" t="s">
        <v>366</v>
      </c>
      <c r="B354" s="2">
        <v>45121</v>
      </c>
      <c r="C354" s="2">
        <v>45121</v>
      </c>
      <c r="D354" t="s">
        <v>646</v>
      </c>
      <c r="E354" t="s">
        <v>651</v>
      </c>
      <c r="F354" t="s">
        <v>665</v>
      </c>
      <c r="G354" t="s">
        <v>702</v>
      </c>
      <c r="H354" t="s">
        <v>707</v>
      </c>
      <c r="I354" t="s">
        <v>714</v>
      </c>
      <c r="J354" t="s">
        <v>733</v>
      </c>
      <c r="K354" t="s">
        <v>1086</v>
      </c>
      <c r="L354">
        <v>956.38</v>
      </c>
      <c r="M354">
        <v>1454.22</v>
      </c>
      <c r="N354">
        <v>3.9E-2</v>
      </c>
      <c r="O354">
        <v>19</v>
      </c>
    </row>
    <row r="355" spans="1:15">
      <c r="A355" t="s">
        <v>367</v>
      </c>
      <c r="B355" s="2">
        <v>45512</v>
      </c>
      <c r="C355" s="2">
        <v>45524</v>
      </c>
      <c r="D355" t="s">
        <v>647</v>
      </c>
      <c r="E355" t="s">
        <v>652</v>
      </c>
      <c r="F355" t="s">
        <v>666</v>
      </c>
      <c r="G355" t="s">
        <v>705</v>
      </c>
      <c r="H355" t="s">
        <v>707</v>
      </c>
      <c r="I355" t="s">
        <v>722</v>
      </c>
      <c r="J355" t="s">
        <v>729</v>
      </c>
      <c r="K355" t="s">
        <v>1087</v>
      </c>
      <c r="L355">
        <v>1233.3599999999999</v>
      </c>
      <c r="M355">
        <v>2120.4</v>
      </c>
      <c r="N355">
        <v>0.17899999999999999</v>
      </c>
      <c r="O355">
        <v>20</v>
      </c>
    </row>
    <row r="356" spans="1:15">
      <c r="A356" t="s">
        <v>368</v>
      </c>
      <c r="B356" s="2">
        <v>45603</v>
      </c>
      <c r="C356" s="2">
        <v>45622</v>
      </c>
      <c r="D356" t="s">
        <v>648</v>
      </c>
      <c r="E356" t="s">
        <v>655</v>
      </c>
      <c r="F356" t="s">
        <v>692</v>
      </c>
      <c r="G356" t="s">
        <v>703</v>
      </c>
      <c r="H356" t="s">
        <v>710</v>
      </c>
      <c r="I356" t="s">
        <v>713</v>
      </c>
      <c r="J356" t="s">
        <v>728</v>
      </c>
      <c r="K356" t="s">
        <v>1088</v>
      </c>
      <c r="L356">
        <v>55.35</v>
      </c>
      <c r="M356">
        <v>128.68</v>
      </c>
      <c r="N356">
        <v>0.128</v>
      </c>
      <c r="O356">
        <v>10</v>
      </c>
    </row>
    <row r="357" spans="1:15">
      <c r="A357" t="s">
        <v>369</v>
      </c>
      <c r="B357" s="2">
        <v>45292</v>
      </c>
      <c r="C357" s="2">
        <v>45318</v>
      </c>
      <c r="D357" t="s">
        <v>649</v>
      </c>
      <c r="E357" t="s">
        <v>658</v>
      </c>
      <c r="F357" t="s">
        <v>693</v>
      </c>
      <c r="G357" t="s">
        <v>702</v>
      </c>
      <c r="H357" t="s">
        <v>710</v>
      </c>
      <c r="I357" t="s">
        <v>726</v>
      </c>
      <c r="J357" t="s">
        <v>733</v>
      </c>
      <c r="K357" t="s">
        <v>1089</v>
      </c>
      <c r="L357">
        <v>657.45</v>
      </c>
      <c r="M357">
        <v>1325.96</v>
      </c>
      <c r="N357">
        <v>0.16700000000000001</v>
      </c>
      <c r="O357">
        <v>21</v>
      </c>
    </row>
    <row r="358" spans="1:15">
      <c r="A358" t="s">
        <v>370</v>
      </c>
      <c r="B358" s="2">
        <v>45883</v>
      </c>
      <c r="C358" s="2">
        <v>45911</v>
      </c>
      <c r="D358" t="s">
        <v>648</v>
      </c>
      <c r="E358" t="s">
        <v>655</v>
      </c>
      <c r="F358" t="s">
        <v>670</v>
      </c>
      <c r="G358" t="s">
        <v>703</v>
      </c>
      <c r="H358" t="s">
        <v>711</v>
      </c>
      <c r="I358" t="s">
        <v>721</v>
      </c>
      <c r="J358" t="s">
        <v>728</v>
      </c>
      <c r="K358" t="s">
        <v>1090</v>
      </c>
      <c r="L358">
        <v>1203.02</v>
      </c>
      <c r="M358">
        <v>2439.33</v>
      </c>
      <c r="N358">
        <v>0</v>
      </c>
      <c r="O358">
        <v>18</v>
      </c>
    </row>
    <row r="359" spans="1:15">
      <c r="A359" t="s">
        <v>371</v>
      </c>
      <c r="B359" s="2">
        <v>45385</v>
      </c>
      <c r="C359" s="2">
        <v>45403</v>
      </c>
      <c r="D359" t="s">
        <v>648</v>
      </c>
      <c r="E359" t="s">
        <v>655</v>
      </c>
      <c r="F359" t="s">
        <v>672</v>
      </c>
      <c r="G359" t="s">
        <v>705</v>
      </c>
      <c r="H359" t="s">
        <v>710</v>
      </c>
      <c r="I359" t="s">
        <v>717</v>
      </c>
      <c r="J359" t="s">
        <v>729</v>
      </c>
      <c r="K359" t="s">
        <v>1091</v>
      </c>
      <c r="L359">
        <v>1176.69</v>
      </c>
      <c r="M359">
        <v>2201.54</v>
      </c>
      <c r="N359">
        <v>0.17</v>
      </c>
      <c r="O359">
        <v>27</v>
      </c>
    </row>
    <row r="360" spans="1:15">
      <c r="A360" t="s">
        <v>372</v>
      </c>
      <c r="B360" s="2">
        <v>45621</v>
      </c>
      <c r="C360" s="2">
        <v>45633</v>
      </c>
      <c r="D360" t="s">
        <v>647</v>
      </c>
      <c r="E360" t="s">
        <v>659</v>
      </c>
      <c r="F360" t="s">
        <v>685</v>
      </c>
      <c r="G360" t="s">
        <v>701</v>
      </c>
      <c r="H360" t="s">
        <v>710</v>
      </c>
      <c r="I360" t="s">
        <v>720</v>
      </c>
      <c r="J360" t="s">
        <v>733</v>
      </c>
      <c r="K360" t="s">
        <v>1092</v>
      </c>
      <c r="L360">
        <v>769.9</v>
      </c>
      <c r="M360">
        <v>814.36</v>
      </c>
      <c r="N360">
        <v>0</v>
      </c>
      <c r="O360">
        <v>5</v>
      </c>
    </row>
    <row r="361" spans="1:15">
      <c r="A361" t="s">
        <v>373</v>
      </c>
      <c r="B361" s="2">
        <v>45309</v>
      </c>
      <c r="C361" s="2">
        <v>45325</v>
      </c>
      <c r="D361" t="s">
        <v>646</v>
      </c>
      <c r="E361" t="s">
        <v>661</v>
      </c>
      <c r="F361" t="s">
        <v>695</v>
      </c>
      <c r="G361" t="s">
        <v>703</v>
      </c>
      <c r="H361" t="s">
        <v>710</v>
      </c>
      <c r="I361" t="s">
        <v>716</v>
      </c>
      <c r="J361" t="s">
        <v>728</v>
      </c>
      <c r="K361" t="s">
        <v>1093</v>
      </c>
      <c r="L361">
        <v>666.23</v>
      </c>
      <c r="M361">
        <v>1382.91</v>
      </c>
      <c r="N361">
        <v>0.17599999999999999</v>
      </c>
      <c r="O361">
        <v>13</v>
      </c>
    </row>
    <row r="362" spans="1:15">
      <c r="A362" t="s">
        <v>374</v>
      </c>
      <c r="B362" s="2">
        <v>45466</v>
      </c>
      <c r="C362" s="2">
        <v>45468</v>
      </c>
      <c r="D362" t="s">
        <v>649</v>
      </c>
      <c r="E362" t="s">
        <v>658</v>
      </c>
      <c r="F362" t="s">
        <v>674</v>
      </c>
      <c r="G362" t="s">
        <v>705</v>
      </c>
      <c r="H362" t="s">
        <v>709</v>
      </c>
      <c r="I362" t="s">
        <v>716</v>
      </c>
      <c r="J362" t="s">
        <v>733</v>
      </c>
      <c r="K362" t="s">
        <v>1094</v>
      </c>
      <c r="L362">
        <v>951.44</v>
      </c>
      <c r="M362">
        <v>1646.43</v>
      </c>
      <c r="N362">
        <v>0.11</v>
      </c>
      <c r="O362">
        <v>24</v>
      </c>
    </row>
    <row r="363" spans="1:15">
      <c r="A363" t="s">
        <v>375</v>
      </c>
      <c r="B363" s="2">
        <v>45833</v>
      </c>
      <c r="C363" s="2">
        <v>45848</v>
      </c>
      <c r="D363" t="s">
        <v>649</v>
      </c>
      <c r="E363" t="s">
        <v>658</v>
      </c>
      <c r="F363" t="s">
        <v>674</v>
      </c>
      <c r="G363" t="s">
        <v>703</v>
      </c>
      <c r="H363" t="s">
        <v>709</v>
      </c>
      <c r="I363" t="s">
        <v>726</v>
      </c>
      <c r="J363" t="s">
        <v>730</v>
      </c>
      <c r="K363" t="s">
        <v>1095</v>
      </c>
      <c r="L363">
        <v>546.83000000000004</v>
      </c>
      <c r="M363">
        <v>400.84</v>
      </c>
      <c r="N363">
        <v>7.8E-2</v>
      </c>
      <c r="O363">
        <v>13</v>
      </c>
    </row>
    <row r="364" spans="1:15">
      <c r="A364" t="s">
        <v>376</v>
      </c>
      <c r="B364" s="2">
        <v>45108</v>
      </c>
      <c r="C364" s="2">
        <v>45115</v>
      </c>
      <c r="D364" t="s">
        <v>646</v>
      </c>
      <c r="E364" t="s">
        <v>651</v>
      </c>
      <c r="F364" t="s">
        <v>663</v>
      </c>
      <c r="G364" t="s">
        <v>701</v>
      </c>
      <c r="H364" t="s">
        <v>707</v>
      </c>
      <c r="I364" t="s">
        <v>720</v>
      </c>
      <c r="J364" t="s">
        <v>731</v>
      </c>
      <c r="K364" t="s">
        <v>1096</v>
      </c>
      <c r="L364">
        <v>834.26</v>
      </c>
      <c r="M364">
        <v>1780.56</v>
      </c>
      <c r="N364">
        <v>1.4E-2</v>
      </c>
      <c r="O364">
        <v>47</v>
      </c>
    </row>
    <row r="365" spans="1:15">
      <c r="A365" t="s">
        <v>377</v>
      </c>
      <c r="B365" s="2">
        <v>45360</v>
      </c>
      <c r="C365" s="2">
        <v>45377</v>
      </c>
      <c r="D365" t="s">
        <v>647</v>
      </c>
      <c r="E365" t="s">
        <v>659</v>
      </c>
      <c r="F365" t="s">
        <v>676</v>
      </c>
      <c r="G365" t="s">
        <v>706</v>
      </c>
      <c r="H365" t="s">
        <v>708</v>
      </c>
      <c r="I365" t="s">
        <v>723</v>
      </c>
      <c r="J365" t="s">
        <v>732</v>
      </c>
      <c r="K365" t="s">
        <v>1097</v>
      </c>
      <c r="L365">
        <v>1029.67</v>
      </c>
      <c r="M365">
        <v>1118.43</v>
      </c>
      <c r="N365">
        <v>0.27200000000000002</v>
      </c>
      <c r="O365">
        <v>9</v>
      </c>
    </row>
    <row r="366" spans="1:15">
      <c r="A366" t="s">
        <v>378</v>
      </c>
      <c r="B366" s="2">
        <v>45082</v>
      </c>
      <c r="C366" s="2">
        <v>45105</v>
      </c>
      <c r="D366" t="s">
        <v>649</v>
      </c>
      <c r="E366" t="s">
        <v>658</v>
      </c>
      <c r="F366" t="s">
        <v>674</v>
      </c>
      <c r="G366" t="s">
        <v>701</v>
      </c>
      <c r="H366" t="s">
        <v>711</v>
      </c>
      <c r="I366" t="s">
        <v>723</v>
      </c>
      <c r="J366" t="s">
        <v>728</v>
      </c>
      <c r="K366" t="s">
        <v>1098</v>
      </c>
      <c r="L366">
        <v>605.82000000000005</v>
      </c>
      <c r="M366">
        <v>771.12</v>
      </c>
      <c r="N366">
        <v>0.13200000000000001</v>
      </c>
      <c r="O366">
        <v>19</v>
      </c>
    </row>
    <row r="367" spans="1:15">
      <c r="A367" t="s">
        <v>379</v>
      </c>
      <c r="B367" s="2">
        <v>45737</v>
      </c>
      <c r="C367" s="2">
        <v>45756</v>
      </c>
      <c r="D367" t="s">
        <v>647</v>
      </c>
      <c r="E367" t="s">
        <v>652</v>
      </c>
      <c r="F367" t="s">
        <v>689</v>
      </c>
      <c r="G367" t="s">
        <v>705</v>
      </c>
      <c r="H367" t="s">
        <v>710</v>
      </c>
      <c r="I367" t="s">
        <v>718</v>
      </c>
      <c r="J367" t="s">
        <v>727</v>
      </c>
      <c r="K367" t="s">
        <v>1099</v>
      </c>
      <c r="L367">
        <v>1055.45</v>
      </c>
      <c r="M367">
        <v>1210.04</v>
      </c>
      <c r="N367">
        <v>8.9999999999999993E-3</v>
      </c>
      <c r="O367">
        <v>18</v>
      </c>
    </row>
    <row r="368" spans="1:15">
      <c r="A368" t="s">
        <v>380</v>
      </c>
      <c r="B368" s="2">
        <v>45445</v>
      </c>
      <c r="C368" s="2">
        <v>45458</v>
      </c>
      <c r="D368" t="s">
        <v>646</v>
      </c>
      <c r="E368" t="s">
        <v>650</v>
      </c>
      <c r="F368" t="s">
        <v>675</v>
      </c>
      <c r="G368" t="s">
        <v>702</v>
      </c>
      <c r="H368" t="s">
        <v>708</v>
      </c>
      <c r="I368" t="s">
        <v>719</v>
      </c>
      <c r="J368" t="s">
        <v>730</v>
      </c>
      <c r="K368" t="s">
        <v>1100</v>
      </c>
      <c r="L368">
        <v>1295.18</v>
      </c>
      <c r="M368">
        <v>3024.03</v>
      </c>
      <c r="N368">
        <v>0.192</v>
      </c>
      <c r="O368">
        <v>8</v>
      </c>
    </row>
    <row r="369" spans="1:15">
      <c r="A369" t="s">
        <v>381</v>
      </c>
      <c r="B369" s="2">
        <v>45731</v>
      </c>
      <c r="C369" s="2">
        <v>45745</v>
      </c>
      <c r="D369" t="s">
        <v>647</v>
      </c>
      <c r="E369" t="s">
        <v>654</v>
      </c>
      <c r="F369" t="s">
        <v>691</v>
      </c>
      <c r="G369" t="s">
        <v>706</v>
      </c>
      <c r="H369" t="s">
        <v>711</v>
      </c>
      <c r="I369" t="s">
        <v>712</v>
      </c>
      <c r="J369" t="s">
        <v>727</v>
      </c>
      <c r="K369" t="s">
        <v>1101</v>
      </c>
      <c r="L369">
        <v>935.83</v>
      </c>
      <c r="M369">
        <v>2303.46</v>
      </c>
      <c r="N369">
        <v>0.105</v>
      </c>
      <c r="O369">
        <v>9</v>
      </c>
    </row>
    <row r="370" spans="1:15">
      <c r="A370" t="s">
        <v>382</v>
      </c>
      <c r="B370" s="2">
        <v>45194</v>
      </c>
      <c r="C370" s="2">
        <v>45208</v>
      </c>
      <c r="D370" t="s">
        <v>648</v>
      </c>
      <c r="E370" t="s">
        <v>660</v>
      </c>
      <c r="F370" t="s">
        <v>700</v>
      </c>
      <c r="G370" t="s">
        <v>705</v>
      </c>
      <c r="H370" t="s">
        <v>709</v>
      </c>
      <c r="I370" t="s">
        <v>713</v>
      </c>
      <c r="J370" t="s">
        <v>731</v>
      </c>
      <c r="K370" t="s">
        <v>1102</v>
      </c>
      <c r="L370">
        <v>1279.56</v>
      </c>
      <c r="M370">
        <v>3083.8</v>
      </c>
      <c r="N370">
        <v>0.106</v>
      </c>
      <c r="O370">
        <v>5</v>
      </c>
    </row>
    <row r="371" spans="1:15">
      <c r="A371" t="s">
        <v>383</v>
      </c>
      <c r="B371" s="2">
        <v>45832</v>
      </c>
      <c r="C371" s="2">
        <v>45861</v>
      </c>
      <c r="D371" t="s">
        <v>648</v>
      </c>
      <c r="E371" t="s">
        <v>653</v>
      </c>
      <c r="F371" t="s">
        <v>688</v>
      </c>
      <c r="G371" t="s">
        <v>703</v>
      </c>
      <c r="H371" t="s">
        <v>709</v>
      </c>
      <c r="I371" t="s">
        <v>714</v>
      </c>
      <c r="J371" t="s">
        <v>728</v>
      </c>
      <c r="K371" t="s">
        <v>1103</v>
      </c>
      <c r="L371">
        <v>255.4</v>
      </c>
      <c r="M371">
        <v>322.70999999999998</v>
      </c>
      <c r="N371">
        <v>0.115</v>
      </c>
      <c r="O371">
        <v>16</v>
      </c>
    </row>
    <row r="372" spans="1:15">
      <c r="A372" t="s">
        <v>384</v>
      </c>
      <c r="B372" s="2">
        <v>45286</v>
      </c>
      <c r="C372" s="2">
        <v>45294</v>
      </c>
      <c r="D372" t="s">
        <v>649</v>
      </c>
      <c r="E372" t="s">
        <v>657</v>
      </c>
      <c r="F372" t="s">
        <v>679</v>
      </c>
      <c r="G372" t="s">
        <v>705</v>
      </c>
      <c r="H372" t="s">
        <v>707</v>
      </c>
      <c r="I372" t="s">
        <v>724</v>
      </c>
      <c r="J372" t="s">
        <v>731</v>
      </c>
      <c r="K372" t="s">
        <v>1104</v>
      </c>
      <c r="L372">
        <v>492.75</v>
      </c>
      <c r="M372">
        <v>731.29</v>
      </c>
      <c r="N372">
        <v>5.8000000000000003E-2</v>
      </c>
      <c r="O372">
        <v>6</v>
      </c>
    </row>
    <row r="373" spans="1:15">
      <c r="A373" t="s">
        <v>385</v>
      </c>
      <c r="B373" s="2">
        <v>44962</v>
      </c>
      <c r="C373" s="2">
        <v>44985</v>
      </c>
      <c r="D373" t="s">
        <v>648</v>
      </c>
      <c r="E373" t="s">
        <v>660</v>
      </c>
      <c r="F373" t="s">
        <v>697</v>
      </c>
      <c r="G373" t="s">
        <v>703</v>
      </c>
      <c r="H373" t="s">
        <v>710</v>
      </c>
      <c r="I373" t="s">
        <v>716</v>
      </c>
      <c r="J373" t="s">
        <v>730</v>
      </c>
      <c r="K373" t="s">
        <v>1105</v>
      </c>
      <c r="L373">
        <v>1214.49</v>
      </c>
      <c r="M373">
        <v>1533.95</v>
      </c>
      <c r="N373">
        <v>0</v>
      </c>
      <c r="O373">
        <v>11</v>
      </c>
    </row>
    <row r="374" spans="1:15">
      <c r="A374" t="s">
        <v>386</v>
      </c>
      <c r="B374" s="2">
        <v>45022</v>
      </c>
      <c r="C374" s="2">
        <v>45024</v>
      </c>
      <c r="D374" t="s">
        <v>646</v>
      </c>
      <c r="E374" t="s">
        <v>651</v>
      </c>
      <c r="F374" t="s">
        <v>669</v>
      </c>
      <c r="G374" t="s">
        <v>705</v>
      </c>
      <c r="H374" t="s">
        <v>709</v>
      </c>
      <c r="I374" t="s">
        <v>723</v>
      </c>
      <c r="J374" t="s">
        <v>732</v>
      </c>
      <c r="K374" t="s">
        <v>1106</v>
      </c>
      <c r="L374">
        <v>720.35</v>
      </c>
      <c r="M374">
        <v>1571.66</v>
      </c>
      <c r="N374">
        <v>0.107</v>
      </c>
      <c r="O374">
        <v>23</v>
      </c>
    </row>
    <row r="375" spans="1:15">
      <c r="A375" t="s">
        <v>387</v>
      </c>
      <c r="B375" s="2">
        <v>45751</v>
      </c>
      <c r="C375" s="2">
        <v>45757</v>
      </c>
      <c r="D375" t="s">
        <v>649</v>
      </c>
      <c r="E375" t="s">
        <v>658</v>
      </c>
      <c r="F375" t="s">
        <v>674</v>
      </c>
      <c r="G375" t="s">
        <v>703</v>
      </c>
      <c r="H375" t="s">
        <v>711</v>
      </c>
      <c r="I375" t="s">
        <v>725</v>
      </c>
      <c r="J375" t="s">
        <v>728</v>
      </c>
      <c r="K375" t="s">
        <v>1107</v>
      </c>
      <c r="L375">
        <v>290.14</v>
      </c>
      <c r="M375">
        <v>250.73</v>
      </c>
      <c r="N375">
        <v>3.4000000000000002E-2</v>
      </c>
      <c r="O375">
        <v>17</v>
      </c>
    </row>
    <row r="376" spans="1:15">
      <c r="A376" t="s">
        <v>388</v>
      </c>
      <c r="B376" s="2">
        <v>45429</v>
      </c>
      <c r="C376" s="2">
        <v>45439</v>
      </c>
      <c r="D376" t="s">
        <v>648</v>
      </c>
      <c r="E376" t="s">
        <v>660</v>
      </c>
      <c r="F376" t="s">
        <v>697</v>
      </c>
      <c r="G376" t="s">
        <v>703</v>
      </c>
      <c r="H376" t="s">
        <v>708</v>
      </c>
      <c r="I376" t="s">
        <v>712</v>
      </c>
      <c r="J376" t="s">
        <v>730</v>
      </c>
      <c r="K376" t="s">
        <v>1108</v>
      </c>
      <c r="L376">
        <v>1484.23</v>
      </c>
      <c r="M376">
        <v>3472.81</v>
      </c>
      <c r="N376">
        <v>0.25600000000000001</v>
      </c>
      <c r="O376">
        <v>12</v>
      </c>
    </row>
    <row r="377" spans="1:15">
      <c r="A377" t="s">
        <v>389</v>
      </c>
      <c r="B377" s="2">
        <v>45354</v>
      </c>
      <c r="C377" s="2">
        <v>45370</v>
      </c>
      <c r="D377" t="s">
        <v>647</v>
      </c>
      <c r="E377" t="s">
        <v>659</v>
      </c>
      <c r="F377" t="s">
        <v>699</v>
      </c>
      <c r="G377" t="s">
        <v>704</v>
      </c>
      <c r="H377" t="s">
        <v>710</v>
      </c>
      <c r="I377" t="s">
        <v>715</v>
      </c>
      <c r="J377" t="s">
        <v>730</v>
      </c>
      <c r="K377" t="s">
        <v>1109</v>
      </c>
      <c r="L377">
        <v>988.83</v>
      </c>
      <c r="M377">
        <v>1206.04</v>
      </c>
      <c r="N377">
        <v>6.3E-2</v>
      </c>
      <c r="O377">
        <v>34</v>
      </c>
    </row>
    <row r="378" spans="1:15">
      <c r="A378" t="s">
        <v>390</v>
      </c>
      <c r="B378" s="2">
        <v>45835</v>
      </c>
      <c r="C378" s="2">
        <v>45849</v>
      </c>
      <c r="D378" t="s">
        <v>647</v>
      </c>
      <c r="E378" t="s">
        <v>659</v>
      </c>
      <c r="F378" t="s">
        <v>685</v>
      </c>
      <c r="G378" t="s">
        <v>705</v>
      </c>
      <c r="H378" t="s">
        <v>709</v>
      </c>
      <c r="I378" t="s">
        <v>716</v>
      </c>
      <c r="J378" t="s">
        <v>729</v>
      </c>
      <c r="K378" t="s">
        <v>1110</v>
      </c>
      <c r="L378">
        <v>1227.7</v>
      </c>
      <c r="M378">
        <v>2197.23</v>
      </c>
      <c r="N378">
        <v>9.9000000000000005E-2</v>
      </c>
      <c r="O378">
        <v>22</v>
      </c>
    </row>
    <row r="379" spans="1:15">
      <c r="A379" t="s">
        <v>391</v>
      </c>
      <c r="B379" s="2">
        <v>44998</v>
      </c>
      <c r="C379" s="2">
        <v>45020</v>
      </c>
      <c r="D379" t="s">
        <v>646</v>
      </c>
      <c r="E379" t="s">
        <v>661</v>
      </c>
      <c r="F379" t="s">
        <v>687</v>
      </c>
      <c r="G379" t="s">
        <v>705</v>
      </c>
      <c r="H379" t="s">
        <v>707</v>
      </c>
      <c r="I379" t="s">
        <v>720</v>
      </c>
      <c r="J379" t="s">
        <v>727</v>
      </c>
      <c r="K379" t="s">
        <v>1111</v>
      </c>
      <c r="L379">
        <v>1113.7</v>
      </c>
      <c r="M379">
        <v>1620.6</v>
      </c>
      <c r="N379">
        <v>0.13900000000000001</v>
      </c>
      <c r="O379">
        <v>11</v>
      </c>
    </row>
    <row r="380" spans="1:15">
      <c r="A380" t="s">
        <v>392</v>
      </c>
      <c r="B380" s="2">
        <v>45664</v>
      </c>
      <c r="C380" s="2">
        <v>45677</v>
      </c>
      <c r="D380" t="s">
        <v>646</v>
      </c>
      <c r="E380" t="s">
        <v>661</v>
      </c>
      <c r="F380" t="s">
        <v>695</v>
      </c>
      <c r="G380" t="s">
        <v>701</v>
      </c>
      <c r="H380" t="s">
        <v>711</v>
      </c>
      <c r="I380" t="s">
        <v>723</v>
      </c>
      <c r="J380" t="s">
        <v>729</v>
      </c>
      <c r="K380" t="s">
        <v>1112</v>
      </c>
      <c r="L380">
        <v>432.13</v>
      </c>
      <c r="M380">
        <v>1034.6600000000001</v>
      </c>
      <c r="N380">
        <v>9.1999999999999998E-2</v>
      </c>
      <c r="O380">
        <v>7</v>
      </c>
    </row>
    <row r="381" spans="1:15">
      <c r="A381" t="s">
        <v>393</v>
      </c>
      <c r="B381" s="2">
        <v>45694</v>
      </c>
      <c r="C381" s="2">
        <v>45703</v>
      </c>
      <c r="D381" t="s">
        <v>648</v>
      </c>
      <c r="E381" t="s">
        <v>655</v>
      </c>
      <c r="F381" t="s">
        <v>670</v>
      </c>
      <c r="G381" t="s">
        <v>703</v>
      </c>
      <c r="H381" t="s">
        <v>710</v>
      </c>
      <c r="I381" t="s">
        <v>721</v>
      </c>
      <c r="J381" t="s">
        <v>729</v>
      </c>
      <c r="K381" t="s">
        <v>1113</v>
      </c>
      <c r="L381">
        <v>837.39</v>
      </c>
      <c r="M381">
        <v>1905.42</v>
      </c>
      <c r="N381">
        <v>3.2000000000000001E-2</v>
      </c>
      <c r="O381">
        <v>18</v>
      </c>
    </row>
    <row r="382" spans="1:15">
      <c r="A382" t="s">
        <v>394</v>
      </c>
      <c r="B382" s="2">
        <v>45688</v>
      </c>
      <c r="C382" s="2">
        <v>45705</v>
      </c>
      <c r="D382" t="s">
        <v>649</v>
      </c>
      <c r="E382" t="s">
        <v>658</v>
      </c>
      <c r="F382" t="s">
        <v>683</v>
      </c>
      <c r="G382" t="s">
        <v>706</v>
      </c>
      <c r="H382" t="s">
        <v>707</v>
      </c>
      <c r="I382" t="s">
        <v>722</v>
      </c>
      <c r="J382" t="s">
        <v>727</v>
      </c>
      <c r="K382" t="s">
        <v>812</v>
      </c>
      <c r="L382">
        <v>378.26</v>
      </c>
      <c r="M382">
        <v>541.55999999999995</v>
      </c>
      <c r="N382">
        <v>0.16300000000000001</v>
      </c>
      <c r="O382">
        <v>25</v>
      </c>
    </row>
    <row r="383" spans="1:15">
      <c r="A383" t="s">
        <v>395</v>
      </c>
      <c r="B383" s="2">
        <v>45876</v>
      </c>
      <c r="C383" s="2">
        <v>45906</v>
      </c>
      <c r="D383" t="s">
        <v>648</v>
      </c>
      <c r="E383" t="s">
        <v>653</v>
      </c>
      <c r="F383" t="s">
        <v>681</v>
      </c>
      <c r="G383" t="s">
        <v>702</v>
      </c>
      <c r="H383" t="s">
        <v>711</v>
      </c>
      <c r="I383" t="s">
        <v>724</v>
      </c>
      <c r="J383" t="s">
        <v>729</v>
      </c>
      <c r="K383" t="s">
        <v>1114</v>
      </c>
      <c r="L383">
        <v>833.73</v>
      </c>
      <c r="M383">
        <v>1116.5999999999999</v>
      </c>
      <c r="N383">
        <v>0.17599999999999999</v>
      </c>
      <c r="O383">
        <v>14</v>
      </c>
    </row>
    <row r="384" spans="1:15">
      <c r="A384" t="s">
        <v>396</v>
      </c>
      <c r="B384" s="2">
        <v>45861</v>
      </c>
      <c r="C384" s="2">
        <v>45886</v>
      </c>
      <c r="D384" t="s">
        <v>649</v>
      </c>
      <c r="E384" t="s">
        <v>658</v>
      </c>
      <c r="F384" t="s">
        <v>674</v>
      </c>
      <c r="G384" t="s">
        <v>702</v>
      </c>
      <c r="H384" t="s">
        <v>708</v>
      </c>
      <c r="I384" t="s">
        <v>714</v>
      </c>
      <c r="J384" t="s">
        <v>728</v>
      </c>
      <c r="K384" t="s">
        <v>1115</v>
      </c>
      <c r="L384">
        <v>1142.06</v>
      </c>
      <c r="M384">
        <v>1455</v>
      </c>
      <c r="N384">
        <v>7.8E-2</v>
      </c>
      <c r="O384">
        <v>28</v>
      </c>
    </row>
    <row r="385" spans="1:15">
      <c r="A385" t="s">
        <v>397</v>
      </c>
      <c r="B385" s="2">
        <v>45097</v>
      </c>
      <c r="C385" s="2">
        <v>45115</v>
      </c>
      <c r="D385" t="s">
        <v>648</v>
      </c>
      <c r="E385" t="s">
        <v>660</v>
      </c>
      <c r="F385" t="s">
        <v>700</v>
      </c>
      <c r="G385" t="s">
        <v>704</v>
      </c>
      <c r="H385" t="s">
        <v>709</v>
      </c>
      <c r="I385" t="s">
        <v>719</v>
      </c>
      <c r="J385" t="s">
        <v>729</v>
      </c>
      <c r="K385" t="s">
        <v>1116</v>
      </c>
      <c r="L385">
        <v>1145.53</v>
      </c>
      <c r="M385">
        <v>1278.3</v>
      </c>
      <c r="N385">
        <v>0.09</v>
      </c>
      <c r="O385">
        <v>41</v>
      </c>
    </row>
    <row r="386" spans="1:15">
      <c r="A386" t="s">
        <v>398</v>
      </c>
      <c r="B386" s="2">
        <v>45491</v>
      </c>
      <c r="C386" s="2">
        <v>45511</v>
      </c>
      <c r="D386" t="s">
        <v>649</v>
      </c>
      <c r="E386" t="s">
        <v>657</v>
      </c>
      <c r="F386" t="s">
        <v>673</v>
      </c>
      <c r="G386" t="s">
        <v>701</v>
      </c>
      <c r="H386" t="s">
        <v>707</v>
      </c>
      <c r="I386" t="s">
        <v>721</v>
      </c>
      <c r="J386" t="s">
        <v>732</v>
      </c>
      <c r="K386" t="s">
        <v>1117</v>
      </c>
      <c r="L386">
        <v>941.35</v>
      </c>
      <c r="M386">
        <v>899.83</v>
      </c>
      <c r="N386">
        <v>5.8000000000000003E-2</v>
      </c>
      <c r="O386">
        <v>18</v>
      </c>
    </row>
    <row r="387" spans="1:15">
      <c r="A387" t="s">
        <v>399</v>
      </c>
      <c r="B387" s="2">
        <v>45066</v>
      </c>
      <c r="C387" s="2">
        <v>45096</v>
      </c>
      <c r="D387" t="s">
        <v>647</v>
      </c>
      <c r="E387" t="s">
        <v>654</v>
      </c>
      <c r="F387" t="s">
        <v>680</v>
      </c>
      <c r="G387" t="s">
        <v>703</v>
      </c>
      <c r="H387" t="s">
        <v>709</v>
      </c>
      <c r="I387" t="s">
        <v>722</v>
      </c>
      <c r="J387" t="s">
        <v>731</v>
      </c>
      <c r="K387" t="s">
        <v>1118</v>
      </c>
      <c r="L387">
        <v>1161.2</v>
      </c>
      <c r="M387">
        <v>878.73</v>
      </c>
      <c r="N387">
        <v>0.19</v>
      </c>
      <c r="O387">
        <v>31</v>
      </c>
    </row>
    <row r="388" spans="1:15">
      <c r="A388" t="s">
        <v>400</v>
      </c>
      <c r="B388" s="2">
        <v>45789</v>
      </c>
      <c r="C388" s="2">
        <v>45803</v>
      </c>
      <c r="D388" t="s">
        <v>647</v>
      </c>
      <c r="E388" t="s">
        <v>654</v>
      </c>
      <c r="F388" t="s">
        <v>696</v>
      </c>
      <c r="G388" t="s">
        <v>701</v>
      </c>
      <c r="H388" t="s">
        <v>709</v>
      </c>
      <c r="I388" t="s">
        <v>715</v>
      </c>
      <c r="J388" t="s">
        <v>728</v>
      </c>
      <c r="K388" t="s">
        <v>1119</v>
      </c>
      <c r="L388">
        <v>320.12</v>
      </c>
      <c r="M388">
        <v>594.41999999999996</v>
      </c>
      <c r="N388">
        <v>0.104</v>
      </c>
      <c r="O388">
        <v>18</v>
      </c>
    </row>
    <row r="389" spans="1:15">
      <c r="A389" t="s">
        <v>401</v>
      </c>
      <c r="B389" s="2">
        <v>45419</v>
      </c>
      <c r="C389" s="2">
        <v>45424</v>
      </c>
      <c r="D389" t="s">
        <v>646</v>
      </c>
      <c r="E389" t="s">
        <v>651</v>
      </c>
      <c r="F389" t="s">
        <v>669</v>
      </c>
      <c r="G389" t="s">
        <v>703</v>
      </c>
      <c r="H389" t="s">
        <v>710</v>
      </c>
      <c r="I389" t="s">
        <v>716</v>
      </c>
      <c r="J389" t="s">
        <v>731</v>
      </c>
      <c r="K389" t="s">
        <v>1120</v>
      </c>
      <c r="L389">
        <v>1163.99</v>
      </c>
      <c r="M389">
        <v>1617.85</v>
      </c>
      <c r="N389">
        <v>0.127</v>
      </c>
      <c r="O389">
        <v>14</v>
      </c>
    </row>
    <row r="390" spans="1:15">
      <c r="A390" t="s">
        <v>402</v>
      </c>
      <c r="B390" s="2">
        <v>45199</v>
      </c>
      <c r="C390" s="2">
        <v>45202</v>
      </c>
      <c r="D390" t="s">
        <v>647</v>
      </c>
      <c r="E390" t="s">
        <v>659</v>
      </c>
      <c r="F390" t="s">
        <v>699</v>
      </c>
      <c r="G390" t="s">
        <v>703</v>
      </c>
      <c r="H390" t="s">
        <v>707</v>
      </c>
      <c r="I390" t="s">
        <v>713</v>
      </c>
      <c r="J390" t="s">
        <v>731</v>
      </c>
      <c r="K390" t="s">
        <v>1121</v>
      </c>
      <c r="L390">
        <v>1019.36</v>
      </c>
      <c r="M390">
        <v>972.91</v>
      </c>
      <c r="N390">
        <v>0.14699999999999999</v>
      </c>
      <c r="O390">
        <v>17</v>
      </c>
    </row>
    <row r="391" spans="1:15">
      <c r="A391" t="s">
        <v>403</v>
      </c>
      <c r="B391" s="2">
        <v>45225</v>
      </c>
      <c r="C391" s="2">
        <v>45235</v>
      </c>
      <c r="D391" t="s">
        <v>646</v>
      </c>
      <c r="E391" t="s">
        <v>661</v>
      </c>
      <c r="F391" t="s">
        <v>695</v>
      </c>
      <c r="G391" t="s">
        <v>703</v>
      </c>
      <c r="H391" t="s">
        <v>708</v>
      </c>
      <c r="I391" t="s">
        <v>714</v>
      </c>
      <c r="J391" t="s">
        <v>731</v>
      </c>
      <c r="K391" t="s">
        <v>1122</v>
      </c>
      <c r="L391">
        <v>20.38</v>
      </c>
      <c r="M391">
        <v>42.56</v>
      </c>
      <c r="N391">
        <v>7.1999999999999995E-2</v>
      </c>
      <c r="O391">
        <v>11</v>
      </c>
    </row>
    <row r="392" spans="1:15">
      <c r="A392" t="s">
        <v>404</v>
      </c>
      <c r="B392" s="2">
        <v>45823</v>
      </c>
      <c r="C392" s="2">
        <v>45838</v>
      </c>
      <c r="D392" t="s">
        <v>646</v>
      </c>
      <c r="E392" t="s">
        <v>661</v>
      </c>
      <c r="F392" t="s">
        <v>682</v>
      </c>
      <c r="G392" t="s">
        <v>705</v>
      </c>
      <c r="H392" t="s">
        <v>711</v>
      </c>
      <c r="I392" t="s">
        <v>712</v>
      </c>
      <c r="J392" t="s">
        <v>732</v>
      </c>
      <c r="K392" t="s">
        <v>1123</v>
      </c>
      <c r="L392">
        <v>1487.59</v>
      </c>
      <c r="M392">
        <v>1480.83</v>
      </c>
      <c r="N392">
        <v>8.9999999999999993E-3</v>
      </c>
      <c r="O392">
        <v>11</v>
      </c>
    </row>
    <row r="393" spans="1:15">
      <c r="A393" t="s">
        <v>405</v>
      </c>
      <c r="B393" s="2">
        <v>45514</v>
      </c>
      <c r="C393" s="2">
        <v>45542</v>
      </c>
      <c r="D393" t="s">
        <v>649</v>
      </c>
      <c r="E393" t="s">
        <v>657</v>
      </c>
      <c r="F393" t="s">
        <v>673</v>
      </c>
      <c r="G393" t="s">
        <v>703</v>
      </c>
      <c r="H393" t="s">
        <v>711</v>
      </c>
      <c r="I393" t="s">
        <v>721</v>
      </c>
      <c r="J393" t="s">
        <v>728</v>
      </c>
      <c r="K393" t="s">
        <v>1124</v>
      </c>
      <c r="L393">
        <v>229.96</v>
      </c>
      <c r="M393">
        <v>564.26</v>
      </c>
      <c r="N393">
        <v>0.105</v>
      </c>
      <c r="O393">
        <v>5</v>
      </c>
    </row>
    <row r="394" spans="1:15">
      <c r="A394" t="s">
        <v>406</v>
      </c>
      <c r="B394" s="2">
        <v>45208</v>
      </c>
      <c r="C394" s="2">
        <v>45225</v>
      </c>
      <c r="D394" t="s">
        <v>647</v>
      </c>
      <c r="E394" t="s">
        <v>659</v>
      </c>
      <c r="F394" t="s">
        <v>685</v>
      </c>
      <c r="G394" t="s">
        <v>704</v>
      </c>
      <c r="H394" t="s">
        <v>709</v>
      </c>
      <c r="I394" t="s">
        <v>712</v>
      </c>
      <c r="J394" t="s">
        <v>727</v>
      </c>
      <c r="K394" t="s">
        <v>1125</v>
      </c>
      <c r="L394">
        <v>1132.03</v>
      </c>
      <c r="M394">
        <v>2137.21</v>
      </c>
      <c r="N394">
        <v>0.35699999999999998</v>
      </c>
      <c r="O394">
        <v>35</v>
      </c>
    </row>
    <row r="395" spans="1:15">
      <c r="A395" t="s">
        <v>407</v>
      </c>
      <c r="B395" s="2">
        <v>45360</v>
      </c>
      <c r="C395" s="2">
        <v>45377</v>
      </c>
      <c r="D395" t="s">
        <v>648</v>
      </c>
      <c r="E395" t="s">
        <v>660</v>
      </c>
      <c r="F395" t="s">
        <v>686</v>
      </c>
      <c r="G395" t="s">
        <v>702</v>
      </c>
      <c r="H395" t="s">
        <v>711</v>
      </c>
      <c r="I395" t="s">
        <v>714</v>
      </c>
      <c r="J395" t="s">
        <v>730</v>
      </c>
      <c r="K395" t="s">
        <v>1126</v>
      </c>
      <c r="L395">
        <v>1137.4100000000001</v>
      </c>
      <c r="M395">
        <v>1680.93</v>
      </c>
      <c r="N395">
        <v>0.254</v>
      </c>
      <c r="O395">
        <v>9</v>
      </c>
    </row>
    <row r="396" spans="1:15">
      <c r="A396" t="s">
        <v>408</v>
      </c>
      <c r="B396" s="2">
        <v>45075</v>
      </c>
      <c r="C396" s="2">
        <v>45097</v>
      </c>
      <c r="D396" t="s">
        <v>649</v>
      </c>
      <c r="E396" t="s">
        <v>658</v>
      </c>
      <c r="F396" t="s">
        <v>683</v>
      </c>
      <c r="G396" t="s">
        <v>705</v>
      </c>
      <c r="H396" t="s">
        <v>711</v>
      </c>
      <c r="I396" t="s">
        <v>723</v>
      </c>
      <c r="J396" t="s">
        <v>727</v>
      </c>
      <c r="K396" t="s">
        <v>1127</v>
      </c>
      <c r="L396">
        <v>1295.3900000000001</v>
      </c>
      <c r="M396">
        <v>2905.06</v>
      </c>
      <c r="N396">
        <v>0.14799999999999999</v>
      </c>
      <c r="O396">
        <v>8</v>
      </c>
    </row>
    <row r="397" spans="1:15">
      <c r="A397" t="s">
        <v>409</v>
      </c>
      <c r="B397" s="2">
        <v>45804</v>
      </c>
      <c r="C397" s="2">
        <v>45816</v>
      </c>
      <c r="D397" t="s">
        <v>647</v>
      </c>
      <c r="E397" t="s">
        <v>652</v>
      </c>
      <c r="F397" t="s">
        <v>666</v>
      </c>
      <c r="G397" t="s">
        <v>701</v>
      </c>
      <c r="H397" t="s">
        <v>707</v>
      </c>
      <c r="I397" t="s">
        <v>722</v>
      </c>
      <c r="J397" t="s">
        <v>733</v>
      </c>
      <c r="K397" t="s">
        <v>1128</v>
      </c>
      <c r="L397">
        <v>653.6</v>
      </c>
      <c r="M397">
        <v>842.09</v>
      </c>
      <c r="N397">
        <v>9.8000000000000004E-2</v>
      </c>
      <c r="O397">
        <v>19</v>
      </c>
    </row>
    <row r="398" spans="1:15">
      <c r="A398" t="s">
        <v>410</v>
      </c>
      <c r="B398" s="2">
        <v>45890</v>
      </c>
      <c r="C398" s="2">
        <v>45914</v>
      </c>
      <c r="D398" t="s">
        <v>649</v>
      </c>
      <c r="E398" t="s">
        <v>656</v>
      </c>
      <c r="F398" t="s">
        <v>671</v>
      </c>
      <c r="G398" t="s">
        <v>703</v>
      </c>
      <c r="H398" t="s">
        <v>708</v>
      </c>
      <c r="I398" t="s">
        <v>720</v>
      </c>
      <c r="J398" t="s">
        <v>732</v>
      </c>
      <c r="K398" t="s">
        <v>1129</v>
      </c>
      <c r="L398">
        <v>1397.67</v>
      </c>
      <c r="M398">
        <v>3131.37</v>
      </c>
      <c r="N398">
        <v>0.10299999999999999</v>
      </c>
      <c r="O398">
        <v>20</v>
      </c>
    </row>
    <row r="399" spans="1:15">
      <c r="A399" t="s">
        <v>411</v>
      </c>
      <c r="B399" s="2">
        <v>45638</v>
      </c>
      <c r="C399" s="2">
        <v>45646</v>
      </c>
      <c r="D399" t="s">
        <v>647</v>
      </c>
      <c r="E399" t="s">
        <v>652</v>
      </c>
      <c r="F399" t="s">
        <v>689</v>
      </c>
      <c r="G399" t="s">
        <v>701</v>
      </c>
      <c r="H399" t="s">
        <v>707</v>
      </c>
      <c r="I399" t="s">
        <v>717</v>
      </c>
      <c r="J399" t="s">
        <v>731</v>
      </c>
      <c r="K399" t="s">
        <v>1130</v>
      </c>
      <c r="L399">
        <v>1202.47</v>
      </c>
      <c r="M399">
        <v>1444.72</v>
      </c>
      <c r="N399">
        <v>0.24099999999999999</v>
      </c>
      <c r="O399">
        <v>17</v>
      </c>
    </row>
    <row r="400" spans="1:15">
      <c r="A400" t="s">
        <v>412</v>
      </c>
      <c r="B400" s="2">
        <v>45914</v>
      </c>
      <c r="C400" s="2">
        <v>45923</v>
      </c>
      <c r="D400" t="s">
        <v>646</v>
      </c>
      <c r="E400" t="s">
        <v>661</v>
      </c>
      <c r="F400" t="s">
        <v>687</v>
      </c>
      <c r="G400" t="s">
        <v>703</v>
      </c>
      <c r="H400" t="s">
        <v>708</v>
      </c>
      <c r="I400" t="s">
        <v>726</v>
      </c>
      <c r="J400" t="s">
        <v>727</v>
      </c>
      <c r="K400" t="s">
        <v>1131</v>
      </c>
      <c r="L400">
        <v>1310.3</v>
      </c>
      <c r="M400">
        <v>2875.8</v>
      </c>
      <c r="N400">
        <v>8.3000000000000004E-2</v>
      </c>
      <c r="O400">
        <v>5</v>
      </c>
    </row>
    <row r="401" spans="1:15">
      <c r="A401" t="s">
        <v>413</v>
      </c>
      <c r="B401" s="2">
        <v>45541</v>
      </c>
      <c r="C401" s="2">
        <v>45569</v>
      </c>
      <c r="D401" t="s">
        <v>646</v>
      </c>
      <c r="E401" t="s">
        <v>661</v>
      </c>
      <c r="F401" t="s">
        <v>695</v>
      </c>
      <c r="G401" t="s">
        <v>701</v>
      </c>
      <c r="H401" t="s">
        <v>709</v>
      </c>
      <c r="I401" t="s">
        <v>726</v>
      </c>
      <c r="J401" t="s">
        <v>732</v>
      </c>
      <c r="K401" t="s">
        <v>1132</v>
      </c>
      <c r="L401">
        <v>1174.17</v>
      </c>
      <c r="M401">
        <v>1641.61</v>
      </c>
      <c r="N401">
        <v>0.122</v>
      </c>
      <c r="O401">
        <v>9</v>
      </c>
    </row>
    <row r="402" spans="1:15">
      <c r="A402" t="s">
        <v>414</v>
      </c>
      <c r="B402" s="2">
        <v>45759</v>
      </c>
      <c r="C402" s="2">
        <v>45777</v>
      </c>
      <c r="D402" t="s">
        <v>646</v>
      </c>
      <c r="E402" t="s">
        <v>650</v>
      </c>
      <c r="F402" t="s">
        <v>662</v>
      </c>
      <c r="G402" t="s">
        <v>701</v>
      </c>
      <c r="H402" t="s">
        <v>709</v>
      </c>
      <c r="I402" t="s">
        <v>721</v>
      </c>
      <c r="J402" t="s">
        <v>729</v>
      </c>
      <c r="K402" t="s">
        <v>1133</v>
      </c>
      <c r="L402">
        <v>1119.04</v>
      </c>
      <c r="M402">
        <v>1299.02</v>
      </c>
      <c r="N402">
        <v>2.5000000000000001E-2</v>
      </c>
      <c r="O402">
        <v>14</v>
      </c>
    </row>
    <row r="403" spans="1:15">
      <c r="A403" t="s">
        <v>415</v>
      </c>
      <c r="B403" s="2">
        <v>45516</v>
      </c>
      <c r="C403" s="2">
        <v>45519</v>
      </c>
      <c r="D403" t="s">
        <v>648</v>
      </c>
      <c r="E403" t="s">
        <v>660</v>
      </c>
      <c r="F403" t="s">
        <v>677</v>
      </c>
      <c r="G403" t="s">
        <v>701</v>
      </c>
      <c r="H403" t="s">
        <v>709</v>
      </c>
      <c r="I403" t="s">
        <v>726</v>
      </c>
      <c r="J403" t="s">
        <v>728</v>
      </c>
      <c r="K403" t="s">
        <v>1134</v>
      </c>
      <c r="L403">
        <v>850.7</v>
      </c>
      <c r="M403">
        <v>1118.56</v>
      </c>
      <c r="N403">
        <v>0.18</v>
      </c>
      <c r="O403">
        <v>19</v>
      </c>
    </row>
    <row r="404" spans="1:15">
      <c r="A404" t="s">
        <v>416</v>
      </c>
      <c r="B404" s="2">
        <v>45601</v>
      </c>
      <c r="C404" s="2">
        <v>45604</v>
      </c>
      <c r="D404" t="s">
        <v>648</v>
      </c>
      <c r="E404" t="s">
        <v>653</v>
      </c>
      <c r="F404" t="s">
        <v>667</v>
      </c>
      <c r="G404" t="s">
        <v>702</v>
      </c>
      <c r="H404" t="s">
        <v>709</v>
      </c>
      <c r="I404" t="s">
        <v>719</v>
      </c>
      <c r="J404" t="s">
        <v>727</v>
      </c>
      <c r="K404" t="s">
        <v>1135</v>
      </c>
      <c r="L404">
        <v>1020.4</v>
      </c>
      <c r="M404">
        <v>1184.71</v>
      </c>
      <c r="N404">
        <v>0.106</v>
      </c>
      <c r="O404">
        <v>16</v>
      </c>
    </row>
    <row r="405" spans="1:15">
      <c r="A405" t="s">
        <v>417</v>
      </c>
      <c r="B405" s="2">
        <v>45497</v>
      </c>
      <c r="C405" s="2">
        <v>45512</v>
      </c>
      <c r="D405" t="s">
        <v>649</v>
      </c>
      <c r="E405" t="s">
        <v>657</v>
      </c>
      <c r="F405" t="s">
        <v>673</v>
      </c>
      <c r="G405" t="s">
        <v>706</v>
      </c>
      <c r="H405" t="s">
        <v>709</v>
      </c>
      <c r="I405" t="s">
        <v>722</v>
      </c>
      <c r="J405" t="s">
        <v>731</v>
      </c>
      <c r="K405" t="s">
        <v>1136</v>
      </c>
      <c r="L405">
        <v>501.5</v>
      </c>
      <c r="M405">
        <v>1201.47</v>
      </c>
      <c r="N405">
        <v>0.126</v>
      </c>
      <c r="O405">
        <v>5</v>
      </c>
    </row>
    <row r="406" spans="1:15">
      <c r="A406" t="s">
        <v>418</v>
      </c>
      <c r="B406" s="2">
        <v>45677</v>
      </c>
      <c r="C406" s="2">
        <v>45691</v>
      </c>
      <c r="D406" t="s">
        <v>648</v>
      </c>
      <c r="E406" t="s">
        <v>655</v>
      </c>
      <c r="F406" t="s">
        <v>672</v>
      </c>
      <c r="G406" t="s">
        <v>706</v>
      </c>
      <c r="H406" t="s">
        <v>709</v>
      </c>
      <c r="I406" t="s">
        <v>721</v>
      </c>
      <c r="J406" t="s">
        <v>727</v>
      </c>
      <c r="K406" t="s">
        <v>1137</v>
      </c>
      <c r="L406">
        <v>974.11</v>
      </c>
      <c r="M406">
        <v>880.99</v>
      </c>
      <c r="N406">
        <v>0.111</v>
      </c>
      <c r="O406">
        <v>10</v>
      </c>
    </row>
    <row r="407" spans="1:15">
      <c r="A407" t="s">
        <v>419</v>
      </c>
      <c r="B407" s="2">
        <v>44991</v>
      </c>
      <c r="C407" s="2">
        <v>45020</v>
      </c>
      <c r="D407" t="s">
        <v>647</v>
      </c>
      <c r="E407" t="s">
        <v>659</v>
      </c>
      <c r="F407" t="s">
        <v>699</v>
      </c>
      <c r="G407" t="s">
        <v>705</v>
      </c>
      <c r="H407" t="s">
        <v>711</v>
      </c>
      <c r="I407" t="s">
        <v>712</v>
      </c>
      <c r="J407" t="s">
        <v>732</v>
      </c>
      <c r="K407" t="s">
        <v>1138</v>
      </c>
      <c r="L407">
        <v>1126.29</v>
      </c>
      <c r="M407">
        <v>2050.87</v>
      </c>
      <c r="N407">
        <v>6.4000000000000001E-2</v>
      </c>
      <c r="O407">
        <v>7</v>
      </c>
    </row>
    <row r="408" spans="1:15">
      <c r="A408" t="s">
        <v>420</v>
      </c>
      <c r="B408" s="2">
        <v>45646</v>
      </c>
      <c r="C408" s="2">
        <v>45671</v>
      </c>
      <c r="D408" t="s">
        <v>647</v>
      </c>
      <c r="E408" t="s">
        <v>654</v>
      </c>
      <c r="F408" t="s">
        <v>680</v>
      </c>
      <c r="G408" t="s">
        <v>705</v>
      </c>
      <c r="H408" t="s">
        <v>707</v>
      </c>
      <c r="I408" t="s">
        <v>724</v>
      </c>
      <c r="J408" t="s">
        <v>728</v>
      </c>
      <c r="K408" t="s">
        <v>1139</v>
      </c>
      <c r="L408">
        <v>1361.34</v>
      </c>
      <c r="M408">
        <v>1737.9</v>
      </c>
      <c r="N408">
        <v>7.6999999999999999E-2</v>
      </c>
      <c r="O408">
        <v>14</v>
      </c>
    </row>
    <row r="409" spans="1:15">
      <c r="A409" t="s">
        <v>421</v>
      </c>
      <c r="B409" s="2">
        <v>45709</v>
      </c>
      <c r="C409" s="2">
        <v>45737</v>
      </c>
      <c r="D409" t="s">
        <v>646</v>
      </c>
      <c r="E409" t="s">
        <v>651</v>
      </c>
      <c r="F409" t="s">
        <v>669</v>
      </c>
      <c r="G409" t="s">
        <v>706</v>
      </c>
      <c r="H409" t="s">
        <v>709</v>
      </c>
      <c r="I409" t="s">
        <v>714</v>
      </c>
      <c r="J409" t="s">
        <v>730</v>
      </c>
      <c r="K409" t="s">
        <v>1140</v>
      </c>
      <c r="L409">
        <v>1437.39</v>
      </c>
      <c r="M409">
        <v>1388.31</v>
      </c>
      <c r="N409">
        <v>0.13800000000000001</v>
      </c>
      <c r="O409">
        <v>18</v>
      </c>
    </row>
    <row r="410" spans="1:15">
      <c r="A410" t="s">
        <v>422</v>
      </c>
      <c r="B410" s="2">
        <v>45724</v>
      </c>
      <c r="C410" s="2">
        <v>45731</v>
      </c>
      <c r="D410" t="s">
        <v>647</v>
      </c>
      <c r="E410" t="s">
        <v>654</v>
      </c>
      <c r="F410" t="s">
        <v>668</v>
      </c>
      <c r="G410" t="s">
        <v>701</v>
      </c>
      <c r="H410" t="s">
        <v>710</v>
      </c>
      <c r="I410" t="s">
        <v>723</v>
      </c>
      <c r="J410" t="s">
        <v>731</v>
      </c>
      <c r="K410" t="s">
        <v>1141</v>
      </c>
      <c r="L410">
        <v>475.66</v>
      </c>
      <c r="M410">
        <v>529.14</v>
      </c>
      <c r="N410">
        <v>0.19600000000000001</v>
      </c>
      <c r="O410">
        <v>11</v>
      </c>
    </row>
    <row r="411" spans="1:15">
      <c r="A411" t="s">
        <v>423</v>
      </c>
      <c r="B411" s="2">
        <v>45276</v>
      </c>
      <c r="C411" s="2">
        <v>45279</v>
      </c>
      <c r="D411" t="s">
        <v>647</v>
      </c>
      <c r="E411" t="s">
        <v>659</v>
      </c>
      <c r="F411" t="s">
        <v>699</v>
      </c>
      <c r="G411" t="s">
        <v>702</v>
      </c>
      <c r="H411" t="s">
        <v>707</v>
      </c>
      <c r="I411" t="s">
        <v>720</v>
      </c>
      <c r="J411" t="s">
        <v>733</v>
      </c>
      <c r="K411" t="s">
        <v>1142</v>
      </c>
      <c r="L411">
        <v>1415.05</v>
      </c>
      <c r="M411">
        <v>1972.38</v>
      </c>
      <c r="N411">
        <v>0</v>
      </c>
      <c r="O411">
        <v>12</v>
      </c>
    </row>
    <row r="412" spans="1:15">
      <c r="A412" t="s">
        <v>424</v>
      </c>
      <c r="B412" s="2">
        <v>45534</v>
      </c>
      <c r="C412" s="2">
        <v>45540</v>
      </c>
      <c r="D412" t="s">
        <v>647</v>
      </c>
      <c r="E412" t="s">
        <v>652</v>
      </c>
      <c r="F412" t="s">
        <v>694</v>
      </c>
      <c r="G412" t="s">
        <v>702</v>
      </c>
      <c r="H412" t="s">
        <v>708</v>
      </c>
      <c r="I412" t="s">
        <v>725</v>
      </c>
      <c r="J412" t="s">
        <v>731</v>
      </c>
      <c r="K412" t="s">
        <v>1143</v>
      </c>
      <c r="L412">
        <v>466.16</v>
      </c>
      <c r="M412">
        <v>876.81</v>
      </c>
      <c r="N412">
        <v>0.24099999999999999</v>
      </c>
      <c r="O412">
        <v>8</v>
      </c>
    </row>
    <row r="413" spans="1:15">
      <c r="A413" t="s">
        <v>425</v>
      </c>
      <c r="B413" s="2">
        <v>45430</v>
      </c>
      <c r="C413" s="2">
        <v>45433</v>
      </c>
      <c r="D413" t="s">
        <v>649</v>
      </c>
      <c r="E413" t="s">
        <v>657</v>
      </c>
      <c r="F413" t="s">
        <v>673</v>
      </c>
      <c r="G413" t="s">
        <v>703</v>
      </c>
      <c r="H413" t="s">
        <v>709</v>
      </c>
      <c r="I413" t="s">
        <v>726</v>
      </c>
      <c r="J413" t="s">
        <v>728</v>
      </c>
      <c r="K413" t="s">
        <v>1144</v>
      </c>
      <c r="L413">
        <v>663.66</v>
      </c>
      <c r="M413">
        <v>824.26</v>
      </c>
      <c r="N413">
        <v>0.23899999999999999</v>
      </c>
      <c r="O413">
        <v>11</v>
      </c>
    </row>
    <row r="414" spans="1:15">
      <c r="A414" t="s">
        <v>426</v>
      </c>
      <c r="B414" s="2">
        <v>45002</v>
      </c>
      <c r="C414" s="2">
        <v>45022</v>
      </c>
      <c r="D414" t="s">
        <v>649</v>
      </c>
      <c r="E414" t="s">
        <v>656</v>
      </c>
      <c r="F414" t="s">
        <v>684</v>
      </c>
      <c r="G414" t="s">
        <v>704</v>
      </c>
      <c r="H414" t="s">
        <v>707</v>
      </c>
      <c r="I414" t="s">
        <v>719</v>
      </c>
      <c r="J414" t="s">
        <v>730</v>
      </c>
      <c r="K414" t="s">
        <v>1145</v>
      </c>
      <c r="L414">
        <v>692.18</v>
      </c>
      <c r="M414">
        <v>1159.3499999999999</v>
      </c>
      <c r="N414">
        <v>0.112</v>
      </c>
      <c r="O414">
        <v>2</v>
      </c>
    </row>
    <row r="415" spans="1:15">
      <c r="A415" t="s">
        <v>427</v>
      </c>
      <c r="B415" s="2">
        <v>45163</v>
      </c>
      <c r="C415" s="2">
        <v>45185</v>
      </c>
      <c r="D415" t="s">
        <v>646</v>
      </c>
      <c r="E415" t="s">
        <v>651</v>
      </c>
      <c r="F415" t="s">
        <v>669</v>
      </c>
      <c r="G415" t="s">
        <v>701</v>
      </c>
      <c r="H415" t="s">
        <v>709</v>
      </c>
      <c r="I415" t="s">
        <v>716</v>
      </c>
      <c r="J415" t="s">
        <v>730</v>
      </c>
      <c r="K415" t="s">
        <v>1146</v>
      </c>
      <c r="L415">
        <v>1196.83</v>
      </c>
      <c r="M415">
        <v>2513.5100000000002</v>
      </c>
      <c r="N415">
        <v>8.3000000000000004E-2</v>
      </c>
      <c r="O415">
        <v>7</v>
      </c>
    </row>
    <row r="416" spans="1:15">
      <c r="A416" t="s">
        <v>428</v>
      </c>
      <c r="B416" s="2">
        <v>45449</v>
      </c>
      <c r="C416" s="2">
        <v>45467</v>
      </c>
      <c r="D416" t="s">
        <v>647</v>
      </c>
      <c r="E416" t="s">
        <v>654</v>
      </c>
      <c r="F416" t="s">
        <v>668</v>
      </c>
      <c r="G416" t="s">
        <v>705</v>
      </c>
      <c r="H416" t="s">
        <v>711</v>
      </c>
      <c r="I416" t="s">
        <v>722</v>
      </c>
      <c r="J416" t="s">
        <v>729</v>
      </c>
      <c r="K416" t="s">
        <v>1147</v>
      </c>
      <c r="L416">
        <v>1253.25</v>
      </c>
      <c r="M416">
        <v>3087.13</v>
      </c>
      <c r="N416">
        <v>7.1999999999999995E-2</v>
      </c>
      <c r="O416">
        <v>11</v>
      </c>
    </row>
    <row r="417" spans="1:15">
      <c r="A417" t="s">
        <v>429</v>
      </c>
      <c r="B417" s="2">
        <v>45167</v>
      </c>
      <c r="C417" s="2">
        <v>45182</v>
      </c>
      <c r="D417" t="s">
        <v>648</v>
      </c>
      <c r="E417" t="s">
        <v>653</v>
      </c>
      <c r="F417" t="s">
        <v>688</v>
      </c>
      <c r="G417" t="s">
        <v>705</v>
      </c>
      <c r="H417" t="s">
        <v>709</v>
      </c>
      <c r="I417" t="s">
        <v>719</v>
      </c>
      <c r="J417" t="s">
        <v>728</v>
      </c>
      <c r="K417" t="s">
        <v>1148</v>
      </c>
      <c r="L417">
        <v>1287.6400000000001</v>
      </c>
      <c r="M417">
        <v>2717.15</v>
      </c>
      <c r="N417">
        <v>3.2000000000000001E-2</v>
      </c>
      <c r="O417">
        <v>7</v>
      </c>
    </row>
    <row r="418" spans="1:15">
      <c r="A418" t="s">
        <v>430</v>
      </c>
      <c r="B418" s="2">
        <v>45626</v>
      </c>
      <c r="C418" s="2">
        <v>45636</v>
      </c>
      <c r="D418" t="s">
        <v>647</v>
      </c>
      <c r="E418" t="s">
        <v>654</v>
      </c>
      <c r="F418" t="s">
        <v>696</v>
      </c>
      <c r="G418" t="s">
        <v>705</v>
      </c>
      <c r="H418" t="s">
        <v>707</v>
      </c>
      <c r="I418" t="s">
        <v>721</v>
      </c>
      <c r="J418" t="s">
        <v>733</v>
      </c>
      <c r="K418" t="s">
        <v>1149</v>
      </c>
      <c r="L418">
        <v>851.49</v>
      </c>
      <c r="M418">
        <v>901.79</v>
      </c>
      <c r="N418">
        <v>0.245</v>
      </c>
      <c r="O418">
        <v>16</v>
      </c>
    </row>
    <row r="419" spans="1:15">
      <c r="A419" t="s">
        <v>431</v>
      </c>
      <c r="B419" s="2">
        <v>45813</v>
      </c>
      <c r="C419" s="2">
        <v>45822</v>
      </c>
      <c r="D419" t="s">
        <v>647</v>
      </c>
      <c r="E419" t="s">
        <v>654</v>
      </c>
      <c r="F419" t="s">
        <v>680</v>
      </c>
      <c r="G419" t="s">
        <v>703</v>
      </c>
      <c r="H419" t="s">
        <v>707</v>
      </c>
      <c r="I419" t="s">
        <v>720</v>
      </c>
      <c r="J419" t="s">
        <v>733</v>
      </c>
      <c r="K419" t="s">
        <v>1150</v>
      </c>
      <c r="L419">
        <v>618.69000000000005</v>
      </c>
      <c r="M419">
        <v>796.15</v>
      </c>
      <c r="N419">
        <v>0.09</v>
      </c>
      <c r="O419">
        <v>11</v>
      </c>
    </row>
    <row r="420" spans="1:15">
      <c r="A420" t="s">
        <v>432</v>
      </c>
      <c r="B420" s="2">
        <v>45730</v>
      </c>
      <c r="C420" s="2">
        <v>45755</v>
      </c>
      <c r="D420" t="s">
        <v>647</v>
      </c>
      <c r="E420" t="s">
        <v>659</v>
      </c>
      <c r="G420" t="s">
        <v>701</v>
      </c>
      <c r="H420" t="s">
        <v>710</v>
      </c>
      <c r="I420" t="s">
        <v>726</v>
      </c>
      <c r="J420" t="s">
        <v>728</v>
      </c>
      <c r="K420" t="s">
        <v>1151</v>
      </c>
      <c r="L420">
        <v>80.59</v>
      </c>
      <c r="M420">
        <v>157.82</v>
      </c>
      <c r="N420">
        <v>0.217</v>
      </c>
      <c r="O420">
        <v>6</v>
      </c>
    </row>
    <row r="421" spans="1:15">
      <c r="A421" t="s">
        <v>433</v>
      </c>
      <c r="B421" s="2">
        <v>45307</v>
      </c>
      <c r="C421" s="2">
        <v>45333</v>
      </c>
      <c r="D421" t="s">
        <v>649</v>
      </c>
      <c r="E421" t="s">
        <v>656</v>
      </c>
      <c r="F421" t="s">
        <v>698</v>
      </c>
      <c r="G421" t="s">
        <v>703</v>
      </c>
      <c r="H421" t="s">
        <v>710</v>
      </c>
      <c r="I421" t="s">
        <v>718</v>
      </c>
      <c r="J421" t="s">
        <v>732</v>
      </c>
      <c r="K421" t="s">
        <v>1152</v>
      </c>
      <c r="L421">
        <v>504.93</v>
      </c>
      <c r="M421">
        <v>819.06</v>
      </c>
      <c r="N421">
        <v>0.22600000000000001</v>
      </c>
      <c r="O421">
        <v>15</v>
      </c>
    </row>
    <row r="422" spans="1:15">
      <c r="A422" t="s">
        <v>434</v>
      </c>
      <c r="B422" s="2">
        <v>45211</v>
      </c>
      <c r="C422" s="2">
        <v>45228</v>
      </c>
      <c r="D422" t="s">
        <v>647</v>
      </c>
      <c r="E422" t="s">
        <v>652</v>
      </c>
      <c r="F422" t="s">
        <v>694</v>
      </c>
      <c r="G422" t="s">
        <v>703</v>
      </c>
      <c r="H422" t="s">
        <v>711</v>
      </c>
      <c r="I422" t="s">
        <v>722</v>
      </c>
      <c r="J422" t="s">
        <v>730</v>
      </c>
      <c r="K422" t="s">
        <v>1153</v>
      </c>
      <c r="L422">
        <v>1102.19</v>
      </c>
      <c r="M422">
        <v>1711.16</v>
      </c>
      <c r="N422">
        <v>0.151</v>
      </c>
      <c r="O422">
        <v>10</v>
      </c>
    </row>
    <row r="423" spans="1:15">
      <c r="A423" t="s">
        <v>435</v>
      </c>
      <c r="B423" s="2">
        <v>45713</v>
      </c>
      <c r="C423" s="2">
        <v>45733</v>
      </c>
      <c r="D423" t="s">
        <v>648</v>
      </c>
      <c r="E423" t="s">
        <v>660</v>
      </c>
      <c r="F423" t="s">
        <v>686</v>
      </c>
      <c r="G423" t="s">
        <v>703</v>
      </c>
      <c r="H423" t="s">
        <v>709</v>
      </c>
      <c r="I423" t="s">
        <v>722</v>
      </c>
      <c r="J423" t="s">
        <v>730</v>
      </c>
      <c r="K423" t="s">
        <v>1154</v>
      </c>
      <c r="L423">
        <v>1205.26</v>
      </c>
      <c r="M423">
        <v>1696.35</v>
      </c>
      <c r="N423">
        <v>1.9E-2</v>
      </c>
      <c r="O423">
        <v>6</v>
      </c>
    </row>
    <row r="424" spans="1:15">
      <c r="A424" t="s">
        <v>436</v>
      </c>
      <c r="B424" s="2">
        <v>45841</v>
      </c>
      <c r="C424" s="2">
        <v>45844</v>
      </c>
      <c r="D424" t="s">
        <v>646</v>
      </c>
      <c r="E424" t="s">
        <v>651</v>
      </c>
      <c r="F424" t="s">
        <v>665</v>
      </c>
      <c r="G424" t="s">
        <v>704</v>
      </c>
      <c r="H424" t="s">
        <v>708</v>
      </c>
      <c r="J424" t="s">
        <v>731</v>
      </c>
      <c r="K424" t="s">
        <v>1155</v>
      </c>
      <c r="L424">
        <v>1313.3</v>
      </c>
      <c r="M424">
        <v>2884.34</v>
      </c>
      <c r="N424">
        <v>0.157</v>
      </c>
      <c r="O424">
        <v>42</v>
      </c>
    </row>
    <row r="425" spans="1:15">
      <c r="A425" t="s">
        <v>437</v>
      </c>
      <c r="B425" s="2">
        <v>45915</v>
      </c>
      <c r="C425" s="2">
        <v>45925</v>
      </c>
      <c r="D425" t="s">
        <v>647</v>
      </c>
      <c r="E425" t="s">
        <v>654</v>
      </c>
      <c r="F425" t="s">
        <v>680</v>
      </c>
      <c r="G425" t="s">
        <v>704</v>
      </c>
      <c r="H425" t="s">
        <v>707</v>
      </c>
      <c r="I425" t="s">
        <v>720</v>
      </c>
      <c r="J425" t="s">
        <v>730</v>
      </c>
      <c r="K425" t="s">
        <v>1156</v>
      </c>
      <c r="L425">
        <v>1488.91</v>
      </c>
      <c r="M425">
        <v>1483.74</v>
      </c>
      <c r="N425">
        <v>0.16800000000000001</v>
      </c>
      <c r="O425">
        <v>24</v>
      </c>
    </row>
    <row r="426" spans="1:15">
      <c r="A426" t="s">
        <v>438</v>
      </c>
      <c r="B426" s="2">
        <v>45341</v>
      </c>
      <c r="C426" s="2">
        <v>45357</v>
      </c>
      <c r="D426" t="s">
        <v>647</v>
      </c>
      <c r="E426" t="s">
        <v>659</v>
      </c>
      <c r="F426" t="s">
        <v>699</v>
      </c>
      <c r="G426" t="s">
        <v>702</v>
      </c>
      <c r="H426" t="s">
        <v>709</v>
      </c>
      <c r="I426" t="s">
        <v>719</v>
      </c>
      <c r="J426" t="s">
        <v>728</v>
      </c>
      <c r="K426" t="s">
        <v>1157</v>
      </c>
      <c r="L426">
        <v>1477.84</v>
      </c>
      <c r="M426">
        <v>3197.47</v>
      </c>
      <c r="N426">
        <v>0.24299999999999999</v>
      </c>
      <c r="O426">
        <v>24</v>
      </c>
    </row>
    <row r="427" spans="1:15">
      <c r="A427" t="s">
        <v>439</v>
      </c>
      <c r="B427" s="2">
        <v>45349</v>
      </c>
      <c r="C427" s="2">
        <v>45377</v>
      </c>
      <c r="D427" t="s">
        <v>647</v>
      </c>
      <c r="E427" t="s">
        <v>654</v>
      </c>
      <c r="F427" t="s">
        <v>691</v>
      </c>
      <c r="G427" t="s">
        <v>702</v>
      </c>
      <c r="H427" t="s">
        <v>709</v>
      </c>
      <c r="I427" t="s">
        <v>715</v>
      </c>
      <c r="J427" t="s">
        <v>731</v>
      </c>
      <c r="K427" t="s">
        <v>1158</v>
      </c>
      <c r="L427">
        <v>1035.19</v>
      </c>
      <c r="M427">
        <v>2322.6999999999998</v>
      </c>
      <c r="N427">
        <v>0.17299999999999999</v>
      </c>
      <c r="O427">
        <v>8</v>
      </c>
    </row>
    <row r="428" spans="1:15">
      <c r="A428" t="s">
        <v>440</v>
      </c>
      <c r="B428" s="2">
        <v>45897</v>
      </c>
      <c r="C428" s="2">
        <v>45905</v>
      </c>
      <c r="D428" t="s">
        <v>646</v>
      </c>
      <c r="E428" t="s">
        <v>651</v>
      </c>
      <c r="F428" t="s">
        <v>663</v>
      </c>
      <c r="G428" t="s">
        <v>705</v>
      </c>
      <c r="H428" t="s">
        <v>709</v>
      </c>
      <c r="I428" t="s">
        <v>718</v>
      </c>
      <c r="J428" t="s">
        <v>731</v>
      </c>
      <c r="K428" t="s">
        <v>1159</v>
      </c>
      <c r="L428">
        <v>1271.0999999999999</v>
      </c>
      <c r="M428">
        <v>1932.42</v>
      </c>
      <c r="N428">
        <v>0.25</v>
      </c>
      <c r="O428">
        <v>21</v>
      </c>
    </row>
    <row r="429" spans="1:15">
      <c r="A429" t="s">
        <v>441</v>
      </c>
      <c r="B429" s="2">
        <v>45522</v>
      </c>
      <c r="C429" s="2">
        <v>45547</v>
      </c>
      <c r="D429" t="s">
        <v>647</v>
      </c>
      <c r="E429" t="s">
        <v>654</v>
      </c>
      <c r="F429" t="s">
        <v>691</v>
      </c>
      <c r="G429" t="s">
        <v>704</v>
      </c>
      <c r="H429" t="s">
        <v>709</v>
      </c>
      <c r="I429" t="s">
        <v>712</v>
      </c>
      <c r="J429" t="s">
        <v>730</v>
      </c>
      <c r="K429" t="s">
        <v>1160</v>
      </c>
      <c r="L429">
        <v>1154.03</v>
      </c>
      <c r="M429">
        <v>1590.36</v>
      </c>
      <c r="N429">
        <v>0.314</v>
      </c>
      <c r="O429">
        <v>18</v>
      </c>
    </row>
    <row r="430" spans="1:15">
      <c r="A430" t="s">
        <v>442</v>
      </c>
      <c r="B430" s="2">
        <v>45347</v>
      </c>
      <c r="C430" s="2">
        <v>45360</v>
      </c>
      <c r="D430" t="s">
        <v>649</v>
      </c>
      <c r="E430" t="s">
        <v>657</v>
      </c>
      <c r="F430" t="s">
        <v>673</v>
      </c>
      <c r="G430" t="s">
        <v>705</v>
      </c>
      <c r="H430" t="s">
        <v>710</v>
      </c>
      <c r="I430" t="s">
        <v>718</v>
      </c>
      <c r="J430" t="s">
        <v>732</v>
      </c>
      <c r="K430" t="s">
        <v>1161</v>
      </c>
      <c r="L430">
        <v>322.44</v>
      </c>
      <c r="M430">
        <v>395.61</v>
      </c>
      <c r="N430">
        <v>0</v>
      </c>
      <c r="O430">
        <v>34</v>
      </c>
    </row>
    <row r="431" spans="1:15">
      <c r="A431" t="s">
        <v>443</v>
      </c>
      <c r="B431" s="2">
        <v>45784</v>
      </c>
      <c r="C431" s="2">
        <v>45790</v>
      </c>
      <c r="D431" t="s">
        <v>647</v>
      </c>
      <c r="E431" t="s">
        <v>654</v>
      </c>
      <c r="F431" t="s">
        <v>668</v>
      </c>
      <c r="G431" t="s">
        <v>706</v>
      </c>
      <c r="H431" t="s">
        <v>711</v>
      </c>
      <c r="I431" t="s">
        <v>713</v>
      </c>
      <c r="J431" t="s">
        <v>730</v>
      </c>
      <c r="K431" t="s">
        <v>1162</v>
      </c>
      <c r="L431">
        <v>935.98</v>
      </c>
      <c r="M431">
        <v>2077.69</v>
      </c>
      <c r="N431">
        <v>0.17499999999999999</v>
      </c>
      <c r="O431">
        <v>24</v>
      </c>
    </row>
    <row r="432" spans="1:15">
      <c r="A432" t="s">
        <v>444</v>
      </c>
      <c r="B432" s="2">
        <v>45597</v>
      </c>
      <c r="C432" s="2">
        <v>45608</v>
      </c>
      <c r="D432" t="s">
        <v>649</v>
      </c>
      <c r="E432" t="s">
        <v>656</v>
      </c>
      <c r="F432" t="s">
        <v>698</v>
      </c>
      <c r="G432" t="s">
        <v>704</v>
      </c>
      <c r="H432" t="s">
        <v>708</v>
      </c>
      <c r="I432" t="s">
        <v>717</v>
      </c>
      <c r="J432" t="s">
        <v>728</v>
      </c>
      <c r="K432" t="s">
        <v>1163</v>
      </c>
      <c r="L432">
        <v>599.84</v>
      </c>
      <c r="M432">
        <v>1330.85</v>
      </c>
      <c r="N432">
        <v>0.115</v>
      </c>
      <c r="O432">
        <v>11</v>
      </c>
    </row>
    <row r="433" spans="1:15">
      <c r="A433" t="s">
        <v>445</v>
      </c>
      <c r="B433" s="2">
        <v>45654</v>
      </c>
      <c r="C433" s="2">
        <v>45665</v>
      </c>
      <c r="D433" t="s">
        <v>647</v>
      </c>
      <c r="E433" t="s">
        <v>659</v>
      </c>
      <c r="F433" t="s">
        <v>676</v>
      </c>
      <c r="G433" t="s">
        <v>706</v>
      </c>
      <c r="H433" t="s">
        <v>708</v>
      </c>
      <c r="I433" t="s">
        <v>723</v>
      </c>
      <c r="J433" t="s">
        <v>731</v>
      </c>
      <c r="K433" t="s">
        <v>1164</v>
      </c>
      <c r="L433">
        <v>1201.31</v>
      </c>
      <c r="M433">
        <v>2764.65</v>
      </c>
      <c r="N433">
        <v>0</v>
      </c>
      <c r="O433">
        <v>21</v>
      </c>
    </row>
    <row r="434" spans="1:15">
      <c r="A434" t="s">
        <v>446</v>
      </c>
      <c r="B434" s="2">
        <v>45220</v>
      </c>
      <c r="C434" s="2">
        <v>45220</v>
      </c>
      <c r="D434" t="s">
        <v>649</v>
      </c>
      <c r="E434" t="s">
        <v>658</v>
      </c>
      <c r="F434" t="s">
        <v>693</v>
      </c>
      <c r="G434" t="s">
        <v>706</v>
      </c>
      <c r="H434" t="s">
        <v>710</v>
      </c>
      <c r="I434" t="s">
        <v>713</v>
      </c>
      <c r="J434" t="s">
        <v>732</v>
      </c>
      <c r="K434" t="s">
        <v>1165</v>
      </c>
      <c r="L434">
        <v>384.19</v>
      </c>
      <c r="M434">
        <v>278.35000000000002</v>
      </c>
      <c r="N434">
        <v>5.6000000000000001E-2</v>
      </c>
      <c r="O434">
        <v>10</v>
      </c>
    </row>
    <row r="435" spans="1:15">
      <c r="A435" t="s">
        <v>447</v>
      </c>
      <c r="B435" s="2">
        <v>45636</v>
      </c>
      <c r="C435" s="2">
        <v>45645</v>
      </c>
      <c r="D435" t="s">
        <v>646</v>
      </c>
      <c r="E435" t="s">
        <v>651</v>
      </c>
      <c r="F435" t="s">
        <v>665</v>
      </c>
      <c r="G435" t="s">
        <v>701</v>
      </c>
      <c r="H435" t="s">
        <v>707</v>
      </c>
      <c r="I435" t="s">
        <v>719</v>
      </c>
      <c r="J435" t="s">
        <v>732</v>
      </c>
      <c r="K435" t="s">
        <v>1166</v>
      </c>
      <c r="L435">
        <v>488.68</v>
      </c>
      <c r="M435">
        <v>984.36</v>
      </c>
      <c r="N435">
        <v>5.8999999999999997E-2</v>
      </c>
      <c r="O435">
        <v>14</v>
      </c>
    </row>
    <row r="436" spans="1:15">
      <c r="A436" t="s">
        <v>448</v>
      </c>
      <c r="B436" s="2">
        <v>45542</v>
      </c>
      <c r="C436" s="2">
        <v>45553</v>
      </c>
      <c r="D436" t="s">
        <v>647</v>
      </c>
      <c r="E436" t="s">
        <v>659</v>
      </c>
      <c r="F436" t="s">
        <v>699</v>
      </c>
      <c r="G436" t="s">
        <v>704</v>
      </c>
      <c r="H436" t="s">
        <v>710</v>
      </c>
      <c r="I436" t="s">
        <v>719</v>
      </c>
      <c r="J436" t="s">
        <v>729</v>
      </c>
      <c r="K436" t="s">
        <v>1167</v>
      </c>
      <c r="L436">
        <v>181.74</v>
      </c>
      <c r="M436">
        <v>190.84</v>
      </c>
      <c r="N436">
        <v>0.214</v>
      </c>
      <c r="O436">
        <v>13</v>
      </c>
    </row>
    <row r="437" spans="1:15">
      <c r="A437" t="s">
        <v>449</v>
      </c>
      <c r="B437" s="2">
        <v>45217</v>
      </c>
      <c r="C437" s="2">
        <v>45219</v>
      </c>
      <c r="D437" t="s">
        <v>646</v>
      </c>
      <c r="E437" t="s">
        <v>650</v>
      </c>
      <c r="F437" t="s">
        <v>662</v>
      </c>
      <c r="G437" t="s">
        <v>704</v>
      </c>
      <c r="H437" t="s">
        <v>707</v>
      </c>
      <c r="I437" t="s">
        <v>713</v>
      </c>
      <c r="J437" t="s">
        <v>730</v>
      </c>
      <c r="K437" t="s">
        <v>1168</v>
      </c>
      <c r="L437">
        <v>774.12</v>
      </c>
      <c r="M437">
        <v>908.3</v>
      </c>
      <c r="N437">
        <v>0</v>
      </c>
      <c r="O437">
        <v>30</v>
      </c>
    </row>
    <row r="438" spans="1:15">
      <c r="A438" t="s">
        <v>450</v>
      </c>
      <c r="B438" s="2">
        <v>45650</v>
      </c>
      <c r="C438" s="2">
        <v>45670</v>
      </c>
      <c r="D438" t="s">
        <v>647</v>
      </c>
      <c r="E438" t="s">
        <v>654</v>
      </c>
      <c r="F438" t="s">
        <v>668</v>
      </c>
      <c r="G438" t="s">
        <v>701</v>
      </c>
      <c r="H438" t="s">
        <v>709</v>
      </c>
      <c r="I438" t="s">
        <v>726</v>
      </c>
      <c r="J438" t="s">
        <v>729</v>
      </c>
      <c r="K438" t="s">
        <v>1169</v>
      </c>
      <c r="L438">
        <v>126.15</v>
      </c>
      <c r="M438">
        <v>284.23</v>
      </c>
      <c r="N438">
        <v>0.113</v>
      </c>
      <c r="O438">
        <v>22</v>
      </c>
    </row>
    <row r="439" spans="1:15">
      <c r="A439" t="s">
        <v>451</v>
      </c>
      <c r="B439" s="2">
        <v>45037</v>
      </c>
      <c r="C439" s="2">
        <v>45035</v>
      </c>
      <c r="D439" t="s">
        <v>647</v>
      </c>
      <c r="E439" t="s">
        <v>652</v>
      </c>
      <c r="F439" t="s">
        <v>694</v>
      </c>
      <c r="G439" t="s">
        <v>705</v>
      </c>
      <c r="H439" t="s">
        <v>711</v>
      </c>
      <c r="I439" t="s">
        <v>724</v>
      </c>
      <c r="J439" t="s">
        <v>727</v>
      </c>
      <c r="K439" t="s">
        <v>1170</v>
      </c>
      <c r="L439">
        <v>607.04</v>
      </c>
      <c r="M439">
        <v>1229.3399999999999</v>
      </c>
      <c r="N439">
        <v>0.14699999999999999</v>
      </c>
      <c r="O439">
        <v>7</v>
      </c>
    </row>
    <row r="440" spans="1:15">
      <c r="A440" t="s">
        <v>452</v>
      </c>
      <c r="B440" s="2">
        <v>45290</v>
      </c>
      <c r="C440" s="2">
        <v>45299</v>
      </c>
      <c r="D440" t="s">
        <v>649</v>
      </c>
      <c r="E440" t="s">
        <v>657</v>
      </c>
      <c r="F440" t="s">
        <v>673</v>
      </c>
      <c r="G440" t="s">
        <v>704</v>
      </c>
      <c r="H440" t="s">
        <v>709</v>
      </c>
      <c r="I440" t="s">
        <v>716</v>
      </c>
      <c r="J440" t="s">
        <v>733</v>
      </c>
      <c r="K440" t="s">
        <v>1171</v>
      </c>
      <c r="L440">
        <v>861.1</v>
      </c>
      <c r="M440">
        <v>1224.72</v>
      </c>
      <c r="N440">
        <v>0.17399999999999999</v>
      </c>
      <c r="O440">
        <v>24</v>
      </c>
    </row>
    <row r="441" spans="1:15">
      <c r="A441" t="s">
        <v>453</v>
      </c>
      <c r="B441" s="2">
        <v>44978</v>
      </c>
      <c r="C441" s="2">
        <v>44997</v>
      </c>
      <c r="D441" t="s">
        <v>646</v>
      </c>
      <c r="E441" t="s">
        <v>650</v>
      </c>
      <c r="F441" t="s">
        <v>678</v>
      </c>
      <c r="G441" t="s">
        <v>701</v>
      </c>
      <c r="H441" t="s">
        <v>708</v>
      </c>
      <c r="I441" t="s">
        <v>721</v>
      </c>
      <c r="J441" t="s">
        <v>729</v>
      </c>
      <c r="K441" t="s">
        <v>1172</v>
      </c>
      <c r="L441">
        <v>352.65</v>
      </c>
      <c r="M441">
        <v>485.86</v>
      </c>
      <c r="N441">
        <v>4.1000000000000002E-2</v>
      </c>
      <c r="O441">
        <v>6</v>
      </c>
    </row>
    <row r="442" spans="1:15">
      <c r="A442" t="s">
        <v>454</v>
      </c>
      <c r="B442" s="2">
        <v>45063</v>
      </c>
      <c r="C442" s="2">
        <v>45080</v>
      </c>
      <c r="D442" t="s">
        <v>647</v>
      </c>
      <c r="E442" t="s">
        <v>659</v>
      </c>
      <c r="F442" t="s">
        <v>699</v>
      </c>
      <c r="G442" t="s">
        <v>703</v>
      </c>
      <c r="H442" t="s">
        <v>710</v>
      </c>
      <c r="I442" t="s">
        <v>724</v>
      </c>
      <c r="J442" t="s">
        <v>728</v>
      </c>
      <c r="K442" t="s">
        <v>1173</v>
      </c>
      <c r="L442">
        <v>979.59</v>
      </c>
      <c r="M442">
        <v>2210.94</v>
      </c>
      <c r="N442">
        <v>0.15</v>
      </c>
      <c r="O442">
        <v>11</v>
      </c>
    </row>
    <row r="443" spans="1:15">
      <c r="A443" t="s">
        <v>455</v>
      </c>
      <c r="B443" s="2">
        <v>45374</v>
      </c>
      <c r="C443" s="2">
        <v>45377</v>
      </c>
      <c r="D443" t="s">
        <v>647</v>
      </c>
      <c r="E443" t="s">
        <v>654</v>
      </c>
      <c r="F443" t="s">
        <v>668</v>
      </c>
      <c r="G443" t="s">
        <v>702</v>
      </c>
      <c r="H443" t="s">
        <v>711</v>
      </c>
      <c r="I443" t="s">
        <v>715</v>
      </c>
      <c r="J443" t="s">
        <v>730</v>
      </c>
      <c r="K443" t="s">
        <v>1174</v>
      </c>
      <c r="L443">
        <v>382.21</v>
      </c>
      <c r="M443">
        <v>571.89</v>
      </c>
      <c r="N443">
        <v>0.14799999999999999</v>
      </c>
      <c r="O443">
        <v>26</v>
      </c>
    </row>
    <row r="444" spans="1:15">
      <c r="A444" t="s">
        <v>456</v>
      </c>
      <c r="B444" s="2">
        <v>45189</v>
      </c>
      <c r="C444" s="2">
        <v>45197</v>
      </c>
      <c r="D444" t="s">
        <v>647</v>
      </c>
      <c r="E444" t="s">
        <v>654</v>
      </c>
      <c r="G444" t="s">
        <v>701</v>
      </c>
      <c r="I444" t="s">
        <v>717</v>
      </c>
      <c r="J444" t="s">
        <v>733</v>
      </c>
      <c r="K444" t="s">
        <v>1175</v>
      </c>
      <c r="L444">
        <v>1362.06</v>
      </c>
      <c r="M444">
        <v>3398.37</v>
      </c>
      <c r="N444">
        <v>0.157</v>
      </c>
      <c r="O444">
        <v>11</v>
      </c>
    </row>
    <row r="445" spans="1:15">
      <c r="A445" t="s">
        <v>457</v>
      </c>
      <c r="B445" s="2">
        <v>45526</v>
      </c>
      <c r="C445" s="2">
        <v>45539</v>
      </c>
      <c r="D445" t="s">
        <v>649</v>
      </c>
      <c r="E445" t="s">
        <v>656</v>
      </c>
      <c r="F445" t="s">
        <v>698</v>
      </c>
      <c r="G445" t="s">
        <v>703</v>
      </c>
      <c r="H445" t="s">
        <v>707</v>
      </c>
      <c r="I445" t="s">
        <v>716</v>
      </c>
      <c r="J445" t="s">
        <v>728</v>
      </c>
      <c r="K445" t="s">
        <v>1176</v>
      </c>
      <c r="L445">
        <v>90.04</v>
      </c>
      <c r="M445">
        <v>194.62</v>
      </c>
      <c r="N445">
        <v>4.2999999999999997E-2</v>
      </c>
      <c r="O445">
        <v>32</v>
      </c>
    </row>
    <row r="446" spans="1:15">
      <c r="A446" t="s">
        <v>458</v>
      </c>
      <c r="B446" s="2">
        <v>45560</v>
      </c>
      <c r="C446" s="2">
        <v>45568</v>
      </c>
      <c r="D446" t="s">
        <v>648</v>
      </c>
      <c r="E446" t="s">
        <v>653</v>
      </c>
      <c r="F446" t="s">
        <v>667</v>
      </c>
      <c r="G446" t="s">
        <v>704</v>
      </c>
      <c r="H446" t="s">
        <v>708</v>
      </c>
      <c r="I446" t="s">
        <v>718</v>
      </c>
      <c r="J446" t="s">
        <v>728</v>
      </c>
      <c r="K446" t="s">
        <v>1177</v>
      </c>
      <c r="L446">
        <v>558.19000000000005</v>
      </c>
      <c r="M446">
        <v>1031.6400000000001</v>
      </c>
      <c r="N446">
        <v>0</v>
      </c>
      <c r="O446">
        <v>21</v>
      </c>
    </row>
    <row r="447" spans="1:15">
      <c r="A447" t="s">
        <v>459</v>
      </c>
      <c r="B447" s="2">
        <v>45090</v>
      </c>
      <c r="C447" s="2">
        <v>45101</v>
      </c>
      <c r="D447" t="s">
        <v>648</v>
      </c>
      <c r="E447" t="s">
        <v>653</v>
      </c>
      <c r="F447" t="s">
        <v>667</v>
      </c>
      <c r="G447" t="s">
        <v>701</v>
      </c>
      <c r="H447" t="s">
        <v>708</v>
      </c>
      <c r="I447" t="s">
        <v>712</v>
      </c>
      <c r="J447" t="s">
        <v>728</v>
      </c>
      <c r="K447" t="s">
        <v>1178</v>
      </c>
      <c r="L447">
        <v>247.07</v>
      </c>
      <c r="M447">
        <v>495.19</v>
      </c>
      <c r="N447">
        <v>2.8000000000000001E-2</v>
      </c>
      <c r="O447">
        <v>4</v>
      </c>
    </row>
    <row r="448" spans="1:15">
      <c r="A448" t="s">
        <v>460</v>
      </c>
      <c r="B448" s="2">
        <v>45284</v>
      </c>
      <c r="C448" s="2">
        <v>45304</v>
      </c>
      <c r="D448" t="s">
        <v>647</v>
      </c>
      <c r="E448" t="s">
        <v>652</v>
      </c>
      <c r="F448" t="s">
        <v>694</v>
      </c>
      <c r="G448" t="s">
        <v>702</v>
      </c>
      <c r="H448" t="s">
        <v>711</v>
      </c>
      <c r="I448" t="s">
        <v>717</v>
      </c>
      <c r="J448" t="s">
        <v>731</v>
      </c>
      <c r="K448" t="s">
        <v>1179</v>
      </c>
      <c r="L448">
        <v>625.37</v>
      </c>
      <c r="M448">
        <v>1319.04</v>
      </c>
      <c r="N448">
        <v>7.3999999999999996E-2</v>
      </c>
      <c r="O448">
        <v>8</v>
      </c>
    </row>
    <row r="449" spans="1:15">
      <c r="A449" t="s">
        <v>461</v>
      </c>
      <c r="B449" s="2">
        <v>45746</v>
      </c>
      <c r="C449" s="2">
        <v>45776</v>
      </c>
      <c r="D449" t="s">
        <v>646</v>
      </c>
      <c r="E449" t="s">
        <v>661</v>
      </c>
      <c r="F449" t="s">
        <v>687</v>
      </c>
      <c r="G449" t="s">
        <v>704</v>
      </c>
      <c r="H449" t="s">
        <v>709</v>
      </c>
      <c r="I449" t="s">
        <v>713</v>
      </c>
      <c r="J449" t="s">
        <v>732</v>
      </c>
      <c r="K449" t="s">
        <v>1180</v>
      </c>
      <c r="L449">
        <v>194.6</v>
      </c>
      <c r="M449">
        <v>314.87</v>
      </c>
      <c r="N449">
        <v>0.29299999999999998</v>
      </c>
      <c r="O449">
        <v>25</v>
      </c>
    </row>
    <row r="450" spans="1:15">
      <c r="A450" t="s">
        <v>462</v>
      </c>
      <c r="B450" s="2">
        <v>45446</v>
      </c>
      <c r="C450" s="2">
        <v>45467</v>
      </c>
      <c r="D450" t="s">
        <v>648</v>
      </c>
      <c r="E450" t="s">
        <v>653</v>
      </c>
      <c r="F450" t="s">
        <v>667</v>
      </c>
      <c r="G450" t="s">
        <v>705</v>
      </c>
      <c r="H450" t="s">
        <v>711</v>
      </c>
      <c r="I450" t="s">
        <v>715</v>
      </c>
      <c r="J450" t="s">
        <v>732</v>
      </c>
      <c r="K450" t="s">
        <v>1181</v>
      </c>
      <c r="L450">
        <v>1205.5</v>
      </c>
      <c r="M450">
        <v>2210.17</v>
      </c>
      <c r="N450">
        <v>0.104</v>
      </c>
      <c r="O450">
        <v>23</v>
      </c>
    </row>
    <row r="451" spans="1:15">
      <c r="A451" t="s">
        <v>463</v>
      </c>
      <c r="B451" s="2">
        <v>45454</v>
      </c>
      <c r="C451" s="2">
        <v>45482</v>
      </c>
      <c r="D451" t="s">
        <v>646</v>
      </c>
      <c r="E451" t="s">
        <v>651</v>
      </c>
      <c r="F451" t="s">
        <v>663</v>
      </c>
      <c r="G451" t="s">
        <v>701</v>
      </c>
      <c r="H451" t="s">
        <v>709</v>
      </c>
      <c r="I451" t="s">
        <v>714</v>
      </c>
      <c r="J451" t="s">
        <v>730</v>
      </c>
      <c r="K451" t="s">
        <v>1182</v>
      </c>
      <c r="L451">
        <v>895.54</v>
      </c>
      <c r="M451">
        <v>1045</v>
      </c>
      <c r="N451">
        <v>0.216</v>
      </c>
      <c r="O451">
        <v>15</v>
      </c>
    </row>
    <row r="452" spans="1:15">
      <c r="A452" t="s">
        <v>464</v>
      </c>
      <c r="B452" s="2">
        <v>45129</v>
      </c>
      <c r="C452" s="2">
        <v>45128</v>
      </c>
      <c r="D452" t="s">
        <v>647</v>
      </c>
      <c r="E452" t="s">
        <v>654</v>
      </c>
      <c r="F452" t="s">
        <v>680</v>
      </c>
      <c r="G452" t="s">
        <v>705</v>
      </c>
      <c r="H452" t="s">
        <v>710</v>
      </c>
      <c r="I452" t="s">
        <v>718</v>
      </c>
      <c r="J452" t="s">
        <v>728</v>
      </c>
      <c r="K452" t="s">
        <v>1183</v>
      </c>
      <c r="L452">
        <v>946.99</v>
      </c>
      <c r="M452">
        <v>2132.19</v>
      </c>
      <c r="N452">
        <v>0.16500000000000001</v>
      </c>
      <c r="O452">
        <v>7</v>
      </c>
    </row>
    <row r="453" spans="1:15">
      <c r="A453" t="s">
        <v>465</v>
      </c>
      <c r="B453" s="2">
        <v>44945</v>
      </c>
      <c r="C453" s="2">
        <v>44960</v>
      </c>
      <c r="D453" t="s">
        <v>649</v>
      </c>
      <c r="E453" t="s">
        <v>658</v>
      </c>
      <c r="F453" t="s">
        <v>683</v>
      </c>
      <c r="G453" t="s">
        <v>706</v>
      </c>
      <c r="H453" t="s">
        <v>710</v>
      </c>
      <c r="I453" t="s">
        <v>715</v>
      </c>
      <c r="J453" t="s">
        <v>733</v>
      </c>
      <c r="K453" t="s">
        <v>1184</v>
      </c>
      <c r="L453">
        <v>873.06</v>
      </c>
      <c r="M453">
        <v>2101.5500000000002</v>
      </c>
      <c r="N453">
        <v>6.6000000000000003E-2</v>
      </c>
      <c r="O453">
        <v>10</v>
      </c>
    </row>
    <row r="454" spans="1:15">
      <c r="A454" t="s">
        <v>466</v>
      </c>
      <c r="B454" s="2">
        <v>45413</v>
      </c>
      <c r="C454" s="2">
        <v>45428</v>
      </c>
      <c r="D454" t="s">
        <v>647</v>
      </c>
      <c r="E454" t="s">
        <v>654</v>
      </c>
      <c r="F454" t="s">
        <v>668</v>
      </c>
      <c r="G454" t="s">
        <v>705</v>
      </c>
      <c r="H454" t="s">
        <v>707</v>
      </c>
      <c r="I454" t="s">
        <v>716</v>
      </c>
      <c r="J454" t="s">
        <v>727</v>
      </c>
      <c r="K454" t="s">
        <v>1185</v>
      </c>
      <c r="L454">
        <v>901.19</v>
      </c>
      <c r="M454">
        <v>2125.44</v>
      </c>
      <c r="N454">
        <v>7.0999999999999994E-2</v>
      </c>
      <c r="O454">
        <v>12</v>
      </c>
    </row>
    <row r="455" spans="1:15">
      <c r="A455" t="s">
        <v>467</v>
      </c>
      <c r="B455" s="2">
        <v>45817</v>
      </c>
      <c r="C455" s="2">
        <v>45832</v>
      </c>
      <c r="D455" t="s">
        <v>647</v>
      </c>
      <c r="E455" t="s">
        <v>652</v>
      </c>
      <c r="F455" t="s">
        <v>694</v>
      </c>
      <c r="G455" t="s">
        <v>701</v>
      </c>
      <c r="H455" t="s">
        <v>711</v>
      </c>
      <c r="I455" t="s">
        <v>717</v>
      </c>
      <c r="J455" t="s">
        <v>730</v>
      </c>
      <c r="K455" t="s">
        <v>1186</v>
      </c>
      <c r="L455">
        <v>400.39</v>
      </c>
      <c r="M455">
        <v>712.75</v>
      </c>
      <c r="N455">
        <v>0.115</v>
      </c>
      <c r="O455">
        <v>19</v>
      </c>
    </row>
    <row r="456" spans="1:15">
      <c r="A456" t="s">
        <v>468</v>
      </c>
      <c r="B456" s="2">
        <v>45070</v>
      </c>
      <c r="C456" s="2">
        <v>45098</v>
      </c>
      <c r="D456" t="s">
        <v>648</v>
      </c>
      <c r="E456" t="s">
        <v>660</v>
      </c>
      <c r="F456" t="s">
        <v>697</v>
      </c>
      <c r="G456" t="s">
        <v>705</v>
      </c>
      <c r="H456" t="s">
        <v>709</v>
      </c>
      <c r="I456" t="s">
        <v>715</v>
      </c>
      <c r="J456" t="s">
        <v>732</v>
      </c>
      <c r="K456" t="s">
        <v>1187</v>
      </c>
      <c r="L456">
        <v>813.97</v>
      </c>
      <c r="M456">
        <v>1568.83</v>
      </c>
      <c r="N456">
        <v>1.7000000000000001E-2</v>
      </c>
      <c r="O456">
        <v>15</v>
      </c>
    </row>
    <row r="457" spans="1:15">
      <c r="A457" t="s">
        <v>469</v>
      </c>
      <c r="B457" s="2">
        <v>45653</v>
      </c>
      <c r="C457" s="2">
        <v>45655</v>
      </c>
      <c r="D457" t="s">
        <v>648</v>
      </c>
      <c r="E457" t="s">
        <v>653</v>
      </c>
      <c r="F457" t="s">
        <v>688</v>
      </c>
      <c r="G457" t="s">
        <v>706</v>
      </c>
      <c r="H457" t="s">
        <v>709</v>
      </c>
      <c r="I457" t="s">
        <v>712</v>
      </c>
      <c r="J457" t="s">
        <v>733</v>
      </c>
      <c r="K457" t="s">
        <v>1188</v>
      </c>
      <c r="L457">
        <v>1146.72</v>
      </c>
      <c r="M457">
        <v>2074.34</v>
      </c>
      <c r="N457">
        <v>0.111</v>
      </c>
      <c r="O457">
        <v>8</v>
      </c>
    </row>
    <row r="458" spans="1:15">
      <c r="A458" t="s">
        <v>470</v>
      </c>
      <c r="B458" s="2">
        <v>45265</v>
      </c>
      <c r="C458" s="2">
        <v>45272</v>
      </c>
      <c r="D458" t="s">
        <v>648</v>
      </c>
      <c r="E458" t="s">
        <v>655</v>
      </c>
      <c r="F458" t="s">
        <v>672</v>
      </c>
      <c r="G458" t="s">
        <v>701</v>
      </c>
      <c r="H458" t="s">
        <v>711</v>
      </c>
      <c r="I458" t="s">
        <v>721</v>
      </c>
      <c r="J458" t="s">
        <v>730</v>
      </c>
      <c r="K458" t="s">
        <v>1189</v>
      </c>
      <c r="L458">
        <v>307.43</v>
      </c>
      <c r="M458">
        <v>495.19</v>
      </c>
      <c r="N458">
        <v>0</v>
      </c>
      <c r="O458">
        <v>42</v>
      </c>
    </row>
    <row r="459" spans="1:15">
      <c r="A459" t="s">
        <v>471</v>
      </c>
      <c r="B459" s="2">
        <v>45048</v>
      </c>
      <c r="C459" s="2">
        <v>45065</v>
      </c>
      <c r="D459" t="s">
        <v>647</v>
      </c>
      <c r="E459" t="s">
        <v>659</v>
      </c>
      <c r="F459" t="s">
        <v>685</v>
      </c>
      <c r="G459" t="s">
        <v>703</v>
      </c>
      <c r="H459" t="s">
        <v>711</v>
      </c>
      <c r="I459" t="s">
        <v>713</v>
      </c>
      <c r="J459" t="s">
        <v>732</v>
      </c>
      <c r="K459" t="s">
        <v>1190</v>
      </c>
      <c r="L459">
        <v>714.28</v>
      </c>
      <c r="M459">
        <v>757.59</v>
      </c>
      <c r="N459">
        <v>0.13600000000000001</v>
      </c>
      <c r="O459">
        <v>12</v>
      </c>
    </row>
    <row r="460" spans="1:15">
      <c r="A460" t="s">
        <v>472</v>
      </c>
      <c r="B460" s="2">
        <v>45260</v>
      </c>
      <c r="C460" s="2">
        <v>45270</v>
      </c>
      <c r="D460" t="s">
        <v>649</v>
      </c>
      <c r="E460" t="s">
        <v>656</v>
      </c>
      <c r="F460" t="s">
        <v>684</v>
      </c>
      <c r="G460" t="s">
        <v>705</v>
      </c>
      <c r="H460" t="s">
        <v>711</v>
      </c>
      <c r="I460" t="s">
        <v>721</v>
      </c>
      <c r="J460" t="s">
        <v>731</v>
      </c>
      <c r="K460" t="s">
        <v>1191</v>
      </c>
      <c r="L460">
        <v>174.74</v>
      </c>
      <c r="M460">
        <v>415.96</v>
      </c>
      <c r="N460">
        <v>0.125</v>
      </c>
      <c r="O460">
        <v>21</v>
      </c>
    </row>
    <row r="461" spans="1:15">
      <c r="A461" t="s">
        <v>473</v>
      </c>
      <c r="B461" s="2">
        <v>45417</v>
      </c>
      <c r="C461" s="2">
        <v>45430</v>
      </c>
      <c r="D461" t="s">
        <v>649</v>
      </c>
      <c r="E461" t="s">
        <v>657</v>
      </c>
      <c r="F461" t="s">
        <v>673</v>
      </c>
      <c r="G461" t="s">
        <v>701</v>
      </c>
      <c r="H461" t="s">
        <v>709</v>
      </c>
      <c r="I461" t="s">
        <v>720</v>
      </c>
      <c r="J461" t="s">
        <v>727</v>
      </c>
      <c r="K461" t="s">
        <v>1192</v>
      </c>
      <c r="L461">
        <v>1264.04</v>
      </c>
      <c r="M461">
        <v>1870.89</v>
      </c>
      <c r="N461">
        <v>0</v>
      </c>
      <c r="O461">
        <v>13</v>
      </c>
    </row>
    <row r="462" spans="1:15">
      <c r="A462" t="s">
        <v>474</v>
      </c>
      <c r="B462" s="2">
        <v>45116</v>
      </c>
      <c r="C462" s="2">
        <v>45126</v>
      </c>
      <c r="D462" t="s">
        <v>647</v>
      </c>
      <c r="E462" t="s">
        <v>652</v>
      </c>
      <c r="F462" t="s">
        <v>689</v>
      </c>
      <c r="G462" t="s">
        <v>706</v>
      </c>
      <c r="H462" t="s">
        <v>710</v>
      </c>
      <c r="I462" t="s">
        <v>725</v>
      </c>
      <c r="J462" t="s">
        <v>727</v>
      </c>
      <c r="K462" t="s">
        <v>1193</v>
      </c>
      <c r="L462">
        <v>141.26</v>
      </c>
      <c r="M462">
        <v>206.88</v>
      </c>
      <c r="N462">
        <v>0.107</v>
      </c>
      <c r="O462">
        <v>9</v>
      </c>
    </row>
    <row r="463" spans="1:15">
      <c r="A463" t="s">
        <v>475</v>
      </c>
      <c r="B463" s="2">
        <v>45063</v>
      </c>
      <c r="C463" s="2">
        <v>45092</v>
      </c>
      <c r="D463" t="s">
        <v>646</v>
      </c>
      <c r="E463" t="s">
        <v>661</v>
      </c>
      <c r="F463" t="s">
        <v>687</v>
      </c>
      <c r="G463" t="s">
        <v>706</v>
      </c>
      <c r="H463" t="s">
        <v>707</v>
      </c>
      <c r="I463" t="s">
        <v>723</v>
      </c>
      <c r="J463" t="s">
        <v>733</v>
      </c>
      <c r="K463" t="s">
        <v>1194</v>
      </c>
      <c r="L463">
        <v>40.89</v>
      </c>
      <c r="M463">
        <v>62.82</v>
      </c>
      <c r="N463">
        <v>0.129</v>
      </c>
      <c r="O463">
        <v>17</v>
      </c>
    </row>
    <row r="464" spans="1:15">
      <c r="A464" t="s">
        <v>476</v>
      </c>
      <c r="B464" s="2">
        <v>45358</v>
      </c>
      <c r="C464" s="2">
        <v>45385</v>
      </c>
      <c r="D464" t="s">
        <v>649</v>
      </c>
      <c r="E464" t="s">
        <v>656</v>
      </c>
      <c r="F464" t="s">
        <v>698</v>
      </c>
      <c r="G464" t="s">
        <v>701</v>
      </c>
      <c r="H464" t="s">
        <v>711</v>
      </c>
      <c r="I464" t="s">
        <v>724</v>
      </c>
      <c r="J464" t="s">
        <v>728</v>
      </c>
      <c r="K464" t="s">
        <v>1195</v>
      </c>
      <c r="L464">
        <v>738.16</v>
      </c>
      <c r="M464">
        <v>956.49</v>
      </c>
      <c r="N464">
        <v>0.152</v>
      </c>
      <c r="O464">
        <v>5</v>
      </c>
    </row>
    <row r="465" spans="1:15">
      <c r="A465" t="s">
        <v>477</v>
      </c>
      <c r="B465" s="2">
        <v>45757</v>
      </c>
      <c r="C465" s="2">
        <v>45766</v>
      </c>
      <c r="D465" t="s">
        <v>646</v>
      </c>
      <c r="E465" t="s">
        <v>661</v>
      </c>
      <c r="F465" t="s">
        <v>687</v>
      </c>
      <c r="G465" t="s">
        <v>706</v>
      </c>
      <c r="I465" t="s">
        <v>715</v>
      </c>
      <c r="J465" t="s">
        <v>729</v>
      </c>
      <c r="K465" t="s">
        <v>1196</v>
      </c>
      <c r="L465">
        <v>113.74</v>
      </c>
      <c r="M465">
        <v>165.7</v>
      </c>
      <c r="N465">
        <v>0.124</v>
      </c>
      <c r="O465">
        <v>13</v>
      </c>
    </row>
    <row r="466" spans="1:15">
      <c r="A466" t="s">
        <v>478</v>
      </c>
      <c r="B466" s="2">
        <v>45865</v>
      </c>
      <c r="C466" s="2">
        <v>45884</v>
      </c>
      <c r="D466" t="s">
        <v>647</v>
      </c>
      <c r="E466" t="s">
        <v>652</v>
      </c>
      <c r="F466" t="s">
        <v>689</v>
      </c>
      <c r="G466" t="s">
        <v>705</v>
      </c>
      <c r="H466" t="s">
        <v>709</v>
      </c>
      <c r="I466" t="s">
        <v>713</v>
      </c>
      <c r="J466" t="s">
        <v>727</v>
      </c>
      <c r="K466" t="s">
        <v>1197</v>
      </c>
      <c r="L466">
        <v>275.43</v>
      </c>
      <c r="M466">
        <v>608.36</v>
      </c>
      <c r="N466">
        <v>0.25700000000000001</v>
      </c>
      <c r="O466">
        <v>4</v>
      </c>
    </row>
    <row r="467" spans="1:15">
      <c r="A467" t="s">
        <v>479</v>
      </c>
      <c r="B467" s="2">
        <v>45618</v>
      </c>
      <c r="C467" s="2">
        <v>45641</v>
      </c>
      <c r="D467" t="s">
        <v>646</v>
      </c>
      <c r="E467" t="s">
        <v>650</v>
      </c>
      <c r="F467" t="s">
        <v>675</v>
      </c>
      <c r="G467" t="s">
        <v>703</v>
      </c>
      <c r="H467" t="s">
        <v>710</v>
      </c>
      <c r="I467" t="s">
        <v>712</v>
      </c>
      <c r="J467" t="s">
        <v>727</v>
      </c>
      <c r="K467" t="s">
        <v>1198</v>
      </c>
      <c r="L467">
        <v>1335.76</v>
      </c>
      <c r="M467">
        <v>2665.91</v>
      </c>
      <c r="N467">
        <v>0.21099999999999999</v>
      </c>
      <c r="O467">
        <v>40</v>
      </c>
    </row>
    <row r="468" spans="1:15">
      <c r="A468" t="s">
        <v>480</v>
      </c>
      <c r="B468" s="2">
        <v>45466</v>
      </c>
      <c r="C468" s="2">
        <v>45471</v>
      </c>
      <c r="D468" t="s">
        <v>646</v>
      </c>
      <c r="E468" t="s">
        <v>651</v>
      </c>
      <c r="F468" t="s">
        <v>663</v>
      </c>
      <c r="G468" t="s">
        <v>703</v>
      </c>
      <c r="H468" t="s">
        <v>711</v>
      </c>
      <c r="I468" t="s">
        <v>724</v>
      </c>
      <c r="J468" t="s">
        <v>733</v>
      </c>
      <c r="K468" t="s">
        <v>1199</v>
      </c>
      <c r="L468">
        <v>242.31</v>
      </c>
      <c r="M468">
        <v>587.95000000000005</v>
      </c>
      <c r="N468">
        <v>0.22900000000000001</v>
      </c>
      <c r="O468">
        <v>6</v>
      </c>
    </row>
    <row r="469" spans="1:15">
      <c r="A469" t="s">
        <v>481</v>
      </c>
      <c r="B469" s="2">
        <v>45278</v>
      </c>
      <c r="C469" s="2">
        <v>45305</v>
      </c>
      <c r="D469" t="s">
        <v>647</v>
      </c>
      <c r="E469" t="s">
        <v>654</v>
      </c>
      <c r="F469" t="s">
        <v>691</v>
      </c>
      <c r="G469" t="s">
        <v>704</v>
      </c>
      <c r="H469" t="s">
        <v>710</v>
      </c>
      <c r="I469" t="s">
        <v>726</v>
      </c>
      <c r="J469" t="s">
        <v>729</v>
      </c>
      <c r="K469" t="s">
        <v>1200</v>
      </c>
      <c r="L469">
        <v>1408.3</v>
      </c>
      <c r="M469">
        <v>2193.13</v>
      </c>
      <c r="N469">
        <v>7.0999999999999994E-2</v>
      </c>
      <c r="O469">
        <v>7</v>
      </c>
    </row>
    <row r="470" spans="1:15">
      <c r="A470" t="s">
        <v>482</v>
      </c>
      <c r="B470" s="2">
        <v>45809</v>
      </c>
      <c r="C470" s="2">
        <v>45813</v>
      </c>
      <c r="D470" t="s">
        <v>649</v>
      </c>
      <c r="E470" t="s">
        <v>656</v>
      </c>
      <c r="F470" t="s">
        <v>684</v>
      </c>
      <c r="G470" t="s">
        <v>706</v>
      </c>
      <c r="H470" t="s">
        <v>711</v>
      </c>
      <c r="I470" t="s">
        <v>724</v>
      </c>
      <c r="J470" t="s">
        <v>727</v>
      </c>
      <c r="K470" t="s">
        <v>1201</v>
      </c>
      <c r="L470">
        <v>1171.42</v>
      </c>
      <c r="M470">
        <v>2187.8000000000002</v>
      </c>
      <c r="N470">
        <v>0.23</v>
      </c>
      <c r="O470">
        <v>15</v>
      </c>
    </row>
    <row r="471" spans="1:15">
      <c r="A471" t="s">
        <v>483</v>
      </c>
      <c r="B471" s="2">
        <v>45739</v>
      </c>
      <c r="C471" s="2">
        <v>45749</v>
      </c>
      <c r="D471" t="s">
        <v>649</v>
      </c>
      <c r="E471" t="s">
        <v>656</v>
      </c>
      <c r="F471" t="s">
        <v>671</v>
      </c>
      <c r="G471" t="s">
        <v>706</v>
      </c>
      <c r="H471" t="s">
        <v>708</v>
      </c>
      <c r="I471" t="s">
        <v>718</v>
      </c>
      <c r="J471" t="s">
        <v>728</v>
      </c>
      <c r="K471" t="s">
        <v>1202</v>
      </c>
      <c r="L471">
        <v>663.61</v>
      </c>
      <c r="M471">
        <v>1002.11</v>
      </c>
      <c r="N471">
        <v>4.5999999999999999E-2</v>
      </c>
      <c r="O471">
        <v>17</v>
      </c>
    </row>
    <row r="472" spans="1:15">
      <c r="A472" t="s">
        <v>484</v>
      </c>
      <c r="B472" s="2">
        <v>45060</v>
      </c>
      <c r="C472" s="2">
        <v>45068</v>
      </c>
      <c r="D472" t="s">
        <v>646</v>
      </c>
      <c r="E472" t="s">
        <v>650</v>
      </c>
      <c r="F472" t="s">
        <v>675</v>
      </c>
      <c r="G472" t="s">
        <v>705</v>
      </c>
      <c r="H472" t="s">
        <v>710</v>
      </c>
      <c r="I472" t="s">
        <v>721</v>
      </c>
      <c r="J472" t="s">
        <v>728</v>
      </c>
      <c r="K472" t="s">
        <v>1203</v>
      </c>
      <c r="L472">
        <v>432.01</v>
      </c>
      <c r="M472">
        <v>913.78</v>
      </c>
      <c r="N472">
        <v>4.9000000000000002E-2</v>
      </c>
      <c r="O472">
        <v>12</v>
      </c>
    </row>
    <row r="473" spans="1:15">
      <c r="A473" t="s">
        <v>485</v>
      </c>
      <c r="B473" s="2">
        <v>45167</v>
      </c>
      <c r="C473" s="2">
        <v>45188</v>
      </c>
      <c r="D473" t="s">
        <v>649</v>
      </c>
      <c r="E473" t="s">
        <v>657</v>
      </c>
      <c r="F473" t="s">
        <v>679</v>
      </c>
      <c r="G473" t="s">
        <v>705</v>
      </c>
      <c r="H473" t="s">
        <v>711</v>
      </c>
      <c r="I473" t="s">
        <v>717</v>
      </c>
      <c r="J473" t="s">
        <v>728</v>
      </c>
      <c r="K473" t="s">
        <v>1204</v>
      </c>
      <c r="L473">
        <v>784.46</v>
      </c>
      <c r="M473">
        <v>1843.51</v>
      </c>
      <c r="N473">
        <v>0.13800000000000001</v>
      </c>
      <c r="O473">
        <v>23</v>
      </c>
    </row>
    <row r="474" spans="1:15">
      <c r="A474" t="s">
        <v>486</v>
      </c>
      <c r="B474" s="2">
        <v>45841</v>
      </c>
      <c r="C474" s="2">
        <v>45861</v>
      </c>
      <c r="D474" t="s">
        <v>647</v>
      </c>
      <c r="E474" t="s">
        <v>659</v>
      </c>
      <c r="F474" t="s">
        <v>699</v>
      </c>
      <c r="G474" t="s">
        <v>705</v>
      </c>
      <c r="H474" t="s">
        <v>708</v>
      </c>
      <c r="I474" t="s">
        <v>724</v>
      </c>
      <c r="J474" t="s">
        <v>727</v>
      </c>
      <c r="K474" t="s">
        <v>1205</v>
      </c>
      <c r="L474">
        <v>647.36</v>
      </c>
      <c r="M474">
        <v>1383.6</v>
      </c>
      <c r="N474">
        <v>7.3999999999999996E-2</v>
      </c>
      <c r="O474">
        <v>12</v>
      </c>
    </row>
    <row r="475" spans="1:15">
      <c r="A475" t="s">
        <v>487</v>
      </c>
      <c r="B475" s="2">
        <v>45328</v>
      </c>
      <c r="C475" s="2">
        <v>45350</v>
      </c>
      <c r="D475" t="s">
        <v>646</v>
      </c>
      <c r="E475" t="s">
        <v>650</v>
      </c>
      <c r="F475" t="s">
        <v>662</v>
      </c>
      <c r="G475" t="s">
        <v>703</v>
      </c>
      <c r="H475" t="s">
        <v>708</v>
      </c>
      <c r="I475" t="s">
        <v>723</v>
      </c>
      <c r="J475" t="s">
        <v>732</v>
      </c>
      <c r="K475" t="s">
        <v>1206</v>
      </c>
      <c r="L475">
        <v>834.93</v>
      </c>
      <c r="M475">
        <v>1588.53</v>
      </c>
      <c r="N475">
        <v>0.126</v>
      </c>
      <c r="O475">
        <v>6</v>
      </c>
    </row>
    <row r="476" spans="1:15">
      <c r="A476" t="s">
        <v>488</v>
      </c>
      <c r="B476" s="2">
        <v>45882</v>
      </c>
      <c r="C476" s="2">
        <v>45903</v>
      </c>
      <c r="D476" t="s">
        <v>649</v>
      </c>
      <c r="E476" t="s">
        <v>657</v>
      </c>
      <c r="F476" t="s">
        <v>690</v>
      </c>
      <c r="G476" t="s">
        <v>702</v>
      </c>
      <c r="H476" t="s">
        <v>707</v>
      </c>
      <c r="I476" t="s">
        <v>714</v>
      </c>
      <c r="J476" t="s">
        <v>730</v>
      </c>
      <c r="K476" t="s">
        <v>1207</v>
      </c>
      <c r="L476">
        <v>603.47</v>
      </c>
      <c r="M476">
        <v>1344.05</v>
      </c>
      <c r="N476">
        <v>0.20499999999999999</v>
      </c>
      <c r="O476">
        <v>18</v>
      </c>
    </row>
    <row r="477" spans="1:15">
      <c r="A477" t="s">
        <v>489</v>
      </c>
      <c r="B477" s="2">
        <v>45069</v>
      </c>
      <c r="C477" s="2">
        <v>45071</v>
      </c>
      <c r="D477" t="s">
        <v>648</v>
      </c>
      <c r="E477" t="s">
        <v>655</v>
      </c>
      <c r="F477" t="s">
        <v>692</v>
      </c>
      <c r="G477" t="s">
        <v>706</v>
      </c>
      <c r="H477" t="s">
        <v>707</v>
      </c>
      <c r="I477" t="s">
        <v>724</v>
      </c>
      <c r="J477" t="s">
        <v>728</v>
      </c>
      <c r="K477" t="s">
        <v>1208</v>
      </c>
      <c r="L477">
        <v>690.49</v>
      </c>
      <c r="M477">
        <v>1290.29</v>
      </c>
      <c r="N477">
        <v>4.2000000000000003E-2</v>
      </c>
      <c r="O477">
        <v>22</v>
      </c>
    </row>
    <row r="478" spans="1:15">
      <c r="A478" t="s">
        <v>490</v>
      </c>
      <c r="B478" s="2">
        <v>45422</v>
      </c>
      <c r="C478" s="2">
        <v>45428</v>
      </c>
      <c r="D478" t="s">
        <v>649</v>
      </c>
      <c r="E478" t="s">
        <v>658</v>
      </c>
      <c r="F478" t="s">
        <v>674</v>
      </c>
      <c r="G478" t="s">
        <v>703</v>
      </c>
      <c r="H478" t="s">
        <v>711</v>
      </c>
      <c r="I478" t="s">
        <v>715</v>
      </c>
      <c r="J478" t="s">
        <v>731</v>
      </c>
      <c r="K478" t="s">
        <v>1209</v>
      </c>
      <c r="L478">
        <v>210.76</v>
      </c>
      <c r="M478">
        <v>221.58</v>
      </c>
      <c r="N478">
        <v>8.8999999999999996E-2</v>
      </c>
      <c r="O478">
        <v>5</v>
      </c>
    </row>
    <row r="479" spans="1:15">
      <c r="A479" t="s">
        <v>491</v>
      </c>
      <c r="B479" s="2">
        <v>44999</v>
      </c>
      <c r="C479" s="2">
        <v>45003</v>
      </c>
      <c r="D479" t="s">
        <v>649</v>
      </c>
      <c r="E479" t="s">
        <v>656</v>
      </c>
      <c r="F479" t="s">
        <v>698</v>
      </c>
      <c r="G479" t="s">
        <v>706</v>
      </c>
      <c r="H479" t="s">
        <v>711</v>
      </c>
      <c r="I479" t="s">
        <v>720</v>
      </c>
      <c r="J479" t="s">
        <v>727</v>
      </c>
      <c r="K479" t="s">
        <v>1210</v>
      </c>
      <c r="L479">
        <v>472.33</v>
      </c>
      <c r="M479">
        <v>360.34</v>
      </c>
      <c r="N479">
        <v>0.16500000000000001</v>
      </c>
      <c r="O479">
        <v>14</v>
      </c>
    </row>
    <row r="480" spans="1:15">
      <c r="A480" t="s">
        <v>492</v>
      </c>
      <c r="B480" s="2">
        <v>45123</v>
      </c>
      <c r="C480" s="2">
        <v>45151</v>
      </c>
      <c r="D480" t="s">
        <v>649</v>
      </c>
      <c r="E480" t="s">
        <v>658</v>
      </c>
      <c r="F480" t="s">
        <v>693</v>
      </c>
      <c r="G480" t="s">
        <v>703</v>
      </c>
      <c r="H480" t="s">
        <v>708</v>
      </c>
      <c r="I480" t="s">
        <v>713</v>
      </c>
      <c r="J480" t="s">
        <v>731</v>
      </c>
      <c r="K480" t="s">
        <v>1211</v>
      </c>
      <c r="L480">
        <v>1039.03</v>
      </c>
      <c r="M480">
        <v>2545.81</v>
      </c>
      <c r="N480">
        <v>0.216</v>
      </c>
      <c r="O480">
        <v>21</v>
      </c>
    </row>
    <row r="481" spans="1:15">
      <c r="A481" t="s">
        <v>493</v>
      </c>
      <c r="B481" s="2">
        <v>45032</v>
      </c>
      <c r="C481" s="2">
        <v>45035</v>
      </c>
      <c r="D481" t="s">
        <v>649</v>
      </c>
      <c r="E481" t="s">
        <v>656</v>
      </c>
      <c r="F481" t="s">
        <v>684</v>
      </c>
      <c r="G481" t="s">
        <v>701</v>
      </c>
      <c r="H481" t="s">
        <v>711</v>
      </c>
      <c r="I481" t="s">
        <v>717</v>
      </c>
      <c r="J481" t="s">
        <v>733</v>
      </c>
      <c r="K481" t="s">
        <v>1212</v>
      </c>
      <c r="L481">
        <v>553.61</v>
      </c>
      <c r="M481">
        <v>699.47</v>
      </c>
      <c r="N481">
        <v>0.02</v>
      </c>
      <c r="O481">
        <v>33</v>
      </c>
    </row>
    <row r="482" spans="1:15">
      <c r="A482" t="s">
        <v>494</v>
      </c>
      <c r="B482" s="2">
        <v>45293</v>
      </c>
      <c r="C482" s="2">
        <v>45306</v>
      </c>
      <c r="D482" t="s">
        <v>647</v>
      </c>
      <c r="E482" t="s">
        <v>652</v>
      </c>
      <c r="F482" t="s">
        <v>694</v>
      </c>
      <c r="G482" t="s">
        <v>705</v>
      </c>
      <c r="H482" t="s">
        <v>709</v>
      </c>
      <c r="I482" t="s">
        <v>715</v>
      </c>
      <c r="J482" t="s">
        <v>729</v>
      </c>
      <c r="K482" t="s">
        <v>1213</v>
      </c>
      <c r="L482">
        <v>1219.06</v>
      </c>
      <c r="M482">
        <v>2738.69</v>
      </c>
      <c r="N482">
        <v>7.5999999999999998E-2</v>
      </c>
      <c r="O482">
        <v>16</v>
      </c>
    </row>
    <row r="483" spans="1:15">
      <c r="A483" t="s">
        <v>495</v>
      </c>
      <c r="B483" s="2">
        <v>45538</v>
      </c>
      <c r="C483" s="2">
        <v>45542</v>
      </c>
      <c r="D483" t="s">
        <v>647</v>
      </c>
      <c r="E483" t="s">
        <v>652</v>
      </c>
      <c r="F483" t="s">
        <v>689</v>
      </c>
      <c r="G483" t="s">
        <v>705</v>
      </c>
      <c r="H483" t="s">
        <v>710</v>
      </c>
      <c r="I483" t="s">
        <v>725</v>
      </c>
      <c r="J483" t="s">
        <v>728</v>
      </c>
      <c r="K483" t="s">
        <v>1214</v>
      </c>
      <c r="L483">
        <v>43.23</v>
      </c>
      <c r="M483">
        <v>94.78</v>
      </c>
      <c r="N483">
        <v>9.0999999999999998E-2</v>
      </c>
      <c r="O483">
        <v>55</v>
      </c>
    </row>
    <row r="484" spans="1:15">
      <c r="A484" t="s">
        <v>496</v>
      </c>
      <c r="B484" s="2">
        <v>45899</v>
      </c>
      <c r="C484" s="2">
        <v>45903</v>
      </c>
      <c r="D484" t="s">
        <v>649</v>
      </c>
      <c r="E484" t="s">
        <v>657</v>
      </c>
      <c r="F484" t="s">
        <v>673</v>
      </c>
      <c r="G484" t="s">
        <v>705</v>
      </c>
      <c r="H484" t="s">
        <v>709</v>
      </c>
      <c r="I484" t="s">
        <v>713</v>
      </c>
      <c r="J484" t="s">
        <v>731</v>
      </c>
      <c r="K484" t="s">
        <v>1215</v>
      </c>
      <c r="L484">
        <v>1286.56</v>
      </c>
      <c r="M484">
        <v>2777.35</v>
      </c>
      <c r="N484">
        <v>0.13200000000000001</v>
      </c>
      <c r="O484">
        <v>15</v>
      </c>
    </row>
    <row r="485" spans="1:15">
      <c r="A485" t="s">
        <v>497</v>
      </c>
      <c r="B485" s="2">
        <v>45775</v>
      </c>
      <c r="C485" s="2">
        <v>45796</v>
      </c>
      <c r="D485" t="s">
        <v>649</v>
      </c>
      <c r="E485" t="s">
        <v>656</v>
      </c>
      <c r="F485" t="s">
        <v>671</v>
      </c>
      <c r="G485" t="s">
        <v>701</v>
      </c>
      <c r="H485" t="s">
        <v>710</v>
      </c>
      <c r="I485" t="s">
        <v>717</v>
      </c>
      <c r="J485" t="s">
        <v>730</v>
      </c>
      <c r="K485" t="s">
        <v>1216</v>
      </c>
      <c r="L485">
        <v>350.76</v>
      </c>
      <c r="M485">
        <v>492.18</v>
      </c>
      <c r="N485">
        <v>5.2999999999999999E-2</v>
      </c>
      <c r="O485">
        <v>11</v>
      </c>
    </row>
    <row r="486" spans="1:15">
      <c r="A486" t="s">
        <v>498</v>
      </c>
      <c r="B486" s="2">
        <v>45148</v>
      </c>
      <c r="C486" s="2">
        <v>45153</v>
      </c>
      <c r="D486" t="s">
        <v>648</v>
      </c>
      <c r="E486" t="s">
        <v>655</v>
      </c>
      <c r="F486" t="s">
        <v>670</v>
      </c>
      <c r="G486" t="s">
        <v>702</v>
      </c>
      <c r="H486" t="s">
        <v>711</v>
      </c>
      <c r="I486" t="s">
        <v>715</v>
      </c>
      <c r="J486" t="s">
        <v>729</v>
      </c>
      <c r="K486" t="s">
        <v>1217</v>
      </c>
      <c r="L486">
        <v>1307.52</v>
      </c>
      <c r="M486">
        <v>1921.65</v>
      </c>
      <c r="N486">
        <v>0.123</v>
      </c>
      <c r="O486">
        <v>13</v>
      </c>
    </row>
    <row r="487" spans="1:15">
      <c r="A487" t="s">
        <v>499</v>
      </c>
      <c r="B487" s="2">
        <v>45634</v>
      </c>
      <c r="C487" s="2">
        <v>45634</v>
      </c>
      <c r="D487" t="s">
        <v>649</v>
      </c>
      <c r="E487" t="s">
        <v>657</v>
      </c>
      <c r="F487" t="s">
        <v>679</v>
      </c>
      <c r="G487" t="s">
        <v>706</v>
      </c>
      <c r="H487" t="s">
        <v>707</v>
      </c>
      <c r="I487" t="s">
        <v>722</v>
      </c>
      <c r="J487" t="s">
        <v>727</v>
      </c>
      <c r="K487" t="s">
        <v>1218</v>
      </c>
      <c r="L487">
        <v>257.44</v>
      </c>
      <c r="M487">
        <v>290.33</v>
      </c>
      <c r="N487">
        <v>9.1999999999999998E-2</v>
      </c>
      <c r="O487">
        <v>23</v>
      </c>
    </row>
    <row r="488" spans="1:15">
      <c r="A488" t="s">
        <v>500</v>
      </c>
      <c r="B488" s="2">
        <v>45224</v>
      </c>
      <c r="C488" s="2">
        <v>45254</v>
      </c>
      <c r="D488" t="s">
        <v>649</v>
      </c>
      <c r="E488" t="s">
        <v>657</v>
      </c>
      <c r="F488" t="s">
        <v>690</v>
      </c>
      <c r="G488" t="s">
        <v>706</v>
      </c>
      <c r="H488" t="s">
        <v>710</v>
      </c>
      <c r="I488" t="s">
        <v>712</v>
      </c>
      <c r="J488" t="s">
        <v>730</v>
      </c>
      <c r="K488" t="s">
        <v>1219</v>
      </c>
      <c r="L488">
        <v>287.85000000000002</v>
      </c>
      <c r="M488">
        <v>602.91999999999996</v>
      </c>
      <c r="N488">
        <v>0.222</v>
      </c>
      <c r="O488">
        <v>11</v>
      </c>
    </row>
    <row r="489" spans="1:15">
      <c r="A489" t="s">
        <v>501</v>
      </c>
      <c r="B489" s="2">
        <v>45613</v>
      </c>
      <c r="C489" s="2">
        <v>45624</v>
      </c>
      <c r="D489" t="s">
        <v>648</v>
      </c>
      <c r="E489" t="s">
        <v>653</v>
      </c>
      <c r="G489" t="s">
        <v>704</v>
      </c>
      <c r="H489" t="s">
        <v>710</v>
      </c>
      <c r="I489" t="s">
        <v>720</v>
      </c>
      <c r="J489" t="s">
        <v>728</v>
      </c>
      <c r="K489" t="s">
        <v>1220</v>
      </c>
      <c r="L489">
        <v>1008.16</v>
      </c>
      <c r="M489">
        <v>2077.5</v>
      </c>
      <c r="N489">
        <v>7.3999999999999996E-2</v>
      </c>
      <c r="O489">
        <v>15</v>
      </c>
    </row>
    <row r="490" spans="1:15">
      <c r="A490" t="s">
        <v>502</v>
      </c>
      <c r="B490" s="2">
        <v>45424</v>
      </c>
      <c r="C490" s="2">
        <v>45436</v>
      </c>
      <c r="D490" t="s">
        <v>649</v>
      </c>
      <c r="E490" t="s">
        <v>658</v>
      </c>
      <c r="F490" t="s">
        <v>693</v>
      </c>
      <c r="G490" t="s">
        <v>702</v>
      </c>
      <c r="H490" t="s">
        <v>709</v>
      </c>
      <c r="I490" t="s">
        <v>723</v>
      </c>
      <c r="J490" t="s">
        <v>728</v>
      </c>
      <c r="K490" t="s">
        <v>1221</v>
      </c>
      <c r="L490">
        <v>111.02</v>
      </c>
      <c r="M490">
        <v>172.88</v>
      </c>
      <c r="N490">
        <v>0.19700000000000001</v>
      </c>
      <c r="O490">
        <v>29</v>
      </c>
    </row>
    <row r="491" spans="1:15">
      <c r="A491" t="s">
        <v>503</v>
      </c>
      <c r="B491" s="2">
        <v>45792</v>
      </c>
      <c r="C491" s="2">
        <v>45813</v>
      </c>
      <c r="D491" t="s">
        <v>647</v>
      </c>
      <c r="E491" t="s">
        <v>652</v>
      </c>
      <c r="F491" t="s">
        <v>666</v>
      </c>
      <c r="G491" t="s">
        <v>706</v>
      </c>
      <c r="H491" t="s">
        <v>711</v>
      </c>
      <c r="I491" t="s">
        <v>722</v>
      </c>
      <c r="J491" t="s">
        <v>730</v>
      </c>
      <c r="K491" t="s">
        <v>1222</v>
      </c>
      <c r="L491">
        <v>1466.5</v>
      </c>
      <c r="M491">
        <v>2778.74</v>
      </c>
      <c r="N491">
        <v>0.13500000000000001</v>
      </c>
      <c r="O491">
        <v>4</v>
      </c>
    </row>
    <row r="492" spans="1:15">
      <c r="A492" t="s">
        <v>504</v>
      </c>
      <c r="B492" s="2">
        <v>45403</v>
      </c>
      <c r="C492" s="2">
        <v>45431</v>
      </c>
      <c r="D492" t="s">
        <v>646</v>
      </c>
      <c r="E492" t="s">
        <v>651</v>
      </c>
      <c r="F492" t="s">
        <v>665</v>
      </c>
      <c r="G492" t="s">
        <v>701</v>
      </c>
      <c r="H492" t="s">
        <v>710</v>
      </c>
      <c r="I492" t="s">
        <v>720</v>
      </c>
      <c r="J492" t="s">
        <v>733</v>
      </c>
      <c r="K492" t="s">
        <v>1223</v>
      </c>
      <c r="L492">
        <v>187.22</v>
      </c>
      <c r="M492">
        <v>309.47000000000003</v>
      </c>
      <c r="N492">
        <v>0</v>
      </c>
      <c r="O492">
        <v>5</v>
      </c>
    </row>
    <row r="493" spans="1:15">
      <c r="A493" t="s">
        <v>505</v>
      </c>
      <c r="B493" s="2">
        <v>45523</v>
      </c>
      <c r="C493" s="2">
        <v>45542</v>
      </c>
      <c r="D493" t="s">
        <v>649</v>
      </c>
      <c r="E493" t="s">
        <v>657</v>
      </c>
      <c r="F493" t="s">
        <v>679</v>
      </c>
      <c r="G493" t="s">
        <v>701</v>
      </c>
      <c r="H493" t="s">
        <v>711</v>
      </c>
      <c r="I493" t="s">
        <v>713</v>
      </c>
      <c r="J493" t="s">
        <v>727</v>
      </c>
      <c r="K493" t="s">
        <v>1224</v>
      </c>
      <c r="L493">
        <v>297.58999999999997</v>
      </c>
      <c r="M493">
        <v>666.41</v>
      </c>
      <c r="N493">
        <v>0</v>
      </c>
      <c r="O493">
        <v>10</v>
      </c>
    </row>
    <row r="494" spans="1:15">
      <c r="A494" t="s">
        <v>506</v>
      </c>
      <c r="B494" s="2">
        <v>45861</v>
      </c>
      <c r="C494" s="2">
        <v>45888</v>
      </c>
      <c r="D494" t="s">
        <v>647</v>
      </c>
      <c r="E494" t="s">
        <v>652</v>
      </c>
      <c r="F494" t="s">
        <v>694</v>
      </c>
      <c r="G494" t="s">
        <v>704</v>
      </c>
      <c r="H494" t="s">
        <v>709</v>
      </c>
      <c r="I494" t="s">
        <v>717</v>
      </c>
      <c r="J494" t="s">
        <v>733</v>
      </c>
      <c r="K494" t="s">
        <v>1225</v>
      </c>
      <c r="L494">
        <v>896.09</v>
      </c>
      <c r="M494">
        <v>744.27</v>
      </c>
      <c r="N494">
        <v>8.3000000000000004E-2</v>
      </c>
      <c r="O494">
        <v>11</v>
      </c>
    </row>
    <row r="495" spans="1:15">
      <c r="A495" t="s">
        <v>507</v>
      </c>
      <c r="B495" s="2">
        <v>45352</v>
      </c>
      <c r="C495" s="2">
        <v>45351</v>
      </c>
      <c r="D495" t="s">
        <v>648</v>
      </c>
      <c r="E495" t="s">
        <v>655</v>
      </c>
      <c r="F495" t="s">
        <v>670</v>
      </c>
      <c r="G495" t="s">
        <v>703</v>
      </c>
      <c r="H495" t="s">
        <v>711</v>
      </c>
      <c r="I495" t="s">
        <v>714</v>
      </c>
      <c r="J495" t="s">
        <v>730</v>
      </c>
      <c r="K495" t="s">
        <v>1226</v>
      </c>
      <c r="L495">
        <v>5.34</v>
      </c>
      <c r="M495">
        <v>12.69</v>
      </c>
      <c r="N495">
        <v>0.13200000000000001</v>
      </c>
      <c r="O495">
        <v>10</v>
      </c>
    </row>
    <row r="496" spans="1:15">
      <c r="A496" t="s">
        <v>508</v>
      </c>
      <c r="B496" s="2">
        <v>45439</v>
      </c>
      <c r="C496" s="2">
        <v>45460</v>
      </c>
      <c r="D496" t="s">
        <v>647</v>
      </c>
      <c r="E496" t="s">
        <v>654</v>
      </c>
      <c r="F496" t="s">
        <v>680</v>
      </c>
      <c r="G496" t="s">
        <v>705</v>
      </c>
      <c r="H496" t="s">
        <v>708</v>
      </c>
      <c r="I496" t="s">
        <v>722</v>
      </c>
      <c r="J496" t="s">
        <v>733</v>
      </c>
      <c r="K496" t="s">
        <v>1227</v>
      </c>
      <c r="L496">
        <v>465.02</v>
      </c>
      <c r="M496">
        <v>651.55999999999995</v>
      </c>
      <c r="N496">
        <v>4.2000000000000003E-2</v>
      </c>
      <c r="O496">
        <v>19</v>
      </c>
    </row>
    <row r="497" spans="1:15">
      <c r="A497" t="s">
        <v>509</v>
      </c>
      <c r="B497" s="2">
        <v>45508</v>
      </c>
      <c r="C497" s="2">
        <v>45521</v>
      </c>
      <c r="D497" t="s">
        <v>648</v>
      </c>
      <c r="E497" t="s">
        <v>660</v>
      </c>
      <c r="F497" t="s">
        <v>697</v>
      </c>
      <c r="G497" t="s">
        <v>704</v>
      </c>
      <c r="H497" t="s">
        <v>707</v>
      </c>
      <c r="I497" t="s">
        <v>726</v>
      </c>
      <c r="J497" t="s">
        <v>732</v>
      </c>
      <c r="K497" t="s">
        <v>1228</v>
      </c>
      <c r="L497">
        <v>352.79</v>
      </c>
      <c r="M497">
        <v>754.22</v>
      </c>
      <c r="N497">
        <v>0.113</v>
      </c>
      <c r="O497">
        <v>7</v>
      </c>
    </row>
    <row r="498" spans="1:15">
      <c r="A498" t="s">
        <v>510</v>
      </c>
      <c r="B498" s="2">
        <v>45097</v>
      </c>
      <c r="C498" s="2">
        <v>45111</v>
      </c>
      <c r="D498" t="s">
        <v>648</v>
      </c>
      <c r="E498" t="s">
        <v>655</v>
      </c>
      <c r="F498" t="s">
        <v>672</v>
      </c>
      <c r="G498" t="s">
        <v>703</v>
      </c>
      <c r="H498" t="s">
        <v>711</v>
      </c>
      <c r="I498" t="s">
        <v>712</v>
      </c>
      <c r="J498" t="s">
        <v>729</v>
      </c>
      <c r="K498" t="s">
        <v>1229</v>
      </c>
      <c r="L498">
        <v>1292.8599999999999</v>
      </c>
      <c r="M498">
        <v>2981.01</v>
      </c>
      <c r="N498">
        <v>0.14199999999999999</v>
      </c>
      <c r="O498">
        <v>12</v>
      </c>
    </row>
    <row r="499" spans="1:15">
      <c r="A499" t="s">
        <v>511</v>
      </c>
      <c r="B499" s="2">
        <v>45544</v>
      </c>
      <c r="C499" s="2">
        <v>45548</v>
      </c>
      <c r="D499" t="s">
        <v>649</v>
      </c>
      <c r="E499" t="s">
        <v>658</v>
      </c>
      <c r="F499" t="s">
        <v>683</v>
      </c>
      <c r="G499" t="s">
        <v>704</v>
      </c>
      <c r="H499" t="s">
        <v>709</v>
      </c>
      <c r="I499" t="s">
        <v>721</v>
      </c>
      <c r="J499" t="s">
        <v>729</v>
      </c>
      <c r="K499" t="s">
        <v>1230</v>
      </c>
      <c r="L499">
        <v>1133.08</v>
      </c>
      <c r="M499">
        <v>976.17</v>
      </c>
      <c r="N499">
        <v>4.2000000000000003E-2</v>
      </c>
      <c r="O499">
        <v>27</v>
      </c>
    </row>
    <row r="500" spans="1:15">
      <c r="A500" t="s">
        <v>512</v>
      </c>
      <c r="B500" s="2">
        <v>45224</v>
      </c>
      <c r="C500" s="2">
        <v>45227</v>
      </c>
      <c r="D500" t="s">
        <v>648</v>
      </c>
      <c r="E500" t="s">
        <v>655</v>
      </c>
      <c r="F500" t="s">
        <v>672</v>
      </c>
      <c r="G500" t="s">
        <v>701</v>
      </c>
      <c r="H500" t="s">
        <v>710</v>
      </c>
      <c r="I500" t="s">
        <v>716</v>
      </c>
      <c r="J500" t="s">
        <v>733</v>
      </c>
      <c r="K500" t="s">
        <v>1231</v>
      </c>
      <c r="L500">
        <v>509.31</v>
      </c>
      <c r="M500">
        <v>1145.9000000000001</v>
      </c>
      <c r="N500">
        <v>5.7000000000000002E-2</v>
      </c>
      <c r="O500">
        <v>8</v>
      </c>
    </row>
    <row r="501" spans="1:15">
      <c r="A501" t="s">
        <v>513</v>
      </c>
      <c r="B501" s="2">
        <v>45908</v>
      </c>
      <c r="C501" s="2">
        <v>45935</v>
      </c>
      <c r="D501" t="s">
        <v>648</v>
      </c>
      <c r="E501" t="s">
        <v>655</v>
      </c>
      <c r="F501" t="s">
        <v>692</v>
      </c>
      <c r="G501" t="s">
        <v>702</v>
      </c>
      <c r="H501" t="s">
        <v>708</v>
      </c>
      <c r="I501" t="s">
        <v>712</v>
      </c>
      <c r="J501" t="s">
        <v>732</v>
      </c>
      <c r="K501" t="s">
        <v>1232</v>
      </c>
      <c r="L501">
        <v>660.78</v>
      </c>
      <c r="M501">
        <v>1630.39</v>
      </c>
      <c r="N501">
        <v>0.218</v>
      </c>
      <c r="O501">
        <v>13</v>
      </c>
    </row>
    <row r="502" spans="1:15">
      <c r="A502" t="s">
        <v>514</v>
      </c>
      <c r="B502" s="2">
        <v>45048</v>
      </c>
      <c r="C502" s="2">
        <v>45062</v>
      </c>
      <c r="D502" t="s">
        <v>647</v>
      </c>
      <c r="E502" t="s">
        <v>654</v>
      </c>
      <c r="F502" t="s">
        <v>668</v>
      </c>
      <c r="G502" t="s">
        <v>703</v>
      </c>
      <c r="H502" t="s">
        <v>707</v>
      </c>
      <c r="I502" t="s">
        <v>716</v>
      </c>
      <c r="J502" t="s">
        <v>732</v>
      </c>
      <c r="K502" t="s">
        <v>1233</v>
      </c>
      <c r="L502">
        <v>475.37</v>
      </c>
      <c r="M502">
        <v>963.73</v>
      </c>
      <c r="N502">
        <v>4.1000000000000002E-2</v>
      </c>
      <c r="O502">
        <v>22</v>
      </c>
    </row>
    <row r="503" spans="1:15">
      <c r="A503" t="s">
        <v>515</v>
      </c>
      <c r="B503" s="2">
        <v>45408</v>
      </c>
      <c r="C503" s="2">
        <v>45406</v>
      </c>
      <c r="D503" t="s">
        <v>649</v>
      </c>
      <c r="E503" t="s">
        <v>658</v>
      </c>
      <c r="F503" t="s">
        <v>683</v>
      </c>
      <c r="G503" t="s">
        <v>703</v>
      </c>
      <c r="H503" t="s">
        <v>710</v>
      </c>
      <c r="I503" t="s">
        <v>725</v>
      </c>
      <c r="J503" t="s">
        <v>730</v>
      </c>
      <c r="K503" t="s">
        <v>1234</v>
      </c>
      <c r="L503">
        <v>1232.77</v>
      </c>
      <c r="M503">
        <v>891.73</v>
      </c>
      <c r="N503">
        <v>0.16700000000000001</v>
      </c>
      <c r="O503">
        <v>10</v>
      </c>
    </row>
    <row r="504" spans="1:15">
      <c r="A504" t="s">
        <v>516</v>
      </c>
      <c r="B504" s="2">
        <v>44980</v>
      </c>
      <c r="C504" s="2">
        <v>45003</v>
      </c>
      <c r="D504" t="s">
        <v>647</v>
      </c>
      <c r="E504" t="s">
        <v>659</v>
      </c>
      <c r="F504" t="s">
        <v>699</v>
      </c>
      <c r="G504" t="s">
        <v>702</v>
      </c>
      <c r="H504" t="s">
        <v>710</v>
      </c>
      <c r="I504" t="s">
        <v>723</v>
      </c>
      <c r="J504" t="s">
        <v>728</v>
      </c>
      <c r="K504" t="s">
        <v>1235</v>
      </c>
      <c r="L504">
        <v>770.11</v>
      </c>
      <c r="M504">
        <v>1667.82</v>
      </c>
      <c r="N504">
        <v>6.9000000000000006E-2</v>
      </c>
      <c r="O504">
        <v>7</v>
      </c>
    </row>
    <row r="505" spans="1:15">
      <c r="A505" t="s">
        <v>517</v>
      </c>
      <c r="B505" s="2">
        <v>45740</v>
      </c>
      <c r="C505" s="2">
        <v>45741</v>
      </c>
      <c r="D505" t="s">
        <v>647</v>
      </c>
      <c r="E505" t="s">
        <v>659</v>
      </c>
      <c r="F505" t="s">
        <v>699</v>
      </c>
      <c r="G505" t="s">
        <v>703</v>
      </c>
      <c r="H505" t="s">
        <v>708</v>
      </c>
      <c r="I505" t="s">
        <v>715</v>
      </c>
      <c r="J505" t="s">
        <v>729</v>
      </c>
      <c r="K505" t="s">
        <v>1236</v>
      </c>
      <c r="L505">
        <v>1133.03</v>
      </c>
      <c r="M505">
        <v>1921.51</v>
      </c>
      <c r="N505">
        <v>0.10100000000000001</v>
      </c>
      <c r="O505">
        <v>5</v>
      </c>
    </row>
    <row r="506" spans="1:15">
      <c r="A506" t="s">
        <v>518</v>
      </c>
      <c r="B506" s="2">
        <v>45726</v>
      </c>
      <c r="C506" s="2">
        <v>45743</v>
      </c>
      <c r="D506" t="s">
        <v>648</v>
      </c>
      <c r="E506" t="s">
        <v>655</v>
      </c>
      <c r="F506" t="s">
        <v>692</v>
      </c>
      <c r="G506" t="s">
        <v>706</v>
      </c>
      <c r="H506" t="s">
        <v>711</v>
      </c>
      <c r="I506" t="s">
        <v>721</v>
      </c>
      <c r="J506" t="s">
        <v>729</v>
      </c>
      <c r="K506" t="s">
        <v>1237</v>
      </c>
      <c r="L506">
        <v>996.73</v>
      </c>
      <c r="M506">
        <v>1217.43</v>
      </c>
      <c r="N506">
        <v>7.0000000000000007E-2</v>
      </c>
      <c r="O506">
        <v>9</v>
      </c>
    </row>
    <row r="507" spans="1:15">
      <c r="A507" t="s">
        <v>519</v>
      </c>
      <c r="B507" s="2">
        <v>45387</v>
      </c>
      <c r="C507" s="2">
        <v>45391</v>
      </c>
      <c r="D507" t="s">
        <v>646</v>
      </c>
      <c r="E507" t="s">
        <v>651</v>
      </c>
      <c r="F507" t="s">
        <v>665</v>
      </c>
      <c r="G507" t="s">
        <v>703</v>
      </c>
      <c r="H507" t="s">
        <v>711</v>
      </c>
      <c r="I507" t="s">
        <v>723</v>
      </c>
      <c r="J507" t="s">
        <v>727</v>
      </c>
      <c r="K507" t="s">
        <v>1238</v>
      </c>
      <c r="L507">
        <v>395.07</v>
      </c>
      <c r="M507">
        <v>970.27</v>
      </c>
      <c r="N507">
        <v>0.123</v>
      </c>
      <c r="O507">
        <v>38</v>
      </c>
    </row>
    <row r="508" spans="1:15">
      <c r="A508" t="s">
        <v>520</v>
      </c>
      <c r="B508" s="2">
        <v>45774</v>
      </c>
      <c r="C508" s="2">
        <v>45794</v>
      </c>
      <c r="D508" t="s">
        <v>648</v>
      </c>
      <c r="E508" t="s">
        <v>660</v>
      </c>
      <c r="F508" t="s">
        <v>697</v>
      </c>
      <c r="G508" t="s">
        <v>701</v>
      </c>
      <c r="H508" t="s">
        <v>711</v>
      </c>
      <c r="I508" t="s">
        <v>725</v>
      </c>
      <c r="J508" t="s">
        <v>730</v>
      </c>
      <c r="K508" t="s">
        <v>1239</v>
      </c>
      <c r="L508">
        <v>932.26</v>
      </c>
      <c r="M508">
        <v>1624.67</v>
      </c>
      <c r="N508">
        <v>0.23499999999999999</v>
      </c>
      <c r="O508">
        <v>28</v>
      </c>
    </row>
    <row r="509" spans="1:15">
      <c r="A509" t="s">
        <v>521</v>
      </c>
      <c r="B509" s="2">
        <v>45589</v>
      </c>
      <c r="C509" s="2">
        <v>45593</v>
      </c>
      <c r="D509" t="s">
        <v>647</v>
      </c>
      <c r="E509" t="s">
        <v>659</v>
      </c>
      <c r="F509" t="s">
        <v>685</v>
      </c>
      <c r="G509" t="s">
        <v>705</v>
      </c>
      <c r="H509" t="s">
        <v>710</v>
      </c>
      <c r="I509" t="s">
        <v>714</v>
      </c>
      <c r="J509" t="s">
        <v>729</v>
      </c>
      <c r="K509" t="s">
        <v>1240</v>
      </c>
      <c r="L509">
        <v>1331.77</v>
      </c>
      <c r="M509">
        <v>2606.11</v>
      </c>
      <c r="N509">
        <v>0.02</v>
      </c>
      <c r="O509">
        <v>6</v>
      </c>
    </row>
    <row r="510" spans="1:15">
      <c r="A510" t="s">
        <v>522</v>
      </c>
      <c r="B510" s="2">
        <v>45029</v>
      </c>
      <c r="C510" s="2">
        <v>45036</v>
      </c>
      <c r="D510" t="s">
        <v>649</v>
      </c>
      <c r="E510" t="s">
        <v>657</v>
      </c>
      <c r="F510" t="s">
        <v>679</v>
      </c>
      <c r="G510" t="s">
        <v>705</v>
      </c>
      <c r="H510" t="s">
        <v>708</v>
      </c>
      <c r="I510" t="s">
        <v>720</v>
      </c>
      <c r="J510" t="s">
        <v>731</v>
      </c>
      <c r="K510" t="s">
        <v>1241</v>
      </c>
      <c r="L510">
        <v>227.02</v>
      </c>
      <c r="M510">
        <v>434.72</v>
      </c>
      <c r="N510">
        <v>9.8000000000000004E-2</v>
      </c>
      <c r="O510">
        <v>10</v>
      </c>
    </row>
    <row r="511" spans="1:15">
      <c r="A511" t="s">
        <v>523</v>
      </c>
      <c r="B511" s="2">
        <v>45608</v>
      </c>
      <c r="C511" s="2">
        <v>45617</v>
      </c>
      <c r="D511" t="s">
        <v>647</v>
      </c>
      <c r="E511" t="s">
        <v>654</v>
      </c>
      <c r="F511" t="s">
        <v>691</v>
      </c>
      <c r="G511" t="s">
        <v>701</v>
      </c>
      <c r="H511" t="s">
        <v>711</v>
      </c>
      <c r="I511" t="s">
        <v>722</v>
      </c>
      <c r="J511" t="s">
        <v>731</v>
      </c>
      <c r="K511" t="s">
        <v>1242</v>
      </c>
      <c r="L511">
        <v>903.41</v>
      </c>
      <c r="M511">
        <v>1860.41</v>
      </c>
      <c r="N511">
        <v>0.108</v>
      </c>
      <c r="O511">
        <v>5</v>
      </c>
    </row>
    <row r="512" spans="1:15">
      <c r="A512" t="s">
        <v>524</v>
      </c>
      <c r="B512" s="2">
        <v>45056</v>
      </c>
      <c r="C512" s="2">
        <v>45060</v>
      </c>
      <c r="D512" t="s">
        <v>647</v>
      </c>
      <c r="E512" t="s">
        <v>654</v>
      </c>
      <c r="F512" t="s">
        <v>680</v>
      </c>
      <c r="G512" t="s">
        <v>703</v>
      </c>
      <c r="H512" t="s">
        <v>710</v>
      </c>
      <c r="I512" t="s">
        <v>712</v>
      </c>
      <c r="J512" t="s">
        <v>732</v>
      </c>
      <c r="K512" t="s">
        <v>1243</v>
      </c>
      <c r="L512">
        <v>622.6</v>
      </c>
      <c r="M512">
        <v>833.69</v>
      </c>
      <c r="N512">
        <v>0.20899999999999999</v>
      </c>
      <c r="O512">
        <v>14</v>
      </c>
    </row>
    <row r="513" spans="1:15">
      <c r="A513" t="s">
        <v>525</v>
      </c>
      <c r="B513" s="2">
        <v>45353</v>
      </c>
      <c r="C513" s="2">
        <v>45374</v>
      </c>
      <c r="D513" t="s">
        <v>648</v>
      </c>
      <c r="E513" t="s">
        <v>660</v>
      </c>
      <c r="F513" t="s">
        <v>677</v>
      </c>
      <c r="G513" t="s">
        <v>705</v>
      </c>
      <c r="H513" t="s">
        <v>708</v>
      </c>
      <c r="I513" t="s">
        <v>721</v>
      </c>
      <c r="J513" t="s">
        <v>727</v>
      </c>
      <c r="K513" t="s">
        <v>1244</v>
      </c>
      <c r="L513">
        <v>225.01</v>
      </c>
      <c r="M513">
        <v>333.48</v>
      </c>
      <c r="N513">
        <v>0.11899999999999999</v>
      </c>
      <c r="O513">
        <v>12</v>
      </c>
    </row>
    <row r="514" spans="1:15">
      <c r="A514" t="s">
        <v>526</v>
      </c>
      <c r="B514" s="2">
        <v>45575</v>
      </c>
      <c r="C514" s="2">
        <v>45576</v>
      </c>
      <c r="D514" t="s">
        <v>649</v>
      </c>
      <c r="E514" t="s">
        <v>658</v>
      </c>
      <c r="F514" t="s">
        <v>693</v>
      </c>
      <c r="G514" t="s">
        <v>703</v>
      </c>
      <c r="H514" t="s">
        <v>710</v>
      </c>
      <c r="I514" t="s">
        <v>716</v>
      </c>
      <c r="J514" t="s">
        <v>727</v>
      </c>
      <c r="K514" t="s">
        <v>1245</v>
      </c>
      <c r="L514">
        <v>1389.46</v>
      </c>
      <c r="M514">
        <v>1784.7</v>
      </c>
      <c r="N514">
        <v>0.14599999999999999</v>
      </c>
      <c r="O514">
        <v>33</v>
      </c>
    </row>
    <row r="515" spans="1:15">
      <c r="A515" t="s">
        <v>527</v>
      </c>
      <c r="B515" s="2">
        <v>45078</v>
      </c>
      <c r="C515" s="2">
        <v>45085</v>
      </c>
      <c r="D515" t="s">
        <v>649</v>
      </c>
      <c r="E515" t="s">
        <v>656</v>
      </c>
      <c r="F515" t="s">
        <v>698</v>
      </c>
      <c r="G515" t="s">
        <v>704</v>
      </c>
      <c r="H515" t="s">
        <v>708</v>
      </c>
      <c r="I515" t="s">
        <v>720</v>
      </c>
      <c r="J515" t="s">
        <v>730</v>
      </c>
      <c r="K515" t="s">
        <v>1246</v>
      </c>
      <c r="L515">
        <v>804.17</v>
      </c>
      <c r="M515">
        <v>1072.29</v>
      </c>
      <c r="N515">
        <v>3.2000000000000001E-2</v>
      </c>
      <c r="O515">
        <v>5</v>
      </c>
    </row>
    <row r="516" spans="1:15">
      <c r="A516" t="s">
        <v>528</v>
      </c>
      <c r="B516" s="2">
        <v>45661</v>
      </c>
      <c r="C516" s="2">
        <v>45662</v>
      </c>
      <c r="D516" t="s">
        <v>647</v>
      </c>
      <c r="E516" t="s">
        <v>654</v>
      </c>
      <c r="F516" t="s">
        <v>680</v>
      </c>
      <c r="G516" t="s">
        <v>702</v>
      </c>
      <c r="H516" t="s">
        <v>707</v>
      </c>
      <c r="I516" t="s">
        <v>714</v>
      </c>
      <c r="J516" t="s">
        <v>727</v>
      </c>
      <c r="K516" t="s">
        <v>1247</v>
      </c>
      <c r="L516">
        <v>1428.33</v>
      </c>
      <c r="M516">
        <v>3028.05</v>
      </c>
      <c r="N516">
        <v>0</v>
      </c>
      <c r="O516">
        <v>11</v>
      </c>
    </row>
    <row r="517" spans="1:15">
      <c r="A517" t="s">
        <v>529</v>
      </c>
      <c r="B517" s="2">
        <v>45874</v>
      </c>
      <c r="C517" s="2">
        <v>45897</v>
      </c>
      <c r="D517" t="s">
        <v>647</v>
      </c>
      <c r="E517" t="s">
        <v>654</v>
      </c>
      <c r="F517" t="s">
        <v>691</v>
      </c>
      <c r="G517" t="s">
        <v>703</v>
      </c>
      <c r="H517" t="s">
        <v>710</v>
      </c>
      <c r="I517" t="s">
        <v>725</v>
      </c>
      <c r="J517" t="s">
        <v>731</v>
      </c>
      <c r="K517" t="s">
        <v>1248</v>
      </c>
      <c r="L517">
        <v>638.54</v>
      </c>
      <c r="M517">
        <v>987.24</v>
      </c>
      <c r="N517">
        <v>0</v>
      </c>
      <c r="O517">
        <v>11</v>
      </c>
    </row>
    <row r="518" spans="1:15">
      <c r="A518" t="s">
        <v>530</v>
      </c>
      <c r="B518" s="2">
        <v>45199</v>
      </c>
      <c r="C518" s="2">
        <v>45229</v>
      </c>
      <c r="D518" t="s">
        <v>647</v>
      </c>
      <c r="E518" t="s">
        <v>652</v>
      </c>
      <c r="F518" t="s">
        <v>689</v>
      </c>
      <c r="G518" t="s">
        <v>706</v>
      </c>
      <c r="H518" t="s">
        <v>708</v>
      </c>
      <c r="I518" t="s">
        <v>726</v>
      </c>
      <c r="J518" t="s">
        <v>728</v>
      </c>
      <c r="K518" t="s">
        <v>1249</v>
      </c>
      <c r="L518">
        <v>649.13</v>
      </c>
      <c r="M518">
        <v>975.43</v>
      </c>
      <c r="N518">
        <v>0.157</v>
      </c>
      <c r="O518">
        <v>27</v>
      </c>
    </row>
    <row r="519" spans="1:15">
      <c r="A519" t="s">
        <v>531</v>
      </c>
      <c r="B519" s="2">
        <v>45794</v>
      </c>
      <c r="C519" s="2">
        <v>45807</v>
      </c>
      <c r="D519" t="s">
        <v>646</v>
      </c>
      <c r="E519" t="s">
        <v>651</v>
      </c>
      <c r="F519" t="s">
        <v>665</v>
      </c>
      <c r="G519" t="s">
        <v>704</v>
      </c>
      <c r="H519" t="s">
        <v>710</v>
      </c>
      <c r="I519" t="s">
        <v>721</v>
      </c>
      <c r="J519" t="s">
        <v>733</v>
      </c>
      <c r="K519" t="s">
        <v>1250</v>
      </c>
      <c r="L519">
        <v>66.400000000000006</v>
      </c>
      <c r="M519">
        <v>141.43</v>
      </c>
      <c r="N519">
        <v>0.107</v>
      </c>
      <c r="O519">
        <v>8</v>
      </c>
    </row>
    <row r="520" spans="1:15">
      <c r="A520" t="s">
        <v>532</v>
      </c>
      <c r="B520" s="2">
        <v>45413</v>
      </c>
      <c r="C520" s="2">
        <v>45438</v>
      </c>
      <c r="D520" t="s">
        <v>649</v>
      </c>
      <c r="E520" t="s">
        <v>656</v>
      </c>
      <c r="F520" t="s">
        <v>671</v>
      </c>
      <c r="G520" t="s">
        <v>703</v>
      </c>
      <c r="H520" t="s">
        <v>707</v>
      </c>
      <c r="I520" t="s">
        <v>717</v>
      </c>
      <c r="J520" t="s">
        <v>729</v>
      </c>
      <c r="K520" t="s">
        <v>1251</v>
      </c>
      <c r="L520">
        <v>930.71</v>
      </c>
      <c r="M520">
        <v>1625.42</v>
      </c>
      <c r="N520">
        <v>0.13800000000000001</v>
      </c>
      <c r="O520">
        <v>7</v>
      </c>
    </row>
    <row r="521" spans="1:15">
      <c r="A521" t="s">
        <v>533</v>
      </c>
      <c r="B521" s="2">
        <v>45047</v>
      </c>
      <c r="C521" s="2">
        <v>45064</v>
      </c>
      <c r="D521" t="s">
        <v>646</v>
      </c>
      <c r="E521" t="s">
        <v>651</v>
      </c>
      <c r="F521" t="s">
        <v>663</v>
      </c>
      <c r="G521" t="s">
        <v>701</v>
      </c>
      <c r="H521" t="s">
        <v>711</v>
      </c>
      <c r="I521" t="s">
        <v>721</v>
      </c>
      <c r="J521" t="s">
        <v>727</v>
      </c>
      <c r="K521" t="s">
        <v>1252</v>
      </c>
      <c r="L521">
        <v>327.97</v>
      </c>
      <c r="M521">
        <v>299.94</v>
      </c>
      <c r="N521">
        <v>4.9000000000000002E-2</v>
      </c>
      <c r="O521">
        <v>3</v>
      </c>
    </row>
    <row r="522" spans="1:15">
      <c r="A522" t="s">
        <v>534</v>
      </c>
      <c r="B522" s="2">
        <v>45482</v>
      </c>
      <c r="C522" s="2">
        <v>45512</v>
      </c>
      <c r="D522" t="s">
        <v>649</v>
      </c>
      <c r="E522" t="s">
        <v>657</v>
      </c>
      <c r="F522" t="s">
        <v>673</v>
      </c>
      <c r="G522" t="s">
        <v>701</v>
      </c>
      <c r="H522" t="s">
        <v>711</v>
      </c>
      <c r="I522" t="s">
        <v>713</v>
      </c>
      <c r="J522" t="s">
        <v>727</v>
      </c>
      <c r="K522" t="s">
        <v>1253</v>
      </c>
      <c r="L522">
        <v>1062.3800000000001</v>
      </c>
      <c r="M522">
        <v>1503.96</v>
      </c>
      <c r="N522">
        <v>0.18</v>
      </c>
      <c r="O522">
        <v>6</v>
      </c>
    </row>
    <row r="523" spans="1:15">
      <c r="A523" t="s">
        <v>535</v>
      </c>
      <c r="B523" s="2">
        <v>45056</v>
      </c>
      <c r="C523" s="2">
        <v>45073</v>
      </c>
      <c r="D523" t="s">
        <v>647</v>
      </c>
      <c r="E523" t="s">
        <v>654</v>
      </c>
      <c r="F523" t="s">
        <v>691</v>
      </c>
      <c r="G523" t="s">
        <v>704</v>
      </c>
      <c r="H523" t="s">
        <v>707</v>
      </c>
      <c r="I523" t="s">
        <v>724</v>
      </c>
      <c r="J523" t="s">
        <v>731</v>
      </c>
      <c r="K523" t="s">
        <v>1254</v>
      </c>
      <c r="L523">
        <v>1286.1600000000001</v>
      </c>
      <c r="M523">
        <v>3101.11</v>
      </c>
      <c r="N523">
        <v>0.1</v>
      </c>
      <c r="O523">
        <v>23</v>
      </c>
    </row>
    <row r="524" spans="1:15">
      <c r="A524" t="s">
        <v>536</v>
      </c>
      <c r="B524" s="2">
        <v>45482</v>
      </c>
      <c r="C524" s="2">
        <v>45485</v>
      </c>
      <c r="D524" t="s">
        <v>647</v>
      </c>
      <c r="E524" t="s">
        <v>659</v>
      </c>
      <c r="F524" t="s">
        <v>685</v>
      </c>
      <c r="G524" t="s">
        <v>705</v>
      </c>
      <c r="H524" t="s">
        <v>707</v>
      </c>
      <c r="I524" t="s">
        <v>726</v>
      </c>
      <c r="J524" t="s">
        <v>733</v>
      </c>
      <c r="K524" t="s">
        <v>1255</v>
      </c>
      <c r="L524">
        <v>748.39</v>
      </c>
      <c r="M524">
        <v>979.42</v>
      </c>
      <c r="N524">
        <v>0</v>
      </c>
      <c r="O524">
        <v>23</v>
      </c>
    </row>
    <row r="525" spans="1:15">
      <c r="A525" t="s">
        <v>537</v>
      </c>
      <c r="B525" s="2">
        <v>45406</v>
      </c>
      <c r="C525" s="2">
        <v>45422</v>
      </c>
      <c r="D525" t="s">
        <v>646</v>
      </c>
      <c r="E525" t="s">
        <v>650</v>
      </c>
      <c r="F525" t="s">
        <v>662</v>
      </c>
      <c r="G525" t="s">
        <v>703</v>
      </c>
      <c r="H525" t="s">
        <v>708</v>
      </c>
      <c r="I525" t="s">
        <v>725</v>
      </c>
      <c r="J525" t="s">
        <v>732</v>
      </c>
      <c r="K525" t="s">
        <v>1256</v>
      </c>
      <c r="L525">
        <v>513.30999999999995</v>
      </c>
      <c r="M525">
        <v>1186.26</v>
      </c>
      <c r="N525">
        <v>9.4E-2</v>
      </c>
      <c r="O525">
        <v>15</v>
      </c>
    </row>
    <row r="526" spans="1:15">
      <c r="A526" t="s">
        <v>538</v>
      </c>
      <c r="B526" s="2">
        <v>45304</v>
      </c>
      <c r="C526" s="2">
        <v>45306</v>
      </c>
      <c r="D526" t="s">
        <v>648</v>
      </c>
      <c r="E526" t="s">
        <v>660</v>
      </c>
      <c r="F526" t="s">
        <v>686</v>
      </c>
      <c r="G526" t="s">
        <v>703</v>
      </c>
      <c r="H526" t="s">
        <v>711</v>
      </c>
      <c r="I526" t="s">
        <v>718</v>
      </c>
      <c r="J526" t="s">
        <v>727</v>
      </c>
      <c r="K526" t="s">
        <v>1257</v>
      </c>
      <c r="L526">
        <v>1061.3699999999999</v>
      </c>
      <c r="M526">
        <v>1938.33</v>
      </c>
      <c r="N526">
        <v>0.17</v>
      </c>
      <c r="O526">
        <v>4</v>
      </c>
    </row>
    <row r="527" spans="1:15">
      <c r="A527" t="s">
        <v>539</v>
      </c>
      <c r="B527" s="2">
        <v>45398</v>
      </c>
      <c r="C527" s="2">
        <v>45409</v>
      </c>
      <c r="D527" t="s">
        <v>646</v>
      </c>
      <c r="E527" t="s">
        <v>650</v>
      </c>
      <c r="F527" t="s">
        <v>678</v>
      </c>
      <c r="G527" t="s">
        <v>706</v>
      </c>
      <c r="H527" t="s">
        <v>708</v>
      </c>
      <c r="I527" t="s">
        <v>726</v>
      </c>
      <c r="J527" t="s">
        <v>728</v>
      </c>
      <c r="K527" t="s">
        <v>1258</v>
      </c>
      <c r="L527">
        <v>401.3</v>
      </c>
      <c r="M527">
        <v>826.47</v>
      </c>
      <c r="N527">
        <v>0.22500000000000001</v>
      </c>
      <c r="O527">
        <v>13</v>
      </c>
    </row>
    <row r="528" spans="1:15">
      <c r="A528" t="s">
        <v>540</v>
      </c>
      <c r="B528" s="2">
        <v>45695</v>
      </c>
      <c r="C528" s="2">
        <v>45704</v>
      </c>
      <c r="D528" t="s">
        <v>646</v>
      </c>
      <c r="E528" t="s">
        <v>651</v>
      </c>
      <c r="F528" t="s">
        <v>665</v>
      </c>
      <c r="G528" t="s">
        <v>705</v>
      </c>
      <c r="H528" t="s">
        <v>710</v>
      </c>
      <c r="I528" t="s">
        <v>712</v>
      </c>
      <c r="J528" t="s">
        <v>728</v>
      </c>
      <c r="K528" t="s">
        <v>1259</v>
      </c>
      <c r="L528">
        <v>90.68</v>
      </c>
      <c r="M528">
        <v>118.17</v>
      </c>
      <c r="N528">
        <v>0.13500000000000001</v>
      </c>
      <c r="O528">
        <v>21</v>
      </c>
    </row>
    <row r="529" spans="1:15">
      <c r="A529" t="s">
        <v>541</v>
      </c>
      <c r="B529" s="2">
        <v>44938</v>
      </c>
      <c r="C529" s="2">
        <v>44952</v>
      </c>
      <c r="D529" t="s">
        <v>647</v>
      </c>
      <c r="E529" t="s">
        <v>659</v>
      </c>
      <c r="F529" t="s">
        <v>676</v>
      </c>
      <c r="G529" t="s">
        <v>703</v>
      </c>
      <c r="H529" t="s">
        <v>707</v>
      </c>
      <c r="I529" t="s">
        <v>724</v>
      </c>
      <c r="J529" t="s">
        <v>728</v>
      </c>
      <c r="K529" t="s">
        <v>1260</v>
      </c>
      <c r="L529">
        <v>1083.0899999999999</v>
      </c>
      <c r="M529">
        <v>1425.87</v>
      </c>
      <c r="N529">
        <v>0</v>
      </c>
      <c r="O529">
        <v>8</v>
      </c>
    </row>
    <row r="530" spans="1:15">
      <c r="A530" t="s">
        <v>542</v>
      </c>
      <c r="B530" s="2">
        <v>45448</v>
      </c>
      <c r="C530" s="2">
        <v>45466</v>
      </c>
      <c r="D530" t="s">
        <v>646</v>
      </c>
      <c r="E530" t="s">
        <v>650</v>
      </c>
      <c r="F530" t="s">
        <v>664</v>
      </c>
      <c r="G530" t="s">
        <v>704</v>
      </c>
      <c r="H530" t="s">
        <v>710</v>
      </c>
      <c r="I530" t="s">
        <v>726</v>
      </c>
      <c r="J530" t="s">
        <v>731</v>
      </c>
      <c r="K530" t="s">
        <v>1261</v>
      </c>
      <c r="L530">
        <v>1208.74</v>
      </c>
      <c r="M530">
        <v>1594.78</v>
      </c>
      <c r="N530">
        <v>5.8999999999999997E-2</v>
      </c>
      <c r="O530">
        <v>39</v>
      </c>
    </row>
    <row r="531" spans="1:15">
      <c r="A531" t="s">
        <v>543</v>
      </c>
      <c r="B531" s="2">
        <v>45162</v>
      </c>
      <c r="C531" s="2">
        <v>45189</v>
      </c>
      <c r="D531" t="s">
        <v>646</v>
      </c>
      <c r="E531" t="s">
        <v>661</v>
      </c>
      <c r="F531" t="s">
        <v>687</v>
      </c>
      <c r="G531" t="s">
        <v>705</v>
      </c>
      <c r="H531" t="s">
        <v>709</v>
      </c>
      <c r="I531" t="s">
        <v>724</v>
      </c>
      <c r="J531" t="s">
        <v>728</v>
      </c>
      <c r="K531" t="s">
        <v>1262</v>
      </c>
      <c r="L531">
        <v>1399.64</v>
      </c>
      <c r="M531">
        <v>3342.11</v>
      </c>
      <c r="N531">
        <v>0</v>
      </c>
      <c r="O531">
        <v>10</v>
      </c>
    </row>
    <row r="532" spans="1:15">
      <c r="A532" t="s">
        <v>544</v>
      </c>
      <c r="B532" s="2">
        <v>45316</v>
      </c>
      <c r="C532" s="2">
        <v>45330</v>
      </c>
      <c r="D532" t="s">
        <v>647</v>
      </c>
      <c r="E532" t="s">
        <v>652</v>
      </c>
      <c r="F532" t="s">
        <v>666</v>
      </c>
      <c r="G532" t="s">
        <v>704</v>
      </c>
      <c r="H532" t="s">
        <v>709</v>
      </c>
      <c r="I532" t="s">
        <v>714</v>
      </c>
      <c r="J532" t="s">
        <v>729</v>
      </c>
      <c r="K532" t="s">
        <v>1263</v>
      </c>
      <c r="L532">
        <v>937.16</v>
      </c>
      <c r="M532">
        <v>1069.77</v>
      </c>
      <c r="N532">
        <v>3.7999999999999999E-2</v>
      </c>
      <c r="O532">
        <v>9</v>
      </c>
    </row>
    <row r="533" spans="1:15">
      <c r="A533" t="s">
        <v>545</v>
      </c>
      <c r="B533" s="2">
        <v>45727</v>
      </c>
      <c r="C533" s="2">
        <v>45742</v>
      </c>
      <c r="D533" t="s">
        <v>649</v>
      </c>
      <c r="E533" t="s">
        <v>656</v>
      </c>
      <c r="F533" t="s">
        <v>671</v>
      </c>
      <c r="G533" t="s">
        <v>705</v>
      </c>
      <c r="H533" t="s">
        <v>708</v>
      </c>
      <c r="I533" t="s">
        <v>714</v>
      </c>
      <c r="J533" t="s">
        <v>730</v>
      </c>
      <c r="K533" t="s">
        <v>1264</v>
      </c>
      <c r="L533">
        <v>116.97</v>
      </c>
      <c r="M533">
        <v>140.82</v>
      </c>
      <c r="N533">
        <v>0.122</v>
      </c>
      <c r="O533">
        <v>5</v>
      </c>
    </row>
    <row r="534" spans="1:15">
      <c r="A534" t="s">
        <v>546</v>
      </c>
      <c r="B534" s="2">
        <v>45769</v>
      </c>
      <c r="C534" s="2">
        <v>45789</v>
      </c>
      <c r="D534" t="s">
        <v>649</v>
      </c>
      <c r="E534" t="s">
        <v>657</v>
      </c>
      <c r="F534" t="s">
        <v>679</v>
      </c>
      <c r="G534" t="s">
        <v>706</v>
      </c>
      <c r="H534" t="s">
        <v>709</v>
      </c>
      <c r="I534" t="s">
        <v>723</v>
      </c>
      <c r="J534" t="s">
        <v>732</v>
      </c>
      <c r="K534" t="s">
        <v>1265</v>
      </c>
      <c r="L534">
        <v>59.51</v>
      </c>
      <c r="M534">
        <v>67.040000000000006</v>
      </c>
      <c r="N534">
        <v>0.114</v>
      </c>
      <c r="O534">
        <v>9</v>
      </c>
    </row>
    <row r="535" spans="1:15">
      <c r="A535" t="s">
        <v>547</v>
      </c>
      <c r="B535" s="2">
        <v>45155</v>
      </c>
      <c r="C535" s="2">
        <v>45172</v>
      </c>
      <c r="D535" t="s">
        <v>646</v>
      </c>
      <c r="E535" t="s">
        <v>661</v>
      </c>
      <c r="F535" t="s">
        <v>687</v>
      </c>
      <c r="G535" t="s">
        <v>706</v>
      </c>
      <c r="H535" t="s">
        <v>707</v>
      </c>
      <c r="I535" t="s">
        <v>720</v>
      </c>
      <c r="J535" t="s">
        <v>730</v>
      </c>
      <c r="K535" t="s">
        <v>1266</v>
      </c>
      <c r="L535">
        <v>676.37</v>
      </c>
      <c r="M535">
        <v>1276.67</v>
      </c>
      <c r="N535">
        <v>6.6000000000000003E-2</v>
      </c>
      <c r="O535">
        <v>10</v>
      </c>
    </row>
    <row r="536" spans="1:15">
      <c r="A536" t="s">
        <v>548</v>
      </c>
      <c r="B536" s="2">
        <v>45832</v>
      </c>
      <c r="C536" s="2">
        <v>45852</v>
      </c>
      <c r="D536" t="s">
        <v>646</v>
      </c>
      <c r="E536" t="s">
        <v>661</v>
      </c>
      <c r="F536" t="s">
        <v>682</v>
      </c>
      <c r="G536" t="s">
        <v>706</v>
      </c>
      <c r="H536" t="s">
        <v>709</v>
      </c>
      <c r="I536" t="s">
        <v>713</v>
      </c>
      <c r="J536" t="s">
        <v>731</v>
      </c>
      <c r="K536" t="s">
        <v>1267</v>
      </c>
      <c r="L536">
        <v>1151.06</v>
      </c>
      <c r="M536">
        <v>2821.36</v>
      </c>
      <c r="N536">
        <v>0.248</v>
      </c>
      <c r="O536">
        <v>20</v>
      </c>
    </row>
    <row r="537" spans="1:15">
      <c r="A537" t="s">
        <v>549</v>
      </c>
      <c r="B537" s="2">
        <v>45667</v>
      </c>
      <c r="C537" s="2">
        <v>45694</v>
      </c>
      <c r="D537" t="s">
        <v>648</v>
      </c>
      <c r="E537" t="s">
        <v>655</v>
      </c>
      <c r="F537" t="s">
        <v>672</v>
      </c>
      <c r="G537" t="s">
        <v>703</v>
      </c>
      <c r="H537" t="s">
        <v>707</v>
      </c>
      <c r="I537" t="s">
        <v>717</v>
      </c>
      <c r="J537" t="s">
        <v>731</v>
      </c>
      <c r="K537" t="s">
        <v>1268</v>
      </c>
      <c r="L537">
        <v>725.62</v>
      </c>
      <c r="M537">
        <v>1559.19</v>
      </c>
      <c r="N537">
        <v>0.19</v>
      </c>
      <c r="O537">
        <v>12</v>
      </c>
    </row>
    <row r="538" spans="1:15">
      <c r="A538" t="s">
        <v>550</v>
      </c>
      <c r="B538" s="2">
        <v>45108</v>
      </c>
      <c r="C538" s="2">
        <v>45118</v>
      </c>
      <c r="D538" t="s">
        <v>649</v>
      </c>
      <c r="E538" t="s">
        <v>657</v>
      </c>
      <c r="F538" t="s">
        <v>690</v>
      </c>
      <c r="G538" t="s">
        <v>701</v>
      </c>
      <c r="H538" t="s">
        <v>711</v>
      </c>
      <c r="I538" t="s">
        <v>721</v>
      </c>
      <c r="J538" t="s">
        <v>729</v>
      </c>
      <c r="K538" t="s">
        <v>1269</v>
      </c>
      <c r="L538">
        <v>479.5</v>
      </c>
      <c r="M538">
        <v>656.66</v>
      </c>
      <c r="N538">
        <v>0.14899999999999999</v>
      </c>
      <c r="O538">
        <v>14</v>
      </c>
    </row>
    <row r="539" spans="1:15">
      <c r="A539" t="s">
        <v>551</v>
      </c>
      <c r="B539" s="2">
        <v>45520</v>
      </c>
      <c r="C539" s="2">
        <v>45530</v>
      </c>
      <c r="D539" t="s">
        <v>648</v>
      </c>
      <c r="E539" t="s">
        <v>660</v>
      </c>
      <c r="F539" t="s">
        <v>677</v>
      </c>
      <c r="G539" t="s">
        <v>701</v>
      </c>
      <c r="H539" t="s">
        <v>710</v>
      </c>
      <c r="I539" t="s">
        <v>716</v>
      </c>
      <c r="J539" t="s">
        <v>731</v>
      </c>
      <c r="K539" t="s">
        <v>1121</v>
      </c>
      <c r="L539">
        <v>1291.7</v>
      </c>
      <c r="M539">
        <v>2657.84</v>
      </c>
      <c r="N539">
        <v>8.6999999999999994E-2</v>
      </c>
      <c r="O539">
        <v>21</v>
      </c>
    </row>
    <row r="540" spans="1:15">
      <c r="A540" t="s">
        <v>552</v>
      </c>
      <c r="B540" s="2">
        <v>45114</v>
      </c>
      <c r="C540" s="2">
        <v>45120</v>
      </c>
      <c r="D540" t="s">
        <v>646</v>
      </c>
      <c r="E540" t="s">
        <v>661</v>
      </c>
      <c r="F540" t="s">
        <v>695</v>
      </c>
      <c r="G540" t="s">
        <v>705</v>
      </c>
      <c r="H540" t="s">
        <v>709</v>
      </c>
      <c r="I540" t="s">
        <v>717</v>
      </c>
      <c r="J540" t="s">
        <v>733</v>
      </c>
      <c r="K540" t="s">
        <v>1270</v>
      </c>
      <c r="L540">
        <v>612.59</v>
      </c>
      <c r="M540">
        <v>1424.74</v>
      </c>
      <c r="N540">
        <v>4.3999999999999997E-2</v>
      </c>
      <c r="O540">
        <v>15</v>
      </c>
    </row>
    <row r="541" spans="1:15">
      <c r="A541" t="s">
        <v>553</v>
      </c>
      <c r="B541" s="2">
        <v>45288</v>
      </c>
      <c r="C541" s="2">
        <v>45292</v>
      </c>
      <c r="D541" t="s">
        <v>646</v>
      </c>
      <c r="E541" t="s">
        <v>661</v>
      </c>
      <c r="F541" t="s">
        <v>695</v>
      </c>
      <c r="G541" t="s">
        <v>702</v>
      </c>
      <c r="H541" t="s">
        <v>710</v>
      </c>
      <c r="I541" t="s">
        <v>720</v>
      </c>
      <c r="J541" t="s">
        <v>728</v>
      </c>
      <c r="K541" t="s">
        <v>1271</v>
      </c>
      <c r="L541">
        <v>1141.8</v>
      </c>
      <c r="M541">
        <v>2318.7399999999998</v>
      </c>
      <c r="N541">
        <v>0.107</v>
      </c>
      <c r="O541">
        <v>32</v>
      </c>
    </row>
    <row r="542" spans="1:15">
      <c r="A542" t="s">
        <v>554</v>
      </c>
      <c r="B542" s="2">
        <v>44952</v>
      </c>
      <c r="C542" s="2">
        <v>44972</v>
      </c>
      <c r="D542" t="s">
        <v>649</v>
      </c>
      <c r="E542" t="s">
        <v>656</v>
      </c>
      <c r="F542" t="s">
        <v>671</v>
      </c>
      <c r="G542" t="s">
        <v>705</v>
      </c>
      <c r="H542" t="s">
        <v>708</v>
      </c>
      <c r="I542" t="s">
        <v>719</v>
      </c>
      <c r="J542" t="s">
        <v>729</v>
      </c>
      <c r="K542" t="s">
        <v>1272</v>
      </c>
      <c r="L542">
        <v>492.62</v>
      </c>
      <c r="M542">
        <v>366.7</v>
      </c>
      <c r="N542">
        <v>8.8999999999999996E-2</v>
      </c>
      <c r="O542">
        <v>10</v>
      </c>
    </row>
    <row r="543" spans="1:15">
      <c r="A543" t="s">
        <v>555</v>
      </c>
      <c r="B543" s="2">
        <v>45115</v>
      </c>
      <c r="C543" s="2">
        <v>45116</v>
      </c>
      <c r="D543" t="s">
        <v>646</v>
      </c>
      <c r="E543" t="s">
        <v>650</v>
      </c>
      <c r="F543" t="s">
        <v>664</v>
      </c>
      <c r="G543" t="s">
        <v>704</v>
      </c>
      <c r="H543" t="s">
        <v>708</v>
      </c>
      <c r="I543" t="s">
        <v>726</v>
      </c>
      <c r="J543" t="s">
        <v>731</v>
      </c>
      <c r="K543" t="s">
        <v>1273</v>
      </c>
      <c r="L543">
        <v>1258.72</v>
      </c>
      <c r="M543">
        <v>2797.41</v>
      </c>
      <c r="N543">
        <v>0</v>
      </c>
      <c r="O543">
        <v>7</v>
      </c>
    </row>
    <row r="544" spans="1:15">
      <c r="A544" t="s">
        <v>556</v>
      </c>
      <c r="B544" s="2">
        <v>45450</v>
      </c>
      <c r="C544" s="2">
        <v>45452</v>
      </c>
      <c r="D544" t="s">
        <v>647</v>
      </c>
      <c r="E544" t="s">
        <v>659</v>
      </c>
      <c r="F544" t="s">
        <v>685</v>
      </c>
      <c r="G544" t="s">
        <v>701</v>
      </c>
      <c r="H544" t="s">
        <v>707</v>
      </c>
      <c r="I544" t="s">
        <v>719</v>
      </c>
      <c r="J544" t="s">
        <v>732</v>
      </c>
      <c r="K544" t="s">
        <v>1274</v>
      </c>
      <c r="L544">
        <v>1370.28</v>
      </c>
      <c r="M544">
        <v>2209.66</v>
      </c>
      <c r="N544">
        <v>0.13300000000000001</v>
      </c>
      <c r="O544">
        <v>16</v>
      </c>
    </row>
    <row r="545" spans="1:15">
      <c r="A545" t="s">
        <v>557</v>
      </c>
      <c r="B545" s="2">
        <v>44968</v>
      </c>
      <c r="C545" s="2">
        <v>44969</v>
      </c>
      <c r="D545" t="s">
        <v>646</v>
      </c>
      <c r="E545" t="s">
        <v>651</v>
      </c>
      <c r="F545" t="s">
        <v>663</v>
      </c>
      <c r="G545" t="s">
        <v>703</v>
      </c>
      <c r="H545" t="s">
        <v>711</v>
      </c>
      <c r="I545" t="s">
        <v>726</v>
      </c>
      <c r="J545" t="s">
        <v>733</v>
      </c>
      <c r="K545" t="s">
        <v>1275</v>
      </c>
      <c r="L545">
        <v>944.61</v>
      </c>
      <c r="M545">
        <v>839.04</v>
      </c>
      <c r="N545">
        <v>5.8999999999999997E-2</v>
      </c>
      <c r="O545">
        <v>6</v>
      </c>
    </row>
    <row r="546" spans="1:15">
      <c r="A546" t="s">
        <v>558</v>
      </c>
      <c r="B546" s="2">
        <v>45108</v>
      </c>
      <c r="C546" s="2">
        <v>45115</v>
      </c>
      <c r="D546" t="s">
        <v>649</v>
      </c>
      <c r="E546" t="s">
        <v>656</v>
      </c>
      <c r="F546" t="s">
        <v>698</v>
      </c>
      <c r="G546" t="s">
        <v>705</v>
      </c>
      <c r="H546" t="s">
        <v>710</v>
      </c>
      <c r="I546" t="s">
        <v>725</v>
      </c>
      <c r="J546" t="s">
        <v>731</v>
      </c>
      <c r="K546" t="s">
        <v>1276</v>
      </c>
      <c r="L546">
        <v>460.21</v>
      </c>
      <c r="M546">
        <v>1139.1500000000001</v>
      </c>
      <c r="N546">
        <v>0.115</v>
      </c>
      <c r="O546">
        <v>14</v>
      </c>
    </row>
    <row r="547" spans="1:15">
      <c r="A547" t="s">
        <v>559</v>
      </c>
      <c r="B547" s="2">
        <v>45889</v>
      </c>
      <c r="C547" s="2">
        <v>45895</v>
      </c>
      <c r="D547" t="s">
        <v>648</v>
      </c>
      <c r="E547" t="s">
        <v>660</v>
      </c>
      <c r="F547" t="s">
        <v>700</v>
      </c>
      <c r="G547" t="s">
        <v>701</v>
      </c>
      <c r="H547" t="s">
        <v>707</v>
      </c>
      <c r="I547" t="s">
        <v>724</v>
      </c>
      <c r="J547" t="s">
        <v>729</v>
      </c>
      <c r="K547" t="s">
        <v>1277</v>
      </c>
      <c r="L547">
        <v>1304.95</v>
      </c>
      <c r="M547">
        <v>1712.03</v>
      </c>
      <c r="N547">
        <v>0.21199999999999999</v>
      </c>
      <c r="O547">
        <v>8</v>
      </c>
    </row>
    <row r="548" spans="1:15">
      <c r="A548" t="s">
        <v>560</v>
      </c>
      <c r="B548" s="2">
        <v>45355</v>
      </c>
      <c r="C548" s="2">
        <v>45367</v>
      </c>
      <c r="D548" t="s">
        <v>646</v>
      </c>
      <c r="E548" t="s">
        <v>661</v>
      </c>
      <c r="F548" t="s">
        <v>682</v>
      </c>
      <c r="G548" t="s">
        <v>706</v>
      </c>
      <c r="H548" t="s">
        <v>710</v>
      </c>
      <c r="I548" t="s">
        <v>724</v>
      </c>
      <c r="J548" t="s">
        <v>732</v>
      </c>
      <c r="K548" t="s">
        <v>1278</v>
      </c>
      <c r="L548">
        <v>441.08</v>
      </c>
      <c r="M548">
        <v>1054.29</v>
      </c>
      <c r="N548">
        <v>0.23699999999999999</v>
      </c>
      <c r="O548">
        <v>6</v>
      </c>
    </row>
    <row r="549" spans="1:15">
      <c r="A549" t="s">
        <v>561</v>
      </c>
      <c r="B549" s="2">
        <v>45177</v>
      </c>
      <c r="C549" s="2">
        <v>45201</v>
      </c>
      <c r="D549" t="s">
        <v>648</v>
      </c>
      <c r="E549" t="s">
        <v>653</v>
      </c>
      <c r="F549" t="s">
        <v>667</v>
      </c>
      <c r="G549" t="s">
        <v>702</v>
      </c>
      <c r="H549" t="s">
        <v>711</v>
      </c>
      <c r="I549" t="s">
        <v>720</v>
      </c>
      <c r="J549" t="s">
        <v>733</v>
      </c>
      <c r="K549" t="s">
        <v>1279</v>
      </c>
      <c r="L549">
        <v>1299.03</v>
      </c>
      <c r="M549">
        <v>2451.2199999999998</v>
      </c>
      <c r="N549">
        <v>0.20799999999999999</v>
      </c>
      <c r="O549">
        <v>8</v>
      </c>
    </row>
    <row r="550" spans="1:15">
      <c r="A550" t="s">
        <v>562</v>
      </c>
      <c r="B550" s="2">
        <v>44985</v>
      </c>
      <c r="C550" s="2">
        <v>44991</v>
      </c>
      <c r="D550" t="s">
        <v>649</v>
      </c>
      <c r="E550" t="s">
        <v>656</v>
      </c>
      <c r="F550" t="s">
        <v>698</v>
      </c>
      <c r="G550" t="s">
        <v>705</v>
      </c>
      <c r="H550" t="s">
        <v>709</v>
      </c>
      <c r="I550" t="s">
        <v>726</v>
      </c>
      <c r="J550" t="s">
        <v>728</v>
      </c>
      <c r="K550" t="s">
        <v>1280</v>
      </c>
      <c r="L550">
        <v>880.02</v>
      </c>
      <c r="M550">
        <v>1251.21</v>
      </c>
      <c r="N550">
        <v>0.123</v>
      </c>
      <c r="O550">
        <v>29</v>
      </c>
    </row>
    <row r="551" spans="1:15">
      <c r="A551" t="s">
        <v>563</v>
      </c>
      <c r="B551" s="2">
        <v>45486</v>
      </c>
      <c r="C551" s="2">
        <v>45507</v>
      </c>
      <c r="D551" t="s">
        <v>648</v>
      </c>
      <c r="E551" t="s">
        <v>655</v>
      </c>
      <c r="F551" t="s">
        <v>692</v>
      </c>
      <c r="G551" t="s">
        <v>701</v>
      </c>
      <c r="H551" t="s">
        <v>709</v>
      </c>
      <c r="I551" t="s">
        <v>724</v>
      </c>
      <c r="J551" t="s">
        <v>732</v>
      </c>
      <c r="K551" t="s">
        <v>1281</v>
      </c>
      <c r="L551">
        <v>702.98</v>
      </c>
      <c r="M551">
        <v>1104.8</v>
      </c>
      <c r="N551">
        <v>0.17499999999999999</v>
      </c>
      <c r="O551">
        <v>12</v>
      </c>
    </row>
    <row r="552" spans="1:15">
      <c r="A552" t="s">
        <v>564</v>
      </c>
      <c r="B552" s="2">
        <v>45633</v>
      </c>
      <c r="C552" s="2">
        <v>45652</v>
      </c>
      <c r="D552" t="s">
        <v>649</v>
      </c>
      <c r="E552" t="s">
        <v>658</v>
      </c>
      <c r="F552" t="s">
        <v>683</v>
      </c>
      <c r="G552" t="s">
        <v>706</v>
      </c>
      <c r="H552" t="s">
        <v>708</v>
      </c>
      <c r="I552" t="s">
        <v>726</v>
      </c>
      <c r="J552" t="s">
        <v>729</v>
      </c>
      <c r="K552" t="s">
        <v>1282</v>
      </c>
      <c r="L552">
        <v>1035.24</v>
      </c>
      <c r="M552">
        <v>2383.41</v>
      </c>
      <c r="N552">
        <v>0.17</v>
      </c>
      <c r="O552">
        <v>15</v>
      </c>
    </row>
    <row r="553" spans="1:15">
      <c r="A553" t="s">
        <v>565</v>
      </c>
      <c r="B553" s="2">
        <v>45875</v>
      </c>
      <c r="C553" s="2">
        <v>45892</v>
      </c>
      <c r="D553" t="s">
        <v>648</v>
      </c>
      <c r="E553" t="s">
        <v>655</v>
      </c>
      <c r="F553" t="s">
        <v>672</v>
      </c>
      <c r="G553" t="s">
        <v>704</v>
      </c>
      <c r="H553" t="s">
        <v>710</v>
      </c>
      <c r="I553" t="s">
        <v>720</v>
      </c>
      <c r="J553" t="s">
        <v>732</v>
      </c>
      <c r="K553" t="s">
        <v>1283</v>
      </c>
      <c r="L553">
        <v>86.64</v>
      </c>
      <c r="M553">
        <v>213.06</v>
      </c>
      <c r="N553">
        <v>0.21199999999999999</v>
      </c>
      <c r="O553">
        <v>11</v>
      </c>
    </row>
    <row r="554" spans="1:15">
      <c r="A554" t="s">
        <v>566</v>
      </c>
      <c r="B554" s="2">
        <v>44988</v>
      </c>
      <c r="C554" s="2">
        <v>45005</v>
      </c>
      <c r="D554" t="s">
        <v>647</v>
      </c>
      <c r="E554" t="s">
        <v>652</v>
      </c>
      <c r="F554" t="s">
        <v>694</v>
      </c>
      <c r="G554" t="s">
        <v>705</v>
      </c>
      <c r="H554" t="s">
        <v>708</v>
      </c>
      <c r="I554" t="s">
        <v>726</v>
      </c>
      <c r="J554" t="s">
        <v>729</v>
      </c>
      <c r="K554" t="s">
        <v>1284</v>
      </c>
      <c r="L554">
        <v>1171.17</v>
      </c>
      <c r="M554">
        <v>2030.64</v>
      </c>
      <c r="N554">
        <v>0.157</v>
      </c>
      <c r="O554">
        <v>11</v>
      </c>
    </row>
    <row r="555" spans="1:15">
      <c r="A555" t="s">
        <v>567</v>
      </c>
      <c r="B555" s="2">
        <v>45704</v>
      </c>
      <c r="C555" s="2">
        <v>45733</v>
      </c>
      <c r="D555" t="s">
        <v>649</v>
      </c>
      <c r="E555" t="s">
        <v>656</v>
      </c>
      <c r="F555" t="s">
        <v>684</v>
      </c>
      <c r="G555" t="s">
        <v>704</v>
      </c>
      <c r="H555" t="s">
        <v>707</v>
      </c>
      <c r="I555" t="s">
        <v>716</v>
      </c>
      <c r="J555" t="s">
        <v>733</v>
      </c>
      <c r="K555" t="s">
        <v>1285</v>
      </c>
      <c r="L555">
        <v>730.42</v>
      </c>
      <c r="M555">
        <v>956.7</v>
      </c>
      <c r="N555">
        <v>4.2000000000000003E-2</v>
      </c>
      <c r="O555">
        <v>22</v>
      </c>
    </row>
    <row r="556" spans="1:15">
      <c r="A556" t="s">
        <v>568</v>
      </c>
      <c r="B556" s="2">
        <v>45703</v>
      </c>
      <c r="C556" s="2">
        <v>45717</v>
      </c>
      <c r="D556" t="s">
        <v>646</v>
      </c>
      <c r="E556" t="s">
        <v>650</v>
      </c>
      <c r="F556" t="s">
        <v>675</v>
      </c>
      <c r="G556" t="s">
        <v>702</v>
      </c>
      <c r="H556" t="s">
        <v>711</v>
      </c>
      <c r="I556" t="s">
        <v>716</v>
      </c>
      <c r="J556" t="s">
        <v>733</v>
      </c>
      <c r="K556" t="s">
        <v>1286</v>
      </c>
      <c r="L556">
        <v>1162.8599999999999</v>
      </c>
      <c r="M556">
        <v>1447.68</v>
      </c>
      <c r="N556">
        <v>8.6999999999999994E-2</v>
      </c>
      <c r="O556">
        <v>12</v>
      </c>
    </row>
    <row r="557" spans="1:15">
      <c r="A557" t="s">
        <v>569</v>
      </c>
      <c r="B557" s="2">
        <v>45535</v>
      </c>
      <c r="C557" s="2">
        <v>45561</v>
      </c>
      <c r="D557" t="s">
        <v>647</v>
      </c>
      <c r="E557" t="s">
        <v>652</v>
      </c>
      <c r="F557" t="s">
        <v>689</v>
      </c>
      <c r="G557" t="s">
        <v>702</v>
      </c>
      <c r="H557" t="s">
        <v>708</v>
      </c>
      <c r="I557" t="s">
        <v>714</v>
      </c>
      <c r="J557" t="s">
        <v>730</v>
      </c>
      <c r="K557" t="s">
        <v>1287</v>
      </c>
      <c r="L557">
        <v>1189.03</v>
      </c>
      <c r="M557">
        <v>2949.62</v>
      </c>
      <c r="N557">
        <v>0.125</v>
      </c>
      <c r="O557">
        <v>13</v>
      </c>
    </row>
    <row r="558" spans="1:15">
      <c r="A558" t="s">
        <v>570</v>
      </c>
      <c r="B558" s="2">
        <v>45053</v>
      </c>
      <c r="C558" s="2">
        <v>45066</v>
      </c>
      <c r="D558" t="s">
        <v>647</v>
      </c>
      <c r="E558" t="s">
        <v>654</v>
      </c>
      <c r="F558" t="s">
        <v>691</v>
      </c>
      <c r="G558" t="s">
        <v>706</v>
      </c>
      <c r="H558" t="s">
        <v>707</v>
      </c>
      <c r="I558" t="s">
        <v>726</v>
      </c>
      <c r="J558" t="s">
        <v>733</v>
      </c>
      <c r="K558" t="s">
        <v>1288</v>
      </c>
      <c r="L558">
        <v>1443.28</v>
      </c>
      <c r="M558">
        <v>2580.5700000000002</v>
      </c>
      <c r="N558">
        <v>0</v>
      </c>
      <c r="O558">
        <v>18</v>
      </c>
    </row>
    <row r="559" spans="1:15">
      <c r="A559" t="s">
        <v>571</v>
      </c>
      <c r="B559" s="2">
        <v>45791</v>
      </c>
      <c r="C559" s="2">
        <v>45789</v>
      </c>
      <c r="D559" t="s">
        <v>648</v>
      </c>
      <c r="E559" t="s">
        <v>653</v>
      </c>
      <c r="F559" t="s">
        <v>688</v>
      </c>
      <c r="G559" t="s">
        <v>703</v>
      </c>
      <c r="H559" t="s">
        <v>710</v>
      </c>
      <c r="I559" t="s">
        <v>721</v>
      </c>
      <c r="J559" t="s">
        <v>728</v>
      </c>
      <c r="K559" t="s">
        <v>1289</v>
      </c>
      <c r="L559">
        <v>883.5</v>
      </c>
      <c r="M559">
        <v>1978.91</v>
      </c>
      <c r="N559">
        <v>5.3999999999999999E-2</v>
      </c>
      <c r="O559">
        <v>27</v>
      </c>
    </row>
    <row r="560" spans="1:15">
      <c r="A560" t="s">
        <v>572</v>
      </c>
      <c r="B560" s="2">
        <v>45362</v>
      </c>
      <c r="C560" s="2">
        <v>45380</v>
      </c>
      <c r="D560" t="s">
        <v>648</v>
      </c>
      <c r="E560" t="s">
        <v>660</v>
      </c>
      <c r="F560" t="s">
        <v>700</v>
      </c>
      <c r="G560" t="s">
        <v>701</v>
      </c>
      <c r="H560" t="s">
        <v>707</v>
      </c>
      <c r="I560" t="s">
        <v>724</v>
      </c>
      <c r="J560" t="s">
        <v>732</v>
      </c>
      <c r="K560" t="s">
        <v>1290</v>
      </c>
      <c r="L560">
        <v>710.98</v>
      </c>
      <c r="M560">
        <v>1481.45</v>
      </c>
      <c r="N560">
        <v>0.21099999999999999</v>
      </c>
      <c r="O560">
        <v>9</v>
      </c>
    </row>
    <row r="561" spans="1:15">
      <c r="A561" t="s">
        <v>573</v>
      </c>
      <c r="B561" s="2">
        <v>45430</v>
      </c>
      <c r="C561" s="2">
        <v>45434</v>
      </c>
      <c r="D561" t="s">
        <v>646</v>
      </c>
      <c r="E561" t="s">
        <v>650</v>
      </c>
      <c r="F561" t="s">
        <v>664</v>
      </c>
      <c r="G561" t="s">
        <v>701</v>
      </c>
      <c r="H561" t="s">
        <v>711</v>
      </c>
      <c r="I561" t="s">
        <v>722</v>
      </c>
      <c r="J561" t="s">
        <v>733</v>
      </c>
      <c r="K561" t="s">
        <v>1291</v>
      </c>
      <c r="L561">
        <v>857.42</v>
      </c>
      <c r="M561">
        <v>1658.92</v>
      </c>
      <c r="N561">
        <v>0.122</v>
      </c>
      <c r="O561">
        <v>9</v>
      </c>
    </row>
    <row r="562" spans="1:15">
      <c r="A562" t="s">
        <v>574</v>
      </c>
      <c r="B562" s="2">
        <v>45299</v>
      </c>
      <c r="C562" s="2">
        <v>45303</v>
      </c>
      <c r="D562" t="s">
        <v>647</v>
      </c>
      <c r="E562" t="s">
        <v>654</v>
      </c>
      <c r="F562" t="s">
        <v>668</v>
      </c>
      <c r="G562" t="s">
        <v>701</v>
      </c>
      <c r="H562" t="s">
        <v>711</v>
      </c>
      <c r="I562" t="s">
        <v>718</v>
      </c>
      <c r="J562" t="s">
        <v>728</v>
      </c>
      <c r="K562" t="s">
        <v>1292</v>
      </c>
      <c r="L562">
        <v>802.32</v>
      </c>
      <c r="M562">
        <v>602.34</v>
      </c>
      <c r="N562">
        <v>0.12</v>
      </c>
      <c r="O562">
        <v>25</v>
      </c>
    </row>
    <row r="563" spans="1:15">
      <c r="A563" t="s">
        <v>575</v>
      </c>
      <c r="B563" s="2">
        <v>45590</v>
      </c>
      <c r="C563" s="2">
        <v>45601</v>
      </c>
      <c r="D563" t="s">
        <v>648</v>
      </c>
      <c r="E563" t="s">
        <v>660</v>
      </c>
      <c r="F563" t="s">
        <v>700</v>
      </c>
      <c r="G563" t="s">
        <v>701</v>
      </c>
      <c r="H563" t="s">
        <v>710</v>
      </c>
      <c r="I563" t="s">
        <v>725</v>
      </c>
      <c r="J563" t="s">
        <v>727</v>
      </c>
      <c r="K563" t="s">
        <v>1293</v>
      </c>
      <c r="L563">
        <v>446.66</v>
      </c>
      <c r="M563">
        <v>527.64</v>
      </c>
      <c r="N563">
        <v>0.14499999999999999</v>
      </c>
      <c r="O563">
        <v>15</v>
      </c>
    </row>
    <row r="564" spans="1:15">
      <c r="A564" t="s">
        <v>576</v>
      </c>
      <c r="B564" s="2">
        <v>45626</v>
      </c>
      <c r="C564" s="2">
        <v>45645</v>
      </c>
      <c r="D564" t="s">
        <v>646</v>
      </c>
      <c r="E564" t="s">
        <v>650</v>
      </c>
      <c r="F564" t="s">
        <v>662</v>
      </c>
      <c r="G564" t="s">
        <v>701</v>
      </c>
      <c r="H564" t="s">
        <v>708</v>
      </c>
      <c r="I564" t="s">
        <v>716</v>
      </c>
      <c r="J564" t="s">
        <v>730</v>
      </c>
      <c r="K564" t="s">
        <v>1294</v>
      </c>
      <c r="L564">
        <v>1195.98</v>
      </c>
      <c r="M564">
        <v>1841.9</v>
      </c>
      <c r="N564">
        <v>5.5E-2</v>
      </c>
      <c r="O564">
        <v>19</v>
      </c>
    </row>
    <row r="565" spans="1:15">
      <c r="A565" t="s">
        <v>577</v>
      </c>
      <c r="B565" s="2">
        <v>45029</v>
      </c>
      <c r="C565" s="2">
        <v>45048</v>
      </c>
      <c r="D565" t="s">
        <v>648</v>
      </c>
      <c r="E565" t="s">
        <v>653</v>
      </c>
      <c r="F565" t="s">
        <v>681</v>
      </c>
      <c r="G565" t="s">
        <v>704</v>
      </c>
      <c r="H565" t="s">
        <v>710</v>
      </c>
      <c r="I565" t="s">
        <v>718</v>
      </c>
      <c r="J565" t="s">
        <v>732</v>
      </c>
      <c r="K565" t="s">
        <v>1295</v>
      </c>
      <c r="L565">
        <v>671.05</v>
      </c>
      <c r="M565">
        <v>1645.48</v>
      </c>
      <c r="N565">
        <v>0.13700000000000001</v>
      </c>
      <c r="O565">
        <v>6</v>
      </c>
    </row>
    <row r="566" spans="1:15">
      <c r="A566" t="s">
        <v>578</v>
      </c>
      <c r="B566" s="2">
        <v>45692</v>
      </c>
      <c r="C566" s="2">
        <v>45696</v>
      </c>
      <c r="D566" t="s">
        <v>649</v>
      </c>
      <c r="E566" t="s">
        <v>658</v>
      </c>
      <c r="F566" t="s">
        <v>693</v>
      </c>
      <c r="G566" t="s">
        <v>706</v>
      </c>
      <c r="H566" t="s">
        <v>709</v>
      </c>
      <c r="I566" t="s">
        <v>716</v>
      </c>
      <c r="J566" t="s">
        <v>729</v>
      </c>
      <c r="K566" t="s">
        <v>1296</v>
      </c>
      <c r="L566">
        <v>586.21</v>
      </c>
      <c r="M566">
        <v>727.22</v>
      </c>
      <c r="N566">
        <v>6.8000000000000005E-2</v>
      </c>
      <c r="O566">
        <v>15</v>
      </c>
    </row>
    <row r="567" spans="1:15">
      <c r="A567" t="s">
        <v>579</v>
      </c>
      <c r="B567" s="2">
        <v>45315</v>
      </c>
      <c r="C567" s="2">
        <v>45326</v>
      </c>
      <c r="D567" t="s">
        <v>649</v>
      </c>
      <c r="E567" t="s">
        <v>658</v>
      </c>
      <c r="F567" t="s">
        <v>693</v>
      </c>
      <c r="G567" t="s">
        <v>704</v>
      </c>
      <c r="H567" t="s">
        <v>707</v>
      </c>
      <c r="I567" t="s">
        <v>717</v>
      </c>
      <c r="J567" t="s">
        <v>731</v>
      </c>
      <c r="K567" t="s">
        <v>1297</v>
      </c>
      <c r="L567">
        <v>525.34</v>
      </c>
      <c r="M567">
        <v>1233.79</v>
      </c>
      <c r="N567">
        <v>0.14299999999999999</v>
      </c>
      <c r="O567">
        <v>4</v>
      </c>
    </row>
    <row r="568" spans="1:15">
      <c r="A568" t="s">
        <v>580</v>
      </c>
      <c r="B568" s="2">
        <v>45330</v>
      </c>
      <c r="C568" s="2">
        <v>45331</v>
      </c>
      <c r="D568" t="s">
        <v>646</v>
      </c>
      <c r="E568" t="s">
        <v>650</v>
      </c>
      <c r="F568" t="s">
        <v>675</v>
      </c>
      <c r="G568" t="s">
        <v>701</v>
      </c>
      <c r="H568" t="s">
        <v>711</v>
      </c>
      <c r="I568" t="s">
        <v>721</v>
      </c>
      <c r="J568" t="s">
        <v>727</v>
      </c>
      <c r="K568" t="s">
        <v>1298</v>
      </c>
      <c r="L568">
        <v>1233.52</v>
      </c>
      <c r="M568">
        <v>1543.76</v>
      </c>
      <c r="N568">
        <v>0.126</v>
      </c>
      <c r="O568">
        <v>13</v>
      </c>
    </row>
    <row r="569" spans="1:15">
      <c r="A569" t="s">
        <v>581</v>
      </c>
      <c r="B569" s="2">
        <v>45834</v>
      </c>
      <c r="C569" s="2">
        <v>45849</v>
      </c>
      <c r="D569" t="s">
        <v>646</v>
      </c>
      <c r="E569" t="s">
        <v>651</v>
      </c>
      <c r="F569" t="s">
        <v>663</v>
      </c>
      <c r="G569" t="s">
        <v>705</v>
      </c>
      <c r="H569" t="s">
        <v>708</v>
      </c>
      <c r="I569" t="s">
        <v>720</v>
      </c>
      <c r="J569" t="s">
        <v>731</v>
      </c>
      <c r="K569" t="s">
        <v>1299</v>
      </c>
      <c r="L569">
        <v>1170.1500000000001</v>
      </c>
      <c r="M569">
        <v>2115.19</v>
      </c>
      <c r="N569">
        <v>9.1999999999999998E-2</v>
      </c>
      <c r="O569">
        <v>23</v>
      </c>
    </row>
    <row r="570" spans="1:15">
      <c r="A570" t="s">
        <v>582</v>
      </c>
      <c r="B570" s="2">
        <v>45600</v>
      </c>
      <c r="C570" s="2">
        <v>45603</v>
      </c>
      <c r="D570" t="s">
        <v>649</v>
      </c>
      <c r="E570" t="s">
        <v>657</v>
      </c>
      <c r="F570" t="s">
        <v>679</v>
      </c>
      <c r="G570" t="s">
        <v>701</v>
      </c>
      <c r="H570" t="s">
        <v>708</v>
      </c>
      <c r="I570" t="s">
        <v>719</v>
      </c>
      <c r="J570" t="s">
        <v>732</v>
      </c>
      <c r="K570" t="s">
        <v>1300</v>
      </c>
      <c r="L570">
        <v>740.68</v>
      </c>
      <c r="M570">
        <v>1837.19</v>
      </c>
      <c r="N570">
        <v>0.19700000000000001</v>
      </c>
      <c r="O570">
        <v>17</v>
      </c>
    </row>
    <row r="571" spans="1:15">
      <c r="A571" t="s">
        <v>583</v>
      </c>
      <c r="B571" s="2">
        <v>45342</v>
      </c>
      <c r="C571" s="2">
        <v>45342</v>
      </c>
      <c r="D571" t="s">
        <v>648</v>
      </c>
      <c r="E571" t="s">
        <v>660</v>
      </c>
      <c r="F571" t="s">
        <v>700</v>
      </c>
      <c r="G571" t="s">
        <v>706</v>
      </c>
      <c r="H571" t="s">
        <v>708</v>
      </c>
      <c r="I571" t="s">
        <v>712</v>
      </c>
      <c r="J571" t="s">
        <v>729</v>
      </c>
      <c r="K571" t="s">
        <v>1301</v>
      </c>
      <c r="L571">
        <v>1407.05</v>
      </c>
      <c r="M571">
        <v>2858.93</v>
      </c>
      <c r="N571">
        <v>0</v>
      </c>
      <c r="O571">
        <v>12</v>
      </c>
    </row>
    <row r="572" spans="1:15">
      <c r="A572" t="s">
        <v>584</v>
      </c>
      <c r="B572" s="2">
        <v>45760</v>
      </c>
      <c r="C572" s="2">
        <v>45761</v>
      </c>
      <c r="D572" t="s">
        <v>647</v>
      </c>
      <c r="E572" t="s">
        <v>652</v>
      </c>
      <c r="F572" t="s">
        <v>666</v>
      </c>
      <c r="G572" t="s">
        <v>706</v>
      </c>
      <c r="H572" t="s">
        <v>708</v>
      </c>
      <c r="I572" t="s">
        <v>715</v>
      </c>
      <c r="J572" t="s">
        <v>727</v>
      </c>
      <c r="K572" t="s">
        <v>1302</v>
      </c>
      <c r="L572">
        <v>138.9</v>
      </c>
      <c r="M572">
        <v>289.92</v>
      </c>
      <c r="N572">
        <v>2.9000000000000001E-2</v>
      </c>
      <c r="O572">
        <v>12</v>
      </c>
    </row>
    <row r="573" spans="1:15">
      <c r="A573" t="s">
        <v>585</v>
      </c>
      <c r="B573" s="2">
        <v>45078</v>
      </c>
      <c r="C573" s="2">
        <v>45078</v>
      </c>
      <c r="D573" t="s">
        <v>647</v>
      </c>
      <c r="E573" t="s">
        <v>654</v>
      </c>
      <c r="F573" t="s">
        <v>668</v>
      </c>
      <c r="G573" t="s">
        <v>701</v>
      </c>
      <c r="H573" t="s">
        <v>707</v>
      </c>
      <c r="I573" t="s">
        <v>718</v>
      </c>
      <c r="J573" t="s">
        <v>733</v>
      </c>
      <c r="K573" t="s">
        <v>1303</v>
      </c>
      <c r="L573">
        <v>669.37</v>
      </c>
      <c r="M573">
        <v>997.2</v>
      </c>
      <c r="N573">
        <v>8.2000000000000003E-2</v>
      </c>
      <c r="O573">
        <v>5</v>
      </c>
    </row>
    <row r="574" spans="1:15">
      <c r="A574" t="s">
        <v>586</v>
      </c>
      <c r="B574" s="2">
        <v>45740</v>
      </c>
      <c r="C574" s="2">
        <v>45751</v>
      </c>
      <c r="D574" t="s">
        <v>647</v>
      </c>
      <c r="E574" t="s">
        <v>654</v>
      </c>
      <c r="F574" t="s">
        <v>691</v>
      </c>
      <c r="G574" t="s">
        <v>702</v>
      </c>
      <c r="H574" t="s">
        <v>709</v>
      </c>
      <c r="I574" t="s">
        <v>713</v>
      </c>
      <c r="J574" t="s">
        <v>730</v>
      </c>
      <c r="K574" t="s">
        <v>1304</v>
      </c>
      <c r="L574">
        <v>23.83</v>
      </c>
      <c r="M574">
        <v>47.29</v>
      </c>
      <c r="N574">
        <v>6.4000000000000001E-2</v>
      </c>
      <c r="O574">
        <v>19</v>
      </c>
    </row>
    <row r="575" spans="1:15">
      <c r="A575" t="s">
        <v>587</v>
      </c>
      <c r="B575" s="2">
        <v>45293</v>
      </c>
      <c r="C575" s="2">
        <v>45293</v>
      </c>
      <c r="D575" t="s">
        <v>648</v>
      </c>
      <c r="E575" t="s">
        <v>653</v>
      </c>
      <c r="F575" t="s">
        <v>688</v>
      </c>
      <c r="G575" t="s">
        <v>702</v>
      </c>
      <c r="H575" t="s">
        <v>711</v>
      </c>
      <c r="I575" t="s">
        <v>720</v>
      </c>
      <c r="J575" t="s">
        <v>731</v>
      </c>
      <c r="K575" t="s">
        <v>1305</v>
      </c>
      <c r="L575">
        <v>444.41</v>
      </c>
      <c r="M575">
        <v>754.24</v>
      </c>
      <c r="N575">
        <v>0.20699999999999999</v>
      </c>
      <c r="O575">
        <v>32</v>
      </c>
    </row>
    <row r="576" spans="1:15">
      <c r="A576" t="s">
        <v>588</v>
      </c>
      <c r="B576" s="2">
        <v>45279</v>
      </c>
      <c r="C576" s="2">
        <v>45292</v>
      </c>
      <c r="D576" t="s">
        <v>648</v>
      </c>
      <c r="E576" t="s">
        <v>653</v>
      </c>
      <c r="F576" t="s">
        <v>667</v>
      </c>
      <c r="G576" t="s">
        <v>706</v>
      </c>
      <c r="H576" t="s">
        <v>707</v>
      </c>
      <c r="I576" t="s">
        <v>723</v>
      </c>
      <c r="J576" t="s">
        <v>732</v>
      </c>
      <c r="K576" t="s">
        <v>1306</v>
      </c>
      <c r="L576">
        <v>856.1</v>
      </c>
      <c r="M576">
        <v>901.48</v>
      </c>
      <c r="N576">
        <v>5.6000000000000001E-2</v>
      </c>
      <c r="O576">
        <v>17</v>
      </c>
    </row>
    <row r="577" spans="1:15">
      <c r="A577" t="s">
        <v>589</v>
      </c>
      <c r="B577" s="2">
        <v>45042</v>
      </c>
      <c r="C577" s="2">
        <v>45042</v>
      </c>
      <c r="D577" t="s">
        <v>649</v>
      </c>
      <c r="E577" t="s">
        <v>657</v>
      </c>
      <c r="F577" t="s">
        <v>673</v>
      </c>
      <c r="G577" t="s">
        <v>704</v>
      </c>
      <c r="H577" t="s">
        <v>711</v>
      </c>
      <c r="I577" t="s">
        <v>724</v>
      </c>
      <c r="J577" t="s">
        <v>727</v>
      </c>
      <c r="K577" t="s">
        <v>1307</v>
      </c>
      <c r="L577">
        <v>81.489999999999995</v>
      </c>
      <c r="M577">
        <v>113.08</v>
      </c>
      <c r="N577">
        <v>0.121</v>
      </c>
      <c r="O577">
        <v>5</v>
      </c>
    </row>
    <row r="578" spans="1:15">
      <c r="A578" t="s">
        <v>590</v>
      </c>
      <c r="B578" s="2">
        <v>45872</v>
      </c>
      <c r="C578" s="2">
        <v>45885</v>
      </c>
      <c r="D578" t="s">
        <v>648</v>
      </c>
      <c r="E578" t="s">
        <v>653</v>
      </c>
      <c r="F578" t="s">
        <v>681</v>
      </c>
      <c r="G578" t="s">
        <v>706</v>
      </c>
      <c r="H578" t="s">
        <v>710</v>
      </c>
      <c r="I578" t="s">
        <v>719</v>
      </c>
      <c r="J578" t="s">
        <v>729</v>
      </c>
      <c r="K578" t="s">
        <v>1308</v>
      </c>
      <c r="L578">
        <v>698.66</v>
      </c>
      <c r="M578">
        <v>868.62</v>
      </c>
      <c r="N578">
        <v>7.1999999999999995E-2</v>
      </c>
      <c r="O578">
        <v>15</v>
      </c>
    </row>
    <row r="579" spans="1:15">
      <c r="A579" t="s">
        <v>591</v>
      </c>
      <c r="B579" s="2">
        <v>45140</v>
      </c>
      <c r="C579" s="2">
        <v>45157</v>
      </c>
      <c r="D579" t="s">
        <v>648</v>
      </c>
      <c r="E579" t="s">
        <v>653</v>
      </c>
      <c r="F579" t="s">
        <v>688</v>
      </c>
      <c r="G579" t="s">
        <v>701</v>
      </c>
      <c r="H579" t="s">
        <v>708</v>
      </c>
      <c r="I579" t="s">
        <v>721</v>
      </c>
      <c r="J579" t="s">
        <v>729</v>
      </c>
      <c r="K579" t="s">
        <v>1309</v>
      </c>
      <c r="L579">
        <v>175.38</v>
      </c>
      <c r="M579">
        <v>347.9</v>
      </c>
      <c r="N579">
        <v>7.1999999999999995E-2</v>
      </c>
      <c r="O579">
        <v>43</v>
      </c>
    </row>
    <row r="580" spans="1:15">
      <c r="A580" t="s">
        <v>592</v>
      </c>
      <c r="B580" s="2">
        <v>45092</v>
      </c>
      <c r="C580" s="2">
        <v>45119</v>
      </c>
      <c r="D580" t="s">
        <v>649</v>
      </c>
      <c r="E580" t="s">
        <v>658</v>
      </c>
      <c r="F580" t="s">
        <v>693</v>
      </c>
      <c r="G580" t="s">
        <v>704</v>
      </c>
      <c r="H580" t="s">
        <v>711</v>
      </c>
      <c r="I580" t="s">
        <v>714</v>
      </c>
      <c r="J580" t="s">
        <v>733</v>
      </c>
      <c r="K580" t="s">
        <v>1310</v>
      </c>
      <c r="L580">
        <v>751.28</v>
      </c>
      <c r="M580">
        <v>1111.8800000000001</v>
      </c>
      <c r="N580">
        <v>0.13500000000000001</v>
      </c>
      <c r="O580">
        <v>7</v>
      </c>
    </row>
    <row r="581" spans="1:15">
      <c r="A581" t="s">
        <v>593</v>
      </c>
      <c r="B581" s="2">
        <v>45607</v>
      </c>
      <c r="C581" s="2">
        <v>45620</v>
      </c>
      <c r="D581" t="s">
        <v>649</v>
      </c>
      <c r="E581" t="s">
        <v>658</v>
      </c>
      <c r="F581" t="s">
        <v>683</v>
      </c>
      <c r="G581" t="s">
        <v>701</v>
      </c>
      <c r="H581" t="s">
        <v>707</v>
      </c>
      <c r="I581" t="s">
        <v>718</v>
      </c>
      <c r="J581" t="s">
        <v>729</v>
      </c>
      <c r="K581" t="s">
        <v>1311</v>
      </c>
      <c r="L581">
        <v>164.53</v>
      </c>
      <c r="M581">
        <v>327.72</v>
      </c>
      <c r="N581">
        <v>6.7000000000000004E-2</v>
      </c>
      <c r="O581">
        <v>14</v>
      </c>
    </row>
    <row r="582" spans="1:15">
      <c r="A582" t="s">
        <v>594</v>
      </c>
      <c r="B582" s="2">
        <v>45849</v>
      </c>
      <c r="C582" s="2">
        <v>45872</v>
      </c>
      <c r="D582" t="s">
        <v>646</v>
      </c>
      <c r="E582" t="s">
        <v>650</v>
      </c>
      <c r="F582" t="s">
        <v>678</v>
      </c>
      <c r="G582" t="s">
        <v>705</v>
      </c>
      <c r="H582" t="s">
        <v>707</v>
      </c>
      <c r="I582" t="s">
        <v>712</v>
      </c>
      <c r="J582" t="s">
        <v>730</v>
      </c>
      <c r="K582" t="s">
        <v>1312</v>
      </c>
      <c r="L582">
        <v>389.93</v>
      </c>
      <c r="M582">
        <v>486.13</v>
      </c>
      <c r="N582">
        <v>0.13200000000000001</v>
      </c>
      <c r="O582">
        <v>17</v>
      </c>
    </row>
    <row r="583" spans="1:15">
      <c r="A583" t="s">
        <v>595</v>
      </c>
      <c r="B583" s="2">
        <v>45080</v>
      </c>
      <c r="C583" s="2">
        <v>45108</v>
      </c>
      <c r="D583" t="s">
        <v>648</v>
      </c>
      <c r="E583" t="s">
        <v>655</v>
      </c>
      <c r="F583" t="s">
        <v>672</v>
      </c>
      <c r="G583" t="s">
        <v>705</v>
      </c>
      <c r="H583" t="s">
        <v>709</v>
      </c>
      <c r="I583" t="s">
        <v>720</v>
      </c>
      <c r="J583" t="s">
        <v>727</v>
      </c>
      <c r="K583" t="s">
        <v>1313</v>
      </c>
      <c r="L583">
        <v>860.4</v>
      </c>
      <c r="M583">
        <v>2066.6</v>
      </c>
      <c r="N583">
        <v>0.01</v>
      </c>
      <c r="O583">
        <v>3</v>
      </c>
    </row>
    <row r="584" spans="1:15">
      <c r="A584" t="s">
        <v>596</v>
      </c>
      <c r="B584" s="2">
        <v>44955</v>
      </c>
      <c r="C584" s="2">
        <v>44963</v>
      </c>
      <c r="D584" t="s">
        <v>648</v>
      </c>
      <c r="E584" t="s">
        <v>655</v>
      </c>
      <c r="F584" t="s">
        <v>672</v>
      </c>
      <c r="G584" t="s">
        <v>701</v>
      </c>
      <c r="H584" t="s">
        <v>709</v>
      </c>
      <c r="I584" t="s">
        <v>726</v>
      </c>
      <c r="J584" t="s">
        <v>732</v>
      </c>
      <c r="K584" t="s">
        <v>1314</v>
      </c>
      <c r="L584">
        <v>41.84</v>
      </c>
      <c r="M584">
        <v>86.2</v>
      </c>
      <c r="N584">
        <v>0.22600000000000001</v>
      </c>
      <c r="O584">
        <v>27</v>
      </c>
    </row>
    <row r="585" spans="1:15">
      <c r="A585" t="s">
        <v>597</v>
      </c>
      <c r="B585" s="2">
        <v>45541</v>
      </c>
      <c r="C585" s="2">
        <v>45539</v>
      </c>
      <c r="D585" t="s">
        <v>647</v>
      </c>
      <c r="E585" t="s">
        <v>652</v>
      </c>
      <c r="F585" t="s">
        <v>666</v>
      </c>
      <c r="G585" t="s">
        <v>701</v>
      </c>
      <c r="H585" t="s">
        <v>711</v>
      </c>
      <c r="I585" t="s">
        <v>720</v>
      </c>
      <c r="J585" t="s">
        <v>731</v>
      </c>
      <c r="K585" t="s">
        <v>1315</v>
      </c>
      <c r="L585">
        <v>1368.17</v>
      </c>
      <c r="M585">
        <v>2307.75</v>
      </c>
      <c r="N585">
        <v>0.16300000000000001</v>
      </c>
      <c r="O585">
        <v>21</v>
      </c>
    </row>
    <row r="586" spans="1:15">
      <c r="A586" t="s">
        <v>598</v>
      </c>
      <c r="B586" s="2">
        <v>45507</v>
      </c>
      <c r="C586" s="2">
        <v>45513</v>
      </c>
      <c r="D586" t="s">
        <v>646</v>
      </c>
      <c r="E586" t="s">
        <v>650</v>
      </c>
      <c r="F586" t="s">
        <v>675</v>
      </c>
      <c r="G586" t="s">
        <v>704</v>
      </c>
      <c r="H586" t="s">
        <v>709</v>
      </c>
      <c r="I586" t="s">
        <v>722</v>
      </c>
      <c r="J586" t="s">
        <v>731</v>
      </c>
      <c r="K586" t="s">
        <v>1316</v>
      </c>
      <c r="L586">
        <v>643.21</v>
      </c>
      <c r="M586">
        <v>1112.81</v>
      </c>
      <c r="N586">
        <v>0.14099999999999999</v>
      </c>
      <c r="O586">
        <v>4</v>
      </c>
    </row>
    <row r="587" spans="1:15">
      <c r="A587" t="s">
        <v>599</v>
      </c>
      <c r="B587" s="2">
        <v>45764</v>
      </c>
      <c r="C587" s="2">
        <v>45764</v>
      </c>
      <c r="D587" t="s">
        <v>648</v>
      </c>
      <c r="E587" t="s">
        <v>655</v>
      </c>
      <c r="F587" t="s">
        <v>670</v>
      </c>
      <c r="G587" t="s">
        <v>701</v>
      </c>
      <c r="H587" t="s">
        <v>710</v>
      </c>
      <c r="I587" t="s">
        <v>716</v>
      </c>
      <c r="J587" t="s">
        <v>730</v>
      </c>
      <c r="K587" t="s">
        <v>1317</v>
      </c>
      <c r="L587">
        <v>719.41</v>
      </c>
      <c r="M587">
        <v>1125.99</v>
      </c>
      <c r="N587">
        <v>4.1000000000000002E-2</v>
      </c>
      <c r="O587">
        <v>21</v>
      </c>
    </row>
    <row r="588" spans="1:15">
      <c r="A588" t="s">
        <v>600</v>
      </c>
      <c r="B588" s="2">
        <v>45049</v>
      </c>
      <c r="C588" s="2">
        <v>45062</v>
      </c>
      <c r="D588" t="s">
        <v>648</v>
      </c>
      <c r="E588" t="s">
        <v>660</v>
      </c>
      <c r="F588" t="s">
        <v>700</v>
      </c>
      <c r="G588" t="s">
        <v>701</v>
      </c>
      <c r="H588" t="s">
        <v>709</v>
      </c>
      <c r="I588" t="s">
        <v>716</v>
      </c>
      <c r="J588" t="s">
        <v>730</v>
      </c>
      <c r="K588" t="s">
        <v>1318</v>
      </c>
      <c r="L588">
        <v>64.5</v>
      </c>
      <c r="M588">
        <v>123.62</v>
      </c>
      <c r="N588">
        <v>0</v>
      </c>
      <c r="O588">
        <v>3</v>
      </c>
    </row>
    <row r="589" spans="1:15">
      <c r="A589" t="s">
        <v>601</v>
      </c>
      <c r="B589" s="2">
        <v>45364</v>
      </c>
      <c r="C589" s="2">
        <v>45388</v>
      </c>
      <c r="D589" t="s">
        <v>646</v>
      </c>
      <c r="E589" t="s">
        <v>651</v>
      </c>
      <c r="F589" t="s">
        <v>669</v>
      </c>
      <c r="G589" t="s">
        <v>704</v>
      </c>
      <c r="H589" t="s">
        <v>710</v>
      </c>
      <c r="I589" t="s">
        <v>716</v>
      </c>
      <c r="J589" t="s">
        <v>727</v>
      </c>
      <c r="K589" t="s">
        <v>1319</v>
      </c>
      <c r="L589">
        <v>1232.78</v>
      </c>
      <c r="M589">
        <v>1731.75</v>
      </c>
      <c r="N589">
        <v>9.2999999999999999E-2</v>
      </c>
      <c r="O589">
        <v>16</v>
      </c>
    </row>
    <row r="590" spans="1:15">
      <c r="A590" t="s">
        <v>602</v>
      </c>
      <c r="B590" s="2">
        <v>45459</v>
      </c>
      <c r="C590" s="2">
        <v>45464</v>
      </c>
      <c r="D590" t="s">
        <v>647</v>
      </c>
      <c r="E590" t="s">
        <v>652</v>
      </c>
      <c r="F590" t="s">
        <v>689</v>
      </c>
      <c r="G590" t="s">
        <v>705</v>
      </c>
      <c r="H590" t="s">
        <v>710</v>
      </c>
      <c r="I590" t="s">
        <v>721</v>
      </c>
      <c r="J590" t="s">
        <v>730</v>
      </c>
      <c r="K590" t="s">
        <v>1320</v>
      </c>
      <c r="L590">
        <v>1367.13</v>
      </c>
      <c r="M590">
        <v>3062.01</v>
      </c>
      <c r="N590">
        <v>0.10299999999999999</v>
      </c>
      <c r="O590">
        <v>25</v>
      </c>
    </row>
    <row r="591" spans="1:15">
      <c r="A591" t="s">
        <v>603</v>
      </c>
      <c r="B591" s="2">
        <v>45703</v>
      </c>
      <c r="C591" s="2">
        <v>45715</v>
      </c>
      <c r="D591" t="s">
        <v>649</v>
      </c>
      <c r="E591" t="s">
        <v>657</v>
      </c>
      <c r="F591" t="s">
        <v>679</v>
      </c>
      <c r="G591" t="s">
        <v>703</v>
      </c>
      <c r="H591" t="s">
        <v>711</v>
      </c>
      <c r="I591" t="s">
        <v>723</v>
      </c>
      <c r="J591" t="s">
        <v>733</v>
      </c>
      <c r="K591" t="s">
        <v>1321</v>
      </c>
      <c r="L591">
        <v>1027.26</v>
      </c>
      <c r="M591">
        <v>2200.41</v>
      </c>
      <c r="N591">
        <v>8.7999999999999995E-2</v>
      </c>
      <c r="O591">
        <v>6</v>
      </c>
    </row>
    <row r="592" spans="1:15">
      <c r="A592" t="s">
        <v>604</v>
      </c>
      <c r="B592" s="2">
        <v>45019</v>
      </c>
      <c r="C592" s="2">
        <v>45032</v>
      </c>
      <c r="D592" t="s">
        <v>649</v>
      </c>
      <c r="E592" t="s">
        <v>657</v>
      </c>
      <c r="F592" t="s">
        <v>673</v>
      </c>
      <c r="G592" t="s">
        <v>703</v>
      </c>
      <c r="H592" t="s">
        <v>709</v>
      </c>
      <c r="I592" t="s">
        <v>724</v>
      </c>
      <c r="J592" t="s">
        <v>733</v>
      </c>
      <c r="K592" t="s">
        <v>1322</v>
      </c>
      <c r="L592">
        <v>790.54</v>
      </c>
      <c r="M592">
        <v>601.49</v>
      </c>
      <c r="N592">
        <v>0</v>
      </c>
      <c r="O592">
        <v>15</v>
      </c>
    </row>
    <row r="593" spans="1:15">
      <c r="A593" t="s">
        <v>605</v>
      </c>
      <c r="B593" s="2">
        <v>45899</v>
      </c>
      <c r="C593" s="2">
        <v>45922</v>
      </c>
      <c r="D593" t="s">
        <v>649</v>
      </c>
      <c r="E593" t="s">
        <v>657</v>
      </c>
      <c r="F593" t="s">
        <v>673</v>
      </c>
      <c r="G593" t="s">
        <v>701</v>
      </c>
      <c r="H593" t="s">
        <v>711</v>
      </c>
      <c r="I593" t="s">
        <v>718</v>
      </c>
      <c r="J593" t="s">
        <v>727</v>
      </c>
      <c r="K593" t="s">
        <v>1323</v>
      </c>
      <c r="L593">
        <v>663.9</v>
      </c>
      <c r="M593">
        <v>947.77</v>
      </c>
      <c r="N593">
        <v>0.17399999999999999</v>
      </c>
      <c r="O593">
        <v>15</v>
      </c>
    </row>
    <row r="594" spans="1:15">
      <c r="A594" t="s">
        <v>606</v>
      </c>
      <c r="B594" s="2">
        <v>44984</v>
      </c>
      <c r="C594" s="2">
        <v>44983</v>
      </c>
      <c r="D594" t="s">
        <v>648</v>
      </c>
      <c r="E594" t="s">
        <v>660</v>
      </c>
      <c r="F594" t="s">
        <v>686</v>
      </c>
      <c r="G594" t="s">
        <v>703</v>
      </c>
      <c r="H594" t="s">
        <v>708</v>
      </c>
      <c r="I594" t="s">
        <v>716</v>
      </c>
      <c r="J594" t="s">
        <v>729</v>
      </c>
      <c r="K594" t="s">
        <v>1324</v>
      </c>
      <c r="L594">
        <v>1015.91</v>
      </c>
      <c r="M594">
        <v>2331.48</v>
      </c>
      <c r="N594">
        <v>0.14599999999999999</v>
      </c>
      <c r="O594">
        <v>26</v>
      </c>
    </row>
    <row r="595" spans="1:15">
      <c r="A595" t="s">
        <v>607</v>
      </c>
      <c r="B595" s="2">
        <v>45504</v>
      </c>
      <c r="C595" s="2">
        <v>45519</v>
      </c>
      <c r="D595" t="s">
        <v>647</v>
      </c>
      <c r="E595" t="s">
        <v>652</v>
      </c>
      <c r="F595" t="s">
        <v>689</v>
      </c>
      <c r="G595" t="s">
        <v>701</v>
      </c>
      <c r="H595" t="s">
        <v>709</v>
      </c>
      <c r="I595" t="s">
        <v>721</v>
      </c>
      <c r="J595" t="s">
        <v>732</v>
      </c>
      <c r="K595" t="s">
        <v>1325</v>
      </c>
      <c r="L595">
        <v>1252.52</v>
      </c>
      <c r="M595">
        <v>1417.24</v>
      </c>
      <c r="N595">
        <v>0.192</v>
      </c>
      <c r="O595">
        <v>5</v>
      </c>
    </row>
    <row r="596" spans="1:15">
      <c r="A596" t="s">
        <v>608</v>
      </c>
      <c r="B596" s="2">
        <v>45823</v>
      </c>
      <c r="C596" s="2">
        <v>45850</v>
      </c>
      <c r="D596" t="s">
        <v>649</v>
      </c>
      <c r="E596" t="s">
        <v>657</v>
      </c>
      <c r="F596" t="s">
        <v>673</v>
      </c>
      <c r="G596" t="s">
        <v>704</v>
      </c>
      <c r="H596" t="s">
        <v>711</v>
      </c>
      <c r="I596" t="s">
        <v>712</v>
      </c>
      <c r="J596" t="s">
        <v>733</v>
      </c>
      <c r="K596" t="s">
        <v>1326</v>
      </c>
      <c r="L596">
        <v>318.83</v>
      </c>
      <c r="M596">
        <v>699.5</v>
      </c>
      <c r="N596">
        <v>0.08</v>
      </c>
      <c r="O596">
        <v>13</v>
      </c>
    </row>
    <row r="597" spans="1:15">
      <c r="A597" t="s">
        <v>609</v>
      </c>
      <c r="B597" s="2">
        <v>45473</v>
      </c>
      <c r="C597" s="2">
        <v>45494</v>
      </c>
      <c r="D597" t="s">
        <v>646</v>
      </c>
      <c r="E597" t="s">
        <v>650</v>
      </c>
      <c r="F597" t="s">
        <v>662</v>
      </c>
      <c r="G597" t="s">
        <v>705</v>
      </c>
      <c r="H597" t="s">
        <v>707</v>
      </c>
      <c r="I597" t="s">
        <v>723</v>
      </c>
      <c r="J597" t="s">
        <v>731</v>
      </c>
      <c r="K597" t="s">
        <v>1327</v>
      </c>
      <c r="L597">
        <v>753.43</v>
      </c>
      <c r="M597">
        <v>1787.2</v>
      </c>
      <c r="N597">
        <v>7.2999999999999995E-2</v>
      </c>
      <c r="O597">
        <v>9</v>
      </c>
    </row>
    <row r="598" spans="1:15">
      <c r="A598" t="s">
        <v>610</v>
      </c>
      <c r="B598" s="2">
        <v>45705</v>
      </c>
      <c r="C598" s="2">
        <v>45703</v>
      </c>
      <c r="D598" t="s">
        <v>648</v>
      </c>
      <c r="E598" t="s">
        <v>653</v>
      </c>
      <c r="F598" t="s">
        <v>667</v>
      </c>
      <c r="G598" t="s">
        <v>705</v>
      </c>
      <c r="H598" t="s">
        <v>707</v>
      </c>
      <c r="I598" t="s">
        <v>726</v>
      </c>
      <c r="J598" t="s">
        <v>727</v>
      </c>
      <c r="K598" t="s">
        <v>1328</v>
      </c>
      <c r="L598">
        <v>1133.47</v>
      </c>
      <c r="M598">
        <v>1698.75</v>
      </c>
      <c r="N598">
        <v>4.2999999999999997E-2</v>
      </c>
      <c r="O598">
        <v>5</v>
      </c>
    </row>
    <row r="599" spans="1:15">
      <c r="A599" t="s">
        <v>611</v>
      </c>
      <c r="B599" s="2">
        <v>44933</v>
      </c>
      <c r="C599" s="2">
        <v>44956</v>
      </c>
      <c r="D599" t="s">
        <v>646</v>
      </c>
      <c r="E599" t="s">
        <v>661</v>
      </c>
      <c r="F599" t="s">
        <v>695</v>
      </c>
      <c r="G599" t="s">
        <v>704</v>
      </c>
      <c r="H599" t="s">
        <v>708</v>
      </c>
      <c r="I599" t="s">
        <v>720</v>
      </c>
      <c r="J599" t="s">
        <v>728</v>
      </c>
      <c r="K599" t="s">
        <v>1329</v>
      </c>
      <c r="L599">
        <v>299.02</v>
      </c>
      <c r="M599">
        <v>724.7</v>
      </c>
      <c r="N599">
        <v>0.14000000000000001</v>
      </c>
      <c r="O599">
        <v>5</v>
      </c>
    </row>
    <row r="600" spans="1:15">
      <c r="A600" t="s">
        <v>612</v>
      </c>
      <c r="B600" s="2">
        <v>45726</v>
      </c>
      <c r="C600" s="2">
        <v>45751</v>
      </c>
      <c r="D600" t="s">
        <v>647</v>
      </c>
      <c r="E600" t="s">
        <v>652</v>
      </c>
      <c r="F600" t="s">
        <v>666</v>
      </c>
      <c r="G600" t="s">
        <v>701</v>
      </c>
      <c r="H600" t="s">
        <v>711</v>
      </c>
      <c r="I600" t="s">
        <v>722</v>
      </c>
      <c r="J600" t="s">
        <v>728</v>
      </c>
      <c r="K600" t="s">
        <v>1330</v>
      </c>
      <c r="L600">
        <v>783.72</v>
      </c>
      <c r="M600">
        <v>1355.94</v>
      </c>
      <c r="N600">
        <v>0.187</v>
      </c>
      <c r="O600">
        <v>4</v>
      </c>
    </row>
    <row r="601" spans="1:15">
      <c r="A601" t="s">
        <v>613</v>
      </c>
      <c r="B601" s="2">
        <v>45521</v>
      </c>
      <c r="C601" s="2">
        <v>45519</v>
      </c>
      <c r="D601" t="s">
        <v>648</v>
      </c>
      <c r="E601" t="s">
        <v>655</v>
      </c>
      <c r="F601" t="s">
        <v>692</v>
      </c>
      <c r="G601" t="s">
        <v>704</v>
      </c>
      <c r="H601" t="s">
        <v>711</v>
      </c>
      <c r="I601" t="s">
        <v>724</v>
      </c>
      <c r="J601" t="s">
        <v>732</v>
      </c>
      <c r="K601" t="s">
        <v>1331</v>
      </c>
      <c r="L601">
        <v>165.3</v>
      </c>
      <c r="M601">
        <v>275.07</v>
      </c>
      <c r="N601">
        <v>0.13300000000000001</v>
      </c>
      <c r="O601">
        <v>25</v>
      </c>
    </row>
    <row r="602" spans="1:15">
      <c r="A602" t="s">
        <v>614</v>
      </c>
      <c r="B602" s="2">
        <v>45360</v>
      </c>
      <c r="C602" s="2">
        <v>45373</v>
      </c>
      <c r="D602" t="s">
        <v>649</v>
      </c>
      <c r="E602" t="s">
        <v>658</v>
      </c>
      <c r="F602" t="s">
        <v>693</v>
      </c>
      <c r="G602" t="s">
        <v>704</v>
      </c>
      <c r="H602" t="s">
        <v>708</v>
      </c>
      <c r="I602" t="s">
        <v>718</v>
      </c>
      <c r="J602" t="s">
        <v>731</v>
      </c>
      <c r="K602" t="s">
        <v>1332</v>
      </c>
      <c r="L602">
        <v>985.45</v>
      </c>
      <c r="M602">
        <v>1802.44</v>
      </c>
      <c r="N602">
        <v>8.9999999999999993E-3</v>
      </c>
      <c r="O602">
        <v>19</v>
      </c>
    </row>
    <row r="603" spans="1:15">
      <c r="A603" t="s">
        <v>615</v>
      </c>
      <c r="B603" s="2">
        <v>45523</v>
      </c>
      <c r="C603" s="2">
        <v>45537</v>
      </c>
      <c r="D603" t="s">
        <v>648</v>
      </c>
      <c r="E603" t="s">
        <v>653</v>
      </c>
      <c r="F603" t="s">
        <v>667</v>
      </c>
      <c r="G603" t="s">
        <v>704</v>
      </c>
      <c r="H603" t="s">
        <v>710</v>
      </c>
      <c r="I603" t="s">
        <v>712</v>
      </c>
      <c r="J603" t="s">
        <v>728</v>
      </c>
      <c r="K603" t="s">
        <v>1333</v>
      </c>
      <c r="L603">
        <v>1337.01</v>
      </c>
      <c r="M603">
        <v>1269.78</v>
      </c>
      <c r="N603">
        <v>0.16</v>
      </c>
      <c r="O603">
        <v>7</v>
      </c>
    </row>
    <row r="604" spans="1:15">
      <c r="A604" t="s">
        <v>616</v>
      </c>
      <c r="B604" s="2">
        <v>45880</v>
      </c>
      <c r="C604" s="2">
        <v>45897</v>
      </c>
      <c r="D604" t="s">
        <v>649</v>
      </c>
      <c r="E604" t="s">
        <v>657</v>
      </c>
      <c r="F604" t="s">
        <v>690</v>
      </c>
      <c r="G604" t="s">
        <v>702</v>
      </c>
      <c r="H604" t="s">
        <v>708</v>
      </c>
      <c r="I604" t="s">
        <v>721</v>
      </c>
      <c r="J604" t="s">
        <v>729</v>
      </c>
      <c r="K604" t="s">
        <v>1334</v>
      </c>
      <c r="L604">
        <v>416.16</v>
      </c>
      <c r="M604">
        <v>571.9</v>
      </c>
      <c r="N604">
        <v>7.0999999999999994E-2</v>
      </c>
      <c r="O604">
        <v>2</v>
      </c>
    </row>
    <row r="605" spans="1:15">
      <c r="A605" t="s">
        <v>617</v>
      </c>
      <c r="B605" s="2">
        <v>45793</v>
      </c>
      <c r="C605" s="2">
        <v>45795</v>
      </c>
      <c r="D605" t="s">
        <v>647</v>
      </c>
      <c r="E605" t="s">
        <v>652</v>
      </c>
      <c r="F605" t="s">
        <v>689</v>
      </c>
      <c r="G605" t="s">
        <v>706</v>
      </c>
      <c r="H605" t="s">
        <v>707</v>
      </c>
      <c r="I605" t="s">
        <v>713</v>
      </c>
      <c r="J605" t="s">
        <v>728</v>
      </c>
      <c r="K605" t="s">
        <v>1335</v>
      </c>
      <c r="L605">
        <v>1144.3800000000001</v>
      </c>
      <c r="M605">
        <v>2755.04</v>
      </c>
      <c r="N605">
        <v>0.15</v>
      </c>
      <c r="O605">
        <v>17</v>
      </c>
    </row>
    <row r="606" spans="1:15">
      <c r="A606" t="s">
        <v>618</v>
      </c>
      <c r="B606" s="2">
        <v>45026</v>
      </c>
      <c r="C606" s="2">
        <v>45041</v>
      </c>
      <c r="D606" t="s">
        <v>649</v>
      </c>
      <c r="E606" t="s">
        <v>658</v>
      </c>
      <c r="F606" t="s">
        <v>683</v>
      </c>
      <c r="G606" t="s">
        <v>705</v>
      </c>
      <c r="H606" t="s">
        <v>707</v>
      </c>
      <c r="I606" t="s">
        <v>726</v>
      </c>
      <c r="J606" t="s">
        <v>728</v>
      </c>
      <c r="K606" t="s">
        <v>1336</v>
      </c>
      <c r="L606">
        <v>405.66</v>
      </c>
      <c r="M606">
        <v>962.51</v>
      </c>
      <c r="N606">
        <v>0.19</v>
      </c>
      <c r="O606">
        <v>7</v>
      </c>
    </row>
    <row r="607" spans="1:15">
      <c r="A607" t="s">
        <v>619</v>
      </c>
      <c r="B607" s="2">
        <v>45186</v>
      </c>
      <c r="C607" s="2">
        <v>45201</v>
      </c>
      <c r="D607" t="s">
        <v>648</v>
      </c>
      <c r="E607" t="s">
        <v>655</v>
      </c>
      <c r="F607" t="s">
        <v>692</v>
      </c>
      <c r="G607" t="s">
        <v>705</v>
      </c>
      <c r="H607" t="s">
        <v>707</v>
      </c>
      <c r="I607" t="s">
        <v>717</v>
      </c>
      <c r="J607" t="s">
        <v>731</v>
      </c>
      <c r="K607" t="s">
        <v>1337</v>
      </c>
      <c r="L607">
        <v>689.33</v>
      </c>
      <c r="M607">
        <v>668.27</v>
      </c>
      <c r="N607">
        <v>0.186</v>
      </c>
      <c r="O607">
        <v>13</v>
      </c>
    </row>
    <row r="608" spans="1:15">
      <c r="A608" t="s">
        <v>620</v>
      </c>
      <c r="B608" s="2">
        <v>45038</v>
      </c>
      <c r="C608" s="2">
        <v>45060</v>
      </c>
      <c r="D608" t="s">
        <v>647</v>
      </c>
      <c r="E608" t="s">
        <v>652</v>
      </c>
      <c r="F608" t="s">
        <v>694</v>
      </c>
      <c r="G608" t="s">
        <v>706</v>
      </c>
      <c r="H608" t="s">
        <v>707</v>
      </c>
      <c r="I608" t="s">
        <v>720</v>
      </c>
      <c r="J608" t="s">
        <v>733</v>
      </c>
      <c r="K608" t="s">
        <v>1338</v>
      </c>
      <c r="L608">
        <v>1209.22</v>
      </c>
      <c r="M608">
        <v>1404.33</v>
      </c>
      <c r="N608">
        <v>0.10299999999999999</v>
      </c>
      <c r="O608">
        <v>11</v>
      </c>
    </row>
    <row r="609" spans="1:15">
      <c r="A609" t="s">
        <v>621</v>
      </c>
      <c r="B609" s="2">
        <v>45827</v>
      </c>
      <c r="C609" s="2">
        <v>45829</v>
      </c>
      <c r="D609" t="s">
        <v>646</v>
      </c>
      <c r="E609" t="s">
        <v>661</v>
      </c>
      <c r="F609" t="s">
        <v>682</v>
      </c>
      <c r="G609" t="s">
        <v>705</v>
      </c>
      <c r="I609" t="s">
        <v>722</v>
      </c>
      <c r="J609" t="s">
        <v>730</v>
      </c>
      <c r="K609" t="s">
        <v>1339</v>
      </c>
      <c r="L609">
        <v>1466.27</v>
      </c>
      <c r="M609">
        <v>3589.89</v>
      </c>
      <c r="N609">
        <v>9.7000000000000003E-2</v>
      </c>
      <c r="O609">
        <v>9</v>
      </c>
    </row>
    <row r="610" spans="1:15">
      <c r="A610" t="s">
        <v>622</v>
      </c>
      <c r="B610" s="2">
        <v>45623</v>
      </c>
      <c r="C610" s="2">
        <v>45650</v>
      </c>
      <c r="D610" t="s">
        <v>646</v>
      </c>
      <c r="E610" t="s">
        <v>650</v>
      </c>
      <c r="F610" t="s">
        <v>675</v>
      </c>
      <c r="G610" t="s">
        <v>701</v>
      </c>
      <c r="H610" t="s">
        <v>710</v>
      </c>
      <c r="I610" t="s">
        <v>717</v>
      </c>
      <c r="J610" t="s">
        <v>728</v>
      </c>
      <c r="K610" t="s">
        <v>1340</v>
      </c>
      <c r="L610">
        <v>143.33000000000001</v>
      </c>
      <c r="M610">
        <v>233.51</v>
      </c>
      <c r="N610">
        <v>0.16300000000000001</v>
      </c>
      <c r="O610">
        <v>14</v>
      </c>
    </row>
    <row r="611" spans="1:15">
      <c r="A611" t="s">
        <v>623</v>
      </c>
      <c r="B611" s="2">
        <v>45319</v>
      </c>
      <c r="C611" s="2">
        <v>45318</v>
      </c>
      <c r="D611" t="s">
        <v>646</v>
      </c>
      <c r="E611" t="s">
        <v>661</v>
      </c>
      <c r="F611" t="s">
        <v>695</v>
      </c>
      <c r="G611" t="s">
        <v>706</v>
      </c>
      <c r="H611" t="s">
        <v>711</v>
      </c>
      <c r="I611" t="s">
        <v>719</v>
      </c>
      <c r="J611" t="s">
        <v>727</v>
      </c>
      <c r="K611" t="s">
        <v>1341</v>
      </c>
      <c r="L611">
        <v>109.75</v>
      </c>
      <c r="M611">
        <v>124.25</v>
      </c>
      <c r="N611">
        <v>0.12</v>
      </c>
      <c r="O611">
        <v>19</v>
      </c>
    </row>
    <row r="612" spans="1:15">
      <c r="A612" t="s">
        <v>624</v>
      </c>
      <c r="B612" s="2">
        <v>45032</v>
      </c>
      <c r="C612" s="2">
        <v>45039</v>
      </c>
      <c r="D612" t="s">
        <v>648</v>
      </c>
      <c r="E612" t="s">
        <v>660</v>
      </c>
      <c r="F612" t="s">
        <v>697</v>
      </c>
      <c r="G612" t="s">
        <v>701</v>
      </c>
      <c r="H612" t="s">
        <v>710</v>
      </c>
      <c r="I612" t="s">
        <v>719</v>
      </c>
      <c r="J612" t="s">
        <v>728</v>
      </c>
      <c r="K612" t="s">
        <v>1342</v>
      </c>
      <c r="L612">
        <v>1099.1500000000001</v>
      </c>
      <c r="M612">
        <v>1431.37</v>
      </c>
      <c r="N612">
        <v>0.104</v>
      </c>
      <c r="O612">
        <v>8</v>
      </c>
    </row>
    <row r="613" spans="1:15">
      <c r="A613" t="s">
        <v>625</v>
      </c>
      <c r="B613" s="2">
        <v>45323</v>
      </c>
      <c r="C613" s="2">
        <v>45323</v>
      </c>
      <c r="D613" t="s">
        <v>648</v>
      </c>
      <c r="E613" t="s">
        <v>660</v>
      </c>
      <c r="F613" t="s">
        <v>697</v>
      </c>
      <c r="G613" t="s">
        <v>704</v>
      </c>
      <c r="H613" t="s">
        <v>710</v>
      </c>
      <c r="I613" t="s">
        <v>722</v>
      </c>
      <c r="J613" t="s">
        <v>728</v>
      </c>
      <c r="K613" t="s">
        <v>1343</v>
      </c>
      <c r="L613">
        <v>714.43</v>
      </c>
      <c r="M613">
        <v>1595.52</v>
      </c>
      <c r="N613">
        <v>0.19400000000000001</v>
      </c>
      <c r="O613">
        <v>14</v>
      </c>
    </row>
    <row r="614" spans="1:15">
      <c r="A614" t="s">
        <v>626</v>
      </c>
      <c r="B614" s="2">
        <v>45584</v>
      </c>
      <c r="C614" s="2">
        <v>45602</v>
      </c>
      <c r="D614" t="s">
        <v>648</v>
      </c>
      <c r="E614" t="s">
        <v>660</v>
      </c>
      <c r="F614" t="s">
        <v>677</v>
      </c>
      <c r="G614" t="s">
        <v>702</v>
      </c>
      <c r="I614" t="s">
        <v>712</v>
      </c>
      <c r="J614" t="s">
        <v>732</v>
      </c>
      <c r="K614" t="s">
        <v>1344</v>
      </c>
      <c r="L614">
        <v>942.02</v>
      </c>
      <c r="M614">
        <v>1028.46</v>
      </c>
      <c r="N614">
        <v>0</v>
      </c>
      <c r="O614">
        <v>9</v>
      </c>
    </row>
    <row r="615" spans="1:15">
      <c r="A615" t="s">
        <v>627</v>
      </c>
      <c r="B615" s="2">
        <v>45468</v>
      </c>
      <c r="C615" s="2">
        <v>45473</v>
      </c>
      <c r="D615" t="s">
        <v>646</v>
      </c>
      <c r="E615" t="s">
        <v>650</v>
      </c>
      <c r="F615" t="s">
        <v>662</v>
      </c>
      <c r="G615" t="s">
        <v>702</v>
      </c>
      <c r="H615" t="s">
        <v>711</v>
      </c>
      <c r="I615" t="s">
        <v>724</v>
      </c>
      <c r="J615" t="s">
        <v>729</v>
      </c>
      <c r="K615" t="s">
        <v>1345</v>
      </c>
      <c r="L615">
        <v>1323.55</v>
      </c>
      <c r="M615">
        <v>3230.35</v>
      </c>
      <c r="N615">
        <v>2.1999999999999999E-2</v>
      </c>
      <c r="O615">
        <v>26</v>
      </c>
    </row>
    <row r="616" spans="1:15">
      <c r="A616" t="s">
        <v>628</v>
      </c>
      <c r="B616" s="2">
        <v>45137</v>
      </c>
      <c r="C616" s="2">
        <v>45157</v>
      </c>
      <c r="D616" t="s">
        <v>649</v>
      </c>
      <c r="E616" t="s">
        <v>657</v>
      </c>
      <c r="F616" t="s">
        <v>690</v>
      </c>
      <c r="G616" t="s">
        <v>706</v>
      </c>
      <c r="H616" t="s">
        <v>709</v>
      </c>
      <c r="I616" t="s">
        <v>715</v>
      </c>
      <c r="J616" t="s">
        <v>729</v>
      </c>
      <c r="K616" t="s">
        <v>1346</v>
      </c>
      <c r="L616">
        <v>1418.51</v>
      </c>
      <c r="M616">
        <v>2789.61</v>
      </c>
      <c r="N616">
        <v>0.17100000000000001</v>
      </c>
      <c r="O616">
        <v>8</v>
      </c>
    </row>
    <row r="617" spans="1:15">
      <c r="A617" t="s">
        <v>629</v>
      </c>
      <c r="B617" s="2">
        <v>45727</v>
      </c>
      <c r="C617" s="2">
        <v>45743</v>
      </c>
      <c r="D617" t="s">
        <v>647</v>
      </c>
      <c r="E617" t="s">
        <v>652</v>
      </c>
      <c r="F617" t="s">
        <v>689</v>
      </c>
      <c r="G617" t="s">
        <v>706</v>
      </c>
      <c r="H617" t="s">
        <v>710</v>
      </c>
      <c r="I617" t="s">
        <v>717</v>
      </c>
      <c r="J617" t="s">
        <v>728</v>
      </c>
      <c r="K617" t="s">
        <v>1347</v>
      </c>
      <c r="L617">
        <v>1317.58</v>
      </c>
      <c r="M617">
        <v>1897.74</v>
      </c>
      <c r="N617">
        <v>8.1000000000000003E-2</v>
      </c>
      <c r="O617">
        <v>6</v>
      </c>
    </row>
    <row r="618" spans="1:15">
      <c r="A618" t="s">
        <v>630</v>
      </c>
      <c r="B618" s="2">
        <v>45208</v>
      </c>
      <c r="C618" s="2">
        <v>45210</v>
      </c>
      <c r="D618" t="s">
        <v>646</v>
      </c>
      <c r="E618" t="s">
        <v>651</v>
      </c>
      <c r="F618" t="s">
        <v>663</v>
      </c>
      <c r="G618" t="s">
        <v>702</v>
      </c>
      <c r="H618" t="s">
        <v>709</v>
      </c>
      <c r="I618" t="s">
        <v>723</v>
      </c>
      <c r="J618" t="s">
        <v>729</v>
      </c>
      <c r="K618" t="s">
        <v>1348</v>
      </c>
      <c r="L618">
        <v>391.16</v>
      </c>
      <c r="M618">
        <v>902.47</v>
      </c>
      <c r="N618">
        <v>4.0000000000000001E-3</v>
      </c>
      <c r="O618">
        <v>12</v>
      </c>
    </row>
    <row r="619" spans="1:15">
      <c r="A619" t="s">
        <v>631</v>
      </c>
      <c r="B619" s="2">
        <v>45643</v>
      </c>
      <c r="C619" s="2">
        <v>45673</v>
      </c>
      <c r="D619" t="s">
        <v>649</v>
      </c>
      <c r="E619" t="s">
        <v>658</v>
      </c>
      <c r="F619" t="s">
        <v>693</v>
      </c>
      <c r="G619" t="s">
        <v>701</v>
      </c>
      <c r="H619" t="s">
        <v>707</v>
      </c>
      <c r="I619" t="s">
        <v>726</v>
      </c>
      <c r="J619" t="s">
        <v>732</v>
      </c>
      <c r="K619" t="s">
        <v>1349</v>
      </c>
      <c r="L619">
        <v>722.87</v>
      </c>
      <c r="M619">
        <v>-33.659999999999997</v>
      </c>
      <c r="N619">
        <v>0.10199999999999999</v>
      </c>
      <c r="O619">
        <v>28</v>
      </c>
    </row>
    <row r="620" spans="1:15">
      <c r="A620" t="s">
        <v>632</v>
      </c>
      <c r="B620" s="2">
        <v>45849</v>
      </c>
      <c r="C620" s="2">
        <v>45854</v>
      </c>
      <c r="D620" t="s">
        <v>649</v>
      </c>
      <c r="E620" t="s">
        <v>658</v>
      </c>
      <c r="F620" t="s">
        <v>683</v>
      </c>
      <c r="G620" t="s">
        <v>706</v>
      </c>
      <c r="H620" t="s">
        <v>708</v>
      </c>
      <c r="I620" t="s">
        <v>723</v>
      </c>
      <c r="J620" t="s">
        <v>728</v>
      </c>
      <c r="K620" t="s">
        <v>1350</v>
      </c>
      <c r="L620">
        <v>930.03</v>
      </c>
      <c r="M620">
        <v>1086.68</v>
      </c>
      <c r="N620">
        <v>0.109</v>
      </c>
      <c r="O620">
        <v>26</v>
      </c>
    </row>
    <row r="621" spans="1:15">
      <c r="A621" t="s">
        <v>633</v>
      </c>
      <c r="B621" s="2">
        <v>45578</v>
      </c>
      <c r="C621" s="2">
        <v>45589</v>
      </c>
      <c r="D621" t="s">
        <v>649</v>
      </c>
      <c r="E621" t="s">
        <v>657</v>
      </c>
      <c r="F621" t="s">
        <v>690</v>
      </c>
      <c r="G621" t="s">
        <v>702</v>
      </c>
      <c r="H621" t="s">
        <v>710</v>
      </c>
      <c r="I621" t="s">
        <v>721</v>
      </c>
      <c r="J621" t="s">
        <v>727</v>
      </c>
      <c r="K621" t="s">
        <v>1351</v>
      </c>
      <c r="L621">
        <v>816.7</v>
      </c>
      <c r="M621">
        <v>1010.75</v>
      </c>
      <c r="N621">
        <v>4.7E-2</v>
      </c>
      <c r="O621">
        <v>43</v>
      </c>
    </row>
    <row r="622" spans="1:15">
      <c r="A622" t="s">
        <v>634</v>
      </c>
      <c r="B622" s="2">
        <v>45177</v>
      </c>
      <c r="C622" s="2">
        <v>45183</v>
      </c>
      <c r="D622" t="s">
        <v>646</v>
      </c>
      <c r="E622" t="s">
        <v>650</v>
      </c>
      <c r="F622" t="s">
        <v>678</v>
      </c>
      <c r="G622" t="s">
        <v>702</v>
      </c>
      <c r="H622" t="s">
        <v>711</v>
      </c>
      <c r="I622" t="s">
        <v>714</v>
      </c>
      <c r="J622" t="s">
        <v>733</v>
      </c>
      <c r="K622" t="s">
        <v>1352</v>
      </c>
      <c r="L622">
        <v>251.03</v>
      </c>
      <c r="M622">
        <v>411.48</v>
      </c>
      <c r="N622">
        <v>0.16500000000000001</v>
      </c>
      <c r="O622">
        <v>3</v>
      </c>
    </row>
    <row r="623" spans="1:15">
      <c r="A623" t="s">
        <v>635</v>
      </c>
      <c r="B623" s="2">
        <v>45764</v>
      </c>
      <c r="C623" s="2">
        <v>45780</v>
      </c>
      <c r="D623" t="s">
        <v>648</v>
      </c>
      <c r="E623" t="s">
        <v>655</v>
      </c>
      <c r="F623" t="s">
        <v>692</v>
      </c>
      <c r="G623" t="s">
        <v>704</v>
      </c>
      <c r="H623" t="s">
        <v>709</v>
      </c>
      <c r="I623" t="s">
        <v>713</v>
      </c>
      <c r="J623" t="s">
        <v>729</v>
      </c>
      <c r="K623" t="s">
        <v>1353</v>
      </c>
      <c r="L623">
        <v>168.68</v>
      </c>
      <c r="M623">
        <v>413.34</v>
      </c>
      <c r="N623">
        <v>0.186</v>
      </c>
      <c r="O623">
        <v>7</v>
      </c>
    </row>
    <row r="624" spans="1:15">
      <c r="A624" t="s">
        <v>636</v>
      </c>
      <c r="B624" s="2">
        <v>45501</v>
      </c>
      <c r="C624" s="2">
        <v>45527</v>
      </c>
      <c r="D624" t="s">
        <v>647</v>
      </c>
      <c r="E624" t="s">
        <v>654</v>
      </c>
      <c r="F624" t="s">
        <v>696</v>
      </c>
      <c r="G624" t="s">
        <v>701</v>
      </c>
      <c r="H624" t="s">
        <v>707</v>
      </c>
      <c r="I624" t="s">
        <v>713</v>
      </c>
      <c r="J624" t="s">
        <v>729</v>
      </c>
      <c r="K624" t="s">
        <v>1354</v>
      </c>
      <c r="L624">
        <v>1339.24</v>
      </c>
      <c r="M624">
        <v>1558.89</v>
      </c>
      <c r="N624">
        <v>0.192</v>
      </c>
      <c r="O624">
        <v>24</v>
      </c>
    </row>
    <row r="625" spans="1:15">
      <c r="A625" t="s">
        <v>637</v>
      </c>
      <c r="B625" s="2">
        <v>45857</v>
      </c>
      <c r="C625" s="2">
        <v>45869</v>
      </c>
      <c r="D625" t="s">
        <v>646</v>
      </c>
      <c r="E625" t="s">
        <v>650</v>
      </c>
      <c r="F625" t="s">
        <v>664</v>
      </c>
      <c r="G625" t="s">
        <v>705</v>
      </c>
      <c r="H625" t="s">
        <v>709</v>
      </c>
      <c r="I625" t="s">
        <v>719</v>
      </c>
      <c r="J625" t="s">
        <v>733</v>
      </c>
      <c r="K625" t="s">
        <v>1355</v>
      </c>
      <c r="L625">
        <v>619.64</v>
      </c>
      <c r="M625">
        <v>861.16</v>
      </c>
      <c r="N625">
        <v>0.113</v>
      </c>
      <c r="O625">
        <v>14</v>
      </c>
    </row>
    <row r="626" spans="1:15">
      <c r="A626" t="s">
        <v>638</v>
      </c>
      <c r="B626" s="2">
        <v>45141</v>
      </c>
      <c r="C626" s="2">
        <v>45140</v>
      </c>
      <c r="D626" t="s">
        <v>647</v>
      </c>
      <c r="E626" t="s">
        <v>659</v>
      </c>
      <c r="F626" t="s">
        <v>685</v>
      </c>
      <c r="G626" t="s">
        <v>703</v>
      </c>
      <c r="H626" t="s">
        <v>711</v>
      </c>
      <c r="I626" t="s">
        <v>713</v>
      </c>
      <c r="J626" t="s">
        <v>729</v>
      </c>
      <c r="K626" t="s">
        <v>1356</v>
      </c>
      <c r="L626">
        <v>1021.97</v>
      </c>
      <c r="M626">
        <v>2296.25</v>
      </c>
      <c r="N626">
        <v>0.161</v>
      </c>
      <c r="O626">
        <v>26</v>
      </c>
    </row>
    <row r="627" spans="1:15">
      <c r="A627" t="s">
        <v>639</v>
      </c>
      <c r="B627" s="2">
        <v>45249</v>
      </c>
      <c r="C627" s="2">
        <v>45272</v>
      </c>
      <c r="D627" t="s">
        <v>647</v>
      </c>
      <c r="E627" t="s">
        <v>654</v>
      </c>
      <c r="F627" t="s">
        <v>680</v>
      </c>
      <c r="G627" t="s">
        <v>705</v>
      </c>
      <c r="H627" t="s">
        <v>711</v>
      </c>
      <c r="I627" t="s">
        <v>712</v>
      </c>
      <c r="J627" t="s">
        <v>729</v>
      </c>
      <c r="K627" t="s">
        <v>1357</v>
      </c>
      <c r="L627">
        <v>1349.04</v>
      </c>
      <c r="M627">
        <v>2636.6</v>
      </c>
      <c r="N627">
        <v>0.114</v>
      </c>
      <c r="O627">
        <v>14</v>
      </c>
    </row>
    <row r="628" spans="1:15">
      <c r="A628" t="s">
        <v>640</v>
      </c>
      <c r="B628" s="2">
        <v>45282</v>
      </c>
      <c r="C628" s="2">
        <v>45307</v>
      </c>
      <c r="D628" t="s">
        <v>647</v>
      </c>
      <c r="E628" t="s">
        <v>654</v>
      </c>
      <c r="F628" t="s">
        <v>696</v>
      </c>
      <c r="G628" t="s">
        <v>705</v>
      </c>
      <c r="H628" t="s">
        <v>707</v>
      </c>
      <c r="I628" t="s">
        <v>720</v>
      </c>
      <c r="J628" t="s">
        <v>727</v>
      </c>
      <c r="K628" t="s">
        <v>1358</v>
      </c>
      <c r="L628">
        <v>1346.81</v>
      </c>
      <c r="M628">
        <v>978.09</v>
      </c>
      <c r="N628">
        <v>0.159</v>
      </c>
      <c r="O628">
        <v>17</v>
      </c>
    </row>
    <row r="629" spans="1:15">
      <c r="A629" t="s">
        <v>641</v>
      </c>
      <c r="B629" s="2">
        <v>45141</v>
      </c>
      <c r="C629" s="2">
        <v>45168</v>
      </c>
      <c r="D629" t="s">
        <v>647</v>
      </c>
      <c r="E629" t="s">
        <v>659</v>
      </c>
      <c r="F629" t="s">
        <v>685</v>
      </c>
      <c r="G629" t="s">
        <v>704</v>
      </c>
      <c r="H629" t="s">
        <v>710</v>
      </c>
      <c r="I629" t="s">
        <v>725</v>
      </c>
      <c r="J629" t="s">
        <v>732</v>
      </c>
      <c r="K629" t="s">
        <v>1359</v>
      </c>
      <c r="L629">
        <v>226.04</v>
      </c>
      <c r="M629">
        <v>545.72</v>
      </c>
      <c r="N629">
        <v>0.151</v>
      </c>
      <c r="O629">
        <v>11</v>
      </c>
    </row>
    <row r="630" spans="1:15">
      <c r="A630" t="s">
        <v>642</v>
      </c>
      <c r="B630" s="2">
        <v>45100</v>
      </c>
      <c r="C630" s="2">
        <v>45125</v>
      </c>
      <c r="D630" t="s">
        <v>648</v>
      </c>
      <c r="E630" t="s">
        <v>653</v>
      </c>
      <c r="F630" t="s">
        <v>688</v>
      </c>
      <c r="G630" t="s">
        <v>706</v>
      </c>
      <c r="H630" t="s">
        <v>708</v>
      </c>
      <c r="I630" t="s">
        <v>725</v>
      </c>
      <c r="J630" t="s">
        <v>730</v>
      </c>
      <c r="K630" t="s">
        <v>1360</v>
      </c>
      <c r="L630">
        <v>807.02</v>
      </c>
      <c r="M630">
        <v>1435.54</v>
      </c>
      <c r="N630">
        <v>0</v>
      </c>
      <c r="O630">
        <v>23</v>
      </c>
    </row>
    <row r="631" spans="1:15">
      <c r="A631" t="s">
        <v>643</v>
      </c>
      <c r="B631" s="2">
        <v>45267</v>
      </c>
      <c r="C631" s="2">
        <v>45293</v>
      </c>
      <c r="D631" t="s">
        <v>649</v>
      </c>
      <c r="E631" t="s">
        <v>656</v>
      </c>
      <c r="F631" t="s">
        <v>698</v>
      </c>
      <c r="G631" t="s">
        <v>706</v>
      </c>
      <c r="H631" t="s">
        <v>710</v>
      </c>
      <c r="I631" t="s">
        <v>718</v>
      </c>
      <c r="J631" t="s">
        <v>727</v>
      </c>
      <c r="K631" t="s">
        <v>1361</v>
      </c>
      <c r="L631">
        <v>1071.99</v>
      </c>
      <c r="M631">
        <v>2397.3000000000002</v>
      </c>
      <c r="N631">
        <v>6.2E-2</v>
      </c>
      <c r="O631">
        <v>18</v>
      </c>
    </row>
    <row r="632" spans="1:15">
      <c r="A632" t="s">
        <v>644</v>
      </c>
      <c r="B632" s="2">
        <v>45249</v>
      </c>
      <c r="C632" s="2">
        <v>45279</v>
      </c>
      <c r="D632" t="s">
        <v>647</v>
      </c>
      <c r="E632" t="s">
        <v>652</v>
      </c>
      <c r="F632" t="s">
        <v>694</v>
      </c>
      <c r="G632" t="s">
        <v>704</v>
      </c>
      <c r="H632" t="s">
        <v>707</v>
      </c>
      <c r="J632" t="s">
        <v>730</v>
      </c>
      <c r="K632" t="s">
        <v>1362</v>
      </c>
      <c r="L632">
        <v>807.11</v>
      </c>
      <c r="M632">
        <v>1853.86</v>
      </c>
      <c r="N632">
        <v>0.13900000000000001</v>
      </c>
      <c r="O632">
        <v>8</v>
      </c>
    </row>
    <row r="633" spans="1:15">
      <c r="A633" t="s">
        <v>645</v>
      </c>
      <c r="B633" s="2">
        <v>45716</v>
      </c>
      <c r="C633" s="2">
        <v>45726</v>
      </c>
      <c r="D633" t="s">
        <v>647</v>
      </c>
      <c r="E633" t="s">
        <v>652</v>
      </c>
      <c r="F633" t="s">
        <v>666</v>
      </c>
      <c r="G633" t="s">
        <v>702</v>
      </c>
      <c r="H633" t="s">
        <v>710</v>
      </c>
      <c r="I633" t="s">
        <v>725</v>
      </c>
      <c r="J633" t="s">
        <v>731</v>
      </c>
      <c r="K633" t="s">
        <v>1363</v>
      </c>
      <c r="L633">
        <v>51.86</v>
      </c>
      <c r="M633">
        <v>45.98</v>
      </c>
      <c r="N633">
        <v>0.17299999999999999</v>
      </c>
      <c r="O633">
        <v>7</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A6E3A43-FC5D-4EF6-9490-77E290E326BF}">
  <dimension ref="A1:AJ633"/>
  <sheetViews>
    <sheetView topLeftCell="A2" workbookViewId="0">
      <selection activeCell="X1" activeCellId="1" sqref="R1:R1048576 X1:X1048576"/>
    </sheetView>
  </sheetViews>
  <sheetFormatPr defaultRowHeight="15"/>
  <cols>
    <col min="1" max="1" width="16.42578125" bestFit="1" customWidth="1"/>
    <col min="2" max="2" width="14.85546875" style="4" bestFit="1" customWidth="1"/>
    <col min="3" max="3" width="27.5703125" style="28" customWidth="1"/>
    <col min="4" max="4" width="16.85546875" style="28" customWidth="1"/>
    <col min="5" max="5" width="18" style="4" bestFit="1" customWidth="1"/>
    <col min="6" max="6" width="23.140625" style="4" customWidth="1"/>
    <col min="7" max="7" width="18" style="4" customWidth="1"/>
    <col min="8" max="8" width="23.5703125" style="4" customWidth="1"/>
    <col min="9" max="9" width="25.28515625" style="4" customWidth="1"/>
    <col min="10" max="10" width="18" style="2" customWidth="1"/>
    <col min="11" max="11" width="11.7109375" bestFit="1" customWidth="1"/>
    <col min="12" max="12" width="15.42578125" bestFit="1" customWidth="1"/>
    <col min="13" max="13" width="13.5703125" bestFit="1" customWidth="1"/>
    <col min="14" max="14" width="36.28515625" bestFit="1" customWidth="1"/>
    <col min="15" max="15" width="22.28515625" bestFit="1" customWidth="1"/>
    <col min="16" max="16" width="12.85546875" bestFit="1" customWidth="1"/>
    <col min="17" max="17" width="16.28515625" bestFit="1" customWidth="1"/>
    <col min="18" max="18" width="20.42578125" bestFit="1" customWidth="1"/>
    <col min="19" max="19" width="10.28515625" bestFit="1" customWidth="1"/>
    <col min="20" max="20" width="13.28515625" style="6" bestFit="1" customWidth="1"/>
    <col min="21" max="21" width="13.85546875" style="8" bestFit="1" customWidth="1"/>
    <col min="22" max="22" width="19.140625" style="8" customWidth="1"/>
    <col min="23" max="23" width="13.85546875" style="8" customWidth="1"/>
    <col min="24" max="24" width="16" style="15" bestFit="1" customWidth="1"/>
    <col min="25" max="25" width="21.28515625" style="15" customWidth="1"/>
    <col min="26" max="26" width="16.85546875" style="15" customWidth="1"/>
    <col min="27" max="27" width="13.28515625" style="17" bestFit="1" customWidth="1"/>
    <col min="28" max="28" width="16" customWidth="1"/>
    <col min="29" max="29" width="14.85546875" style="8" customWidth="1"/>
    <col min="30" max="30" width="13.140625" customWidth="1"/>
    <col min="31" max="31" width="14.5703125" style="15" bestFit="1" customWidth="1"/>
    <col min="32" max="32" width="23" customWidth="1"/>
    <col min="33" max="34" width="20.28515625" customWidth="1"/>
    <col min="35" max="35" width="30.140625" customWidth="1"/>
    <col min="36" max="36" width="22.140625" customWidth="1"/>
  </cols>
  <sheetData>
    <row r="1" spans="1:36" ht="33.75" customHeight="1">
      <c r="A1" s="1" t="s">
        <v>1504</v>
      </c>
      <c r="B1" s="3" t="s">
        <v>1</v>
      </c>
      <c r="C1" s="29" t="s">
        <v>1445</v>
      </c>
      <c r="D1" s="29" t="s">
        <v>1446</v>
      </c>
      <c r="E1" s="3" t="s">
        <v>2</v>
      </c>
      <c r="F1" s="18" t="s">
        <v>1436</v>
      </c>
      <c r="G1" s="3" t="s">
        <v>1435</v>
      </c>
      <c r="H1" s="18" t="s">
        <v>1438</v>
      </c>
      <c r="I1" s="18" t="s">
        <v>1469</v>
      </c>
      <c r="J1" s="31" t="s">
        <v>1457</v>
      </c>
      <c r="K1" s="1" t="s">
        <v>3</v>
      </c>
      <c r="L1" s="1" t="s">
        <v>4</v>
      </c>
      <c r="M1" s="1" t="s">
        <v>5</v>
      </c>
      <c r="N1" s="30" t="s">
        <v>1447</v>
      </c>
      <c r="O1" s="1" t="s">
        <v>6</v>
      </c>
      <c r="P1" s="1" t="s">
        <v>7</v>
      </c>
      <c r="Q1" s="1" t="s">
        <v>8</v>
      </c>
      <c r="R1" s="1" t="s">
        <v>9</v>
      </c>
      <c r="S1" s="1" t="s">
        <v>10</v>
      </c>
      <c r="T1" s="5" t="s">
        <v>11</v>
      </c>
      <c r="U1" s="7" t="s">
        <v>12</v>
      </c>
      <c r="V1" s="13" t="s">
        <v>1431</v>
      </c>
      <c r="W1" s="13" t="s">
        <v>1451</v>
      </c>
      <c r="X1" s="14" t="s">
        <v>13</v>
      </c>
      <c r="Y1" s="16" t="s">
        <v>1433</v>
      </c>
      <c r="Z1" s="22" t="s">
        <v>1473</v>
      </c>
      <c r="AA1" s="25" t="s">
        <v>14</v>
      </c>
      <c r="AB1" s="21" t="s">
        <v>1441</v>
      </c>
      <c r="AC1" s="23" t="s">
        <v>1442</v>
      </c>
      <c r="AD1" s="22" t="s">
        <v>1443</v>
      </c>
      <c r="AE1" s="27" t="s">
        <v>1444</v>
      </c>
      <c r="AF1" s="21" t="s">
        <v>1478</v>
      </c>
      <c r="AG1" s="21" t="s">
        <v>1479</v>
      </c>
      <c r="AH1" s="21" t="s">
        <v>1480</v>
      </c>
      <c r="AI1" s="21" t="s">
        <v>1481</v>
      </c>
      <c r="AJ1" s="21" t="s">
        <v>1482</v>
      </c>
    </row>
    <row r="2" spans="1:36" ht="16.5" customHeight="1">
      <c r="A2" t="s">
        <v>15</v>
      </c>
      <c r="B2" s="4">
        <v>45362</v>
      </c>
      <c r="C2" s="28">
        <v>45362</v>
      </c>
      <c r="D2" s="28" t="str">
        <f>"Q"&amp;ROUNDUP(MONTH(B2)/3,0)&amp;"-"&amp;YEAR(B2)</f>
        <v>Q1-2024</v>
      </c>
      <c r="E2" s="4">
        <v>45388</v>
      </c>
      <c r="F2" s="4">
        <v>45388</v>
      </c>
      <c r="G2" s="17">
        <f>E2-B2</f>
        <v>26</v>
      </c>
      <c r="H2" s="17">
        <f>F2-B2</f>
        <v>26</v>
      </c>
      <c r="I2" t="str">
        <f>IF(H2&lt;=7, "Yes", "No")</f>
        <v>No</v>
      </c>
      <c r="J2" s="2">
        <f>_xlfn.MINIFS($B$2:$B$633, $L$2:$L$633, L2)</f>
        <v>44946</v>
      </c>
      <c r="K2" t="s">
        <v>646</v>
      </c>
      <c r="L2" t="s">
        <v>650</v>
      </c>
      <c r="M2" t="s">
        <v>662</v>
      </c>
      <c r="N2" t="str">
        <f>_xlfn.TEXTJOIN(" - ", TRUE, K2:M2)</f>
        <v>Africa - Kenya - Kisumu</v>
      </c>
      <c r="O2" t="s">
        <v>701</v>
      </c>
      <c r="P2" t="s">
        <v>707</v>
      </c>
      <c r="Q2" t="s">
        <v>712</v>
      </c>
      <c r="R2" t="s">
        <v>727</v>
      </c>
      <c r="S2" t="s">
        <v>734</v>
      </c>
      <c r="T2" s="6">
        <v>279.24</v>
      </c>
      <c r="U2" s="8">
        <v>608.9</v>
      </c>
      <c r="V2" s="8">
        <f>ABS(U2)</f>
        <v>608.9</v>
      </c>
      <c r="W2" s="8" t="str">
        <f>IF(V2 &lt;= _xlfn.PERCENTILE.INC($V$2:$V$633, 0.33), "Low", IF(V2 &lt;= _xlfn.PERCENTILE.INC($V$2:$V$633, 0.67), "Medium", "High"))</f>
        <v>Low</v>
      </c>
      <c r="X2" s="15">
        <v>0.112</v>
      </c>
      <c r="Y2" s="15">
        <f t="shared" ref="Y2:Y33" si="0">IF(X2&gt;30%,AVERAGEIF($X$2:$X$633,"&lt;30%"),X2)</f>
        <v>0.112</v>
      </c>
      <c r="Z2" t="str">
        <f>IF(Y2&gt;0.2, "Yes", "No")</f>
        <v>No</v>
      </c>
      <c r="AA2" s="17">
        <v>9</v>
      </c>
      <c r="AB2" s="8">
        <f>U2*AA2*(1-Y2)</f>
        <v>4866.3287999999993</v>
      </c>
      <c r="AC2" s="8">
        <f>T2*AA2</f>
        <v>2513.16</v>
      </c>
      <c r="AD2" s="8">
        <f>AB2-AC2</f>
        <v>2353.1687999999995</v>
      </c>
      <c r="AE2" s="15">
        <f xml:space="preserve"> IF(AB2=0, 0, AD2 / AB2)</f>
        <v>0.48356140670149533</v>
      </c>
      <c r="AF2" s="34">
        <f>MIN(Y2,'Scenario Modeling'!$B$2)</f>
        <v>0.112</v>
      </c>
      <c r="AG2">
        <f>ROUND(AA2 * (1 + 'Scenario Modeling'!$B$4), 0)</f>
        <v>9</v>
      </c>
      <c r="AH2">
        <f>T2 * (1 + 'Scenario Modeling'!$B$3)</f>
        <v>279.24</v>
      </c>
      <c r="AI2" s="8">
        <f>V2 * AG2 * (1 - AF2)</f>
        <v>4866.3287999999993</v>
      </c>
      <c r="AJ2" s="8">
        <f>AI2 - (AH2 * AG2)</f>
        <v>2353.1687999999995</v>
      </c>
    </row>
    <row r="3" spans="1:36">
      <c r="A3" t="s">
        <v>16</v>
      </c>
      <c r="B3" s="4">
        <v>45588</v>
      </c>
      <c r="C3" s="28">
        <v>45588</v>
      </c>
      <c r="D3" s="28" t="str">
        <f t="shared" ref="D3:D66" si="1">"Q"&amp;ROUNDUP(MONTH(B3)/3,0)&amp;"-"&amp;YEAR(B3)</f>
        <v>Q4-2024</v>
      </c>
      <c r="E3" s="4">
        <v>45587</v>
      </c>
      <c r="F3" s="4">
        <f>B3+10</f>
        <v>45598</v>
      </c>
      <c r="G3" s="17">
        <f t="shared" ref="G3:G66" si="2">E3-B3</f>
        <v>-1</v>
      </c>
      <c r="H3" s="17">
        <f t="shared" ref="H3:H66" si="3">F3-B3</f>
        <v>10</v>
      </c>
      <c r="I3" t="str">
        <f t="shared" ref="I3:I66" si="4">IF(H3&lt;=7, "Yes", "No")</f>
        <v>No</v>
      </c>
      <c r="J3" s="2">
        <f t="shared" ref="J3:J66" si="5">_xlfn.MINIFS($B$2:$B$633, $L$2:$L$633, L3)</f>
        <v>44941</v>
      </c>
      <c r="K3" t="s">
        <v>646</v>
      </c>
      <c r="L3" t="s">
        <v>651</v>
      </c>
      <c r="M3" t="s">
        <v>663</v>
      </c>
      <c r="N3" t="str">
        <f t="shared" ref="N3:N66" si="6">_xlfn.TEXTJOIN(" - ", TRUE, K3:M3)</f>
        <v>Africa - Nigeria - Port Harcourt</v>
      </c>
      <c r="O3" t="s">
        <v>702</v>
      </c>
      <c r="P3" t="s">
        <v>708</v>
      </c>
      <c r="Q3" t="s">
        <v>713</v>
      </c>
      <c r="R3" t="s">
        <v>728</v>
      </c>
      <c r="S3" t="s">
        <v>735</v>
      </c>
      <c r="T3" s="6">
        <v>1084.3900000000001</v>
      </c>
      <c r="U3" s="8">
        <v>759.33</v>
      </c>
      <c r="V3" s="8">
        <f t="shared" ref="V3:V66" si="7">ABS(U3)</f>
        <v>759.33</v>
      </c>
      <c r="W3" s="8" t="str">
        <f t="shared" ref="W3:W66" si="8">IF(V3 &lt;= _xlfn.PERCENTILE.INC($V$2:$V$633, 0.33), "Low", IF(V3 &lt;= _xlfn.PERCENTILE.INC($V$2:$V$633, 0.67), "Medium", "High"))</f>
        <v>Low</v>
      </c>
      <c r="X3" s="15">
        <v>0.23699999999999999</v>
      </c>
      <c r="Y3" s="15">
        <f t="shared" si="0"/>
        <v>0.23699999999999999</v>
      </c>
      <c r="Z3" t="str">
        <f t="shared" ref="Z3:Z66" si="9">IF(Y3&gt;0.2, "Yes", "No")</f>
        <v>Yes</v>
      </c>
      <c r="AA3" s="17">
        <v>31</v>
      </c>
      <c r="AB3" s="8">
        <f t="shared" ref="AB3:AB66" si="10">U3*AA3*(1-Y3)</f>
        <v>17960.432489999999</v>
      </c>
      <c r="AC3" s="8">
        <f t="shared" ref="AC3:AC66" si="11">T3*AA3</f>
        <v>33616.090000000004</v>
      </c>
      <c r="AD3" s="8">
        <f t="shared" ref="AD3:AD66" si="12">AB3-AC3</f>
        <v>-15655.657510000005</v>
      </c>
      <c r="AE3" s="15">
        <f t="shared" ref="AE3:AE66" si="13" xml:space="preserve"> IF(AB3=0, 0, AD3 / AB3)</f>
        <v>-0.87167486187856302</v>
      </c>
      <c r="AF3" s="34">
        <f>MIN(Y3,'Scenario Modeling'!$B$2)</f>
        <v>0.23699999999999999</v>
      </c>
      <c r="AG3">
        <f>ROUND(AA3 * (1 + 'Scenario Modeling'!$B$4), 0)</f>
        <v>31</v>
      </c>
      <c r="AH3">
        <f>T3 * (1 + 'Scenario Modeling'!$B$3)</f>
        <v>1084.3900000000001</v>
      </c>
      <c r="AI3" s="8">
        <f t="shared" ref="AI3:AI66" si="14">V3 * AG3 * (1 - AF3)</f>
        <v>17960.432489999999</v>
      </c>
      <c r="AJ3" s="8">
        <f t="shared" ref="AJ3:AJ66" si="15">AI3 - (AH3 * AG3)</f>
        <v>-15655.657510000005</v>
      </c>
    </row>
    <row r="4" spans="1:36">
      <c r="A4" t="s">
        <v>17</v>
      </c>
      <c r="B4" s="4">
        <v>44985</v>
      </c>
      <c r="C4" s="28">
        <v>44985</v>
      </c>
      <c r="D4" s="28" t="str">
        <f t="shared" si="1"/>
        <v>Q1-2023</v>
      </c>
      <c r="E4" s="4">
        <v>45010</v>
      </c>
      <c r="F4" s="4">
        <v>45010</v>
      </c>
      <c r="G4" s="17">
        <f t="shared" si="2"/>
        <v>25</v>
      </c>
      <c r="H4" s="17">
        <f t="shared" si="3"/>
        <v>25</v>
      </c>
      <c r="I4" t="str">
        <f t="shared" si="4"/>
        <v>No</v>
      </c>
      <c r="J4" s="2">
        <f t="shared" si="5"/>
        <v>44946</v>
      </c>
      <c r="K4" t="s">
        <v>646</v>
      </c>
      <c r="L4" t="s">
        <v>650</v>
      </c>
      <c r="M4" t="s">
        <v>664</v>
      </c>
      <c r="N4" t="str">
        <f t="shared" si="6"/>
        <v>Africa - Kenya - Nairobi</v>
      </c>
      <c r="O4" t="s">
        <v>701</v>
      </c>
      <c r="P4" t="s">
        <v>707</v>
      </c>
      <c r="Q4" t="s">
        <v>714</v>
      </c>
      <c r="R4" t="s">
        <v>729</v>
      </c>
      <c r="S4" t="s">
        <v>736</v>
      </c>
      <c r="T4" s="6">
        <v>1460.76</v>
      </c>
      <c r="U4" s="8">
        <v>-30.66</v>
      </c>
      <c r="V4" s="8">
        <f t="shared" si="7"/>
        <v>30.66</v>
      </c>
      <c r="W4" s="8" t="str">
        <f t="shared" si="8"/>
        <v>Low</v>
      </c>
      <c r="X4" s="15">
        <v>0.13100000000000001</v>
      </c>
      <c r="Y4" s="15">
        <f t="shared" si="0"/>
        <v>0.13100000000000001</v>
      </c>
      <c r="Z4" t="str">
        <f t="shared" si="9"/>
        <v>No</v>
      </c>
      <c r="AA4" s="17">
        <v>12</v>
      </c>
      <c r="AB4" s="8">
        <f t="shared" si="10"/>
        <v>-319.72248000000002</v>
      </c>
      <c r="AC4" s="8">
        <f t="shared" si="11"/>
        <v>17529.12</v>
      </c>
      <c r="AD4" s="8">
        <f t="shared" si="12"/>
        <v>-17848.842479999999</v>
      </c>
      <c r="AE4" s="15">
        <f t="shared" si="13"/>
        <v>55.826047890032626</v>
      </c>
      <c r="AF4" s="34">
        <f>MIN(Y4,'Scenario Modeling'!$B$2)</f>
        <v>0.13100000000000001</v>
      </c>
      <c r="AG4">
        <f>ROUND(AA4 * (1 + 'Scenario Modeling'!$B$4), 0)</f>
        <v>12</v>
      </c>
      <c r="AH4">
        <f>T4 * (1 + 'Scenario Modeling'!$B$3)</f>
        <v>1460.76</v>
      </c>
      <c r="AI4" s="8">
        <f t="shared" si="14"/>
        <v>319.72248000000002</v>
      </c>
      <c r="AJ4" s="8">
        <f t="shared" si="15"/>
        <v>-17209.397519999999</v>
      </c>
    </row>
    <row r="5" spans="1:36">
      <c r="A5" t="s">
        <v>18</v>
      </c>
      <c r="B5" s="4">
        <v>45745</v>
      </c>
      <c r="C5" s="28">
        <v>45745</v>
      </c>
      <c r="D5" s="28" t="str">
        <f t="shared" si="1"/>
        <v>Q1-2025</v>
      </c>
      <c r="E5" s="4">
        <v>45749</v>
      </c>
      <c r="F5" s="4">
        <v>45749</v>
      </c>
      <c r="G5" s="17">
        <f t="shared" si="2"/>
        <v>4</v>
      </c>
      <c r="H5" s="17">
        <f t="shared" si="3"/>
        <v>4</v>
      </c>
      <c r="I5" t="str">
        <f t="shared" si="4"/>
        <v>Yes</v>
      </c>
      <c r="J5" s="2">
        <f t="shared" si="5"/>
        <v>44941</v>
      </c>
      <c r="K5" t="s">
        <v>646</v>
      </c>
      <c r="L5" t="s">
        <v>651</v>
      </c>
      <c r="M5" t="s">
        <v>665</v>
      </c>
      <c r="N5" t="str">
        <f t="shared" si="6"/>
        <v>Africa - Nigeria - Lagos</v>
      </c>
      <c r="O5" t="s">
        <v>703</v>
      </c>
      <c r="P5" t="s">
        <v>709</v>
      </c>
      <c r="Q5" t="s">
        <v>715</v>
      </c>
      <c r="R5" t="s">
        <v>730</v>
      </c>
      <c r="S5" t="s">
        <v>737</v>
      </c>
      <c r="T5" s="6">
        <v>259.93</v>
      </c>
      <c r="U5" s="8">
        <v>255.94</v>
      </c>
      <c r="V5" s="8">
        <f t="shared" si="7"/>
        <v>255.94</v>
      </c>
      <c r="W5" s="8" t="str">
        <f t="shared" si="8"/>
        <v>Low</v>
      </c>
      <c r="X5" s="15">
        <v>7.1999999999999995E-2</v>
      </c>
      <c r="Y5" s="15">
        <f t="shared" si="0"/>
        <v>7.1999999999999995E-2</v>
      </c>
      <c r="Z5" t="str">
        <f t="shared" si="9"/>
        <v>No</v>
      </c>
      <c r="AA5" s="17">
        <v>22</v>
      </c>
      <c r="AB5" s="8">
        <f t="shared" si="10"/>
        <v>5225.2710400000005</v>
      </c>
      <c r="AC5" s="8">
        <f t="shared" si="11"/>
        <v>5718.46</v>
      </c>
      <c r="AD5" s="8">
        <f t="shared" si="12"/>
        <v>-493.1889599999995</v>
      </c>
      <c r="AE5" s="15">
        <f t="shared" si="13"/>
        <v>-9.4385335463861311E-2</v>
      </c>
      <c r="AF5" s="34">
        <f>MIN(Y5,'Scenario Modeling'!$B$2)</f>
        <v>7.1999999999999995E-2</v>
      </c>
      <c r="AG5">
        <f>ROUND(AA5 * (1 + 'Scenario Modeling'!$B$4), 0)</f>
        <v>22</v>
      </c>
      <c r="AH5">
        <f>T5 * (1 + 'Scenario Modeling'!$B$3)</f>
        <v>259.93</v>
      </c>
      <c r="AI5" s="8">
        <f t="shared" si="14"/>
        <v>5225.2710400000005</v>
      </c>
      <c r="AJ5" s="8">
        <f t="shared" si="15"/>
        <v>-493.1889599999995</v>
      </c>
    </row>
    <row r="6" spans="1:36">
      <c r="A6" t="s">
        <v>19</v>
      </c>
      <c r="B6" s="4">
        <v>45266</v>
      </c>
      <c r="C6" s="28">
        <v>45266</v>
      </c>
      <c r="D6" s="28" t="str">
        <f t="shared" si="1"/>
        <v>Q4-2023</v>
      </c>
      <c r="E6" s="4">
        <v>45291</v>
      </c>
      <c r="F6" s="4">
        <v>45291</v>
      </c>
      <c r="G6" s="17">
        <f t="shared" si="2"/>
        <v>25</v>
      </c>
      <c r="H6" s="17">
        <f t="shared" si="3"/>
        <v>25</v>
      </c>
      <c r="I6" t="str">
        <f t="shared" si="4"/>
        <v>No</v>
      </c>
      <c r="J6" s="2">
        <f t="shared" si="5"/>
        <v>44988</v>
      </c>
      <c r="K6" t="s">
        <v>647</v>
      </c>
      <c r="L6" t="s">
        <v>652</v>
      </c>
      <c r="M6" t="s">
        <v>666</v>
      </c>
      <c r="N6" t="str">
        <f t="shared" si="6"/>
        <v>Asia - Japan - Osaka</v>
      </c>
      <c r="O6" t="s">
        <v>704</v>
      </c>
      <c r="P6" t="s">
        <v>707</v>
      </c>
      <c r="Q6" t="s">
        <v>716</v>
      </c>
      <c r="R6" t="s">
        <v>728</v>
      </c>
      <c r="S6" t="s">
        <v>738</v>
      </c>
      <c r="T6" s="6">
        <v>663.03</v>
      </c>
      <c r="U6" s="8">
        <v>813.51</v>
      </c>
      <c r="V6" s="8">
        <f t="shared" si="7"/>
        <v>813.51</v>
      </c>
      <c r="W6" s="8" t="str">
        <f t="shared" si="8"/>
        <v>Low</v>
      </c>
      <c r="X6" s="15">
        <v>0.10199999999999999</v>
      </c>
      <c r="Y6" s="15">
        <f t="shared" si="0"/>
        <v>0.10199999999999999</v>
      </c>
      <c r="Z6" t="str">
        <f t="shared" si="9"/>
        <v>No</v>
      </c>
      <c r="AA6" s="17">
        <v>15</v>
      </c>
      <c r="AB6" s="8">
        <f t="shared" si="10"/>
        <v>10957.9797</v>
      </c>
      <c r="AC6" s="8">
        <f t="shared" si="11"/>
        <v>9945.4499999999989</v>
      </c>
      <c r="AD6" s="8">
        <f t="shared" si="12"/>
        <v>1012.529700000001</v>
      </c>
      <c r="AE6" s="15">
        <f t="shared" si="13"/>
        <v>9.2401129379715952E-2</v>
      </c>
      <c r="AF6" s="34">
        <f>MIN(Y6,'Scenario Modeling'!$B$2)</f>
        <v>0.10199999999999999</v>
      </c>
      <c r="AG6">
        <f>ROUND(AA6 * (1 + 'Scenario Modeling'!$B$4), 0)</f>
        <v>15</v>
      </c>
      <c r="AH6">
        <f>T6 * (1 + 'Scenario Modeling'!$B$3)</f>
        <v>663.03</v>
      </c>
      <c r="AI6" s="8">
        <f t="shared" si="14"/>
        <v>10957.9797</v>
      </c>
      <c r="AJ6" s="8">
        <f t="shared" si="15"/>
        <v>1012.529700000001</v>
      </c>
    </row>
    <row r="7" spans="1:36">
      <c r="A7" t="s">
        <v>20</v>
      </c>
      <c r="B7" s="4">
        <v>44928</v>
      </c>
      <c r="C7" s="28">
        <v>44928</v>
      </c>
      <c r="D7" s="28" t="str">
        <f t="shared" si="1"/>
        <v>Q1-2023</v>
      </c>
      <c r="E7" s="4">
        <v>44931</v>
      </c>
      <c r="F7" s="4">
        <v>44931</v>
      </c>
      <c r="G7" s="17">
        <f t="shared" si="2"/>
        <v>3</v>
      </c>
      <c r="H7" s="17">
        <f t="shared" si="3"/>
        <v>3</v>
      </c>
      <c r="I7" t="str">
        <f t="shared" si="4"/>
        <v>Yes</v>
      </c>
      <c r="J7" s="2">
        <f t="shared" si="5"/>
        <v>44928</v>
      </c>
      <c r="K7" t="s">
        <v>648</v>
      </c>
      <c r="L7" t="s">
        <v>653</v>
      </c>
      <c r="M7" t="s">
        <v>667</v>
      </c>
      <c r="N7" t="str">
        <f t="shared" si="6"/>
        <v>Americas - Canada - Toronto</v>
      </c>
      <c r="O7" t="s">
        <v>701</v>
      </c>
      <c r="P7" t="s">
        <v>710</v>
      </c>
      <c r="Q7" t="s">
        <v>717</v>
      </c>
      <c r="R7" t="s">
        <v>731</v>
      </c>
      <c r="S7" t="s">
        <v>739</v>
      </c>
      <c r="T7" s="6">
        <v>315.87</v>
      </c>
      <c r="U7" s="8">
        <v>591.67999999999995</v>
      </c>
      <c r="V7" s="8">
        <f t="shared" si="7"/>
        <v>591.67999999999995</v>
      </c>
      <c r="W7" s="8" t="str">
        <f t="shared" si="8"/>
        <v>Low</v>
      </c>
      <c r="X7" s="15">
        <v>0</v>
      </c>
      <c r="Y7" s="15">
        <f t="shared" si="0"/>
        <v>0</v>
      </c>
      <c r="Z7" t="str">
        <f t="shared" si="9"/>
        <v>No</v>
      </c>
      <c r="AA7" s="17">
        <v>7</v>
      </c>
      <c r="AB7" s="8">
        <f t="shared" si="10"/>
        <v>4141.7599999999993</v>
      </c>
      <c r="AC7" s="8">
        <f t="shared" si="11"/>
        <v>2211.09</v>
      </c>
      <c r="AD7" s="8">
        <f t="shared" si="12"/>
        <v>1930.6699999999992</v>
      </c>
      <c r="AE7" s="15">
        <f t="shared" si="13"/>
        <v>0.46614724175229844</v>
      </c>
      <c r="AF7" s="34">
        <f>MIN(Y7,'Scenario Modeling'!$B$2)</f>
        <v>0</v>
      </c>
      <c r="AG7">
        <f>ROUND(AA7 * (1 + 'Scenario Modeling'!$B$4), 0)</f>
        <v>7</v>
      </c>
      <c r="AH7">
        <f>T7 * (1 + 'Scenario Modeling'!$B$3)</f>
        <v>315.87</v>
      </c>
      <c r="AI7" s="8">
        <f t="shared" si="14"/>
        <v>4141.7599999999993</v>
      </c>
      <c r="AJ7" s="8">
        <f t="shared" si="15"/>
        <v>1930.6699999999992</v>
      </c>
    </row>
    <row r="8" spans="1:36">
      <c r="A8" t="s">
        <v>21</v>
      </c>
      <c r="B8" s="4">
        <v>45653</v>
      </c>
      <c r="C8" s="28">
        <v>45653</v>
      </c>
      <c r="D8" s="28" t="str">
        <f t="shared" si="1"/>
        <v>Q4-2024</v>
      </c>
      <c r="E8" s="4">
        <v>45671</v>
      </c>
      <c r="F8" s="4">
        <v>45671</v>
      </c>
      <c r="G8" s="17">
        <f t="shared" si="2"/>
        <v>18</v>
      </c>
      <c r="H8" s="17">
        <f t="shared" si="3"/>
        <v>18</v>
      </c>
      <c r="I8" t="str">
        <f t="shared" si="4"/>
        <v>No</v>
      </c>
      <c r="J8" s="2">
        <f t="shared" si="5"/>
        <v>44955</v>
      </c>
      <c r="K8" t="s">
        <v>647</v>
      </c>
      <c r="L8" t="s">
        <v>654</v>
      </c>
      <c r="M8" t="s">
        <v>668</v>
      </c>
      <c r="N8" t="str">
        <f t="shared" si="6"/>
        <v>Asia - India - Bengaluru</v>
      </c>
      <c r="O8" t="s">
        <v>705</v>
      </c>
      <c r="P8" t="s">
        <v>709</v>
      </c>
      <c r="Q8" t="s">
        <v>718</v>
      </c>
      <c r="R8" t="s">
        <v>732</v>
      </c>
      <c r="S8" t="s">
        <v>740</v>
      </c>
      <c r="T8" s="6">
        <v>586.07000000000005</v>
      </c>
      <c r="U8" s="8">
        <v>845.97</v>
      </c>
      <c r="V8" s="8">
        <f t="shared" si="7"/>
        <v>845.97</v>
      </c>
      <c r="W8" s="8" t="str">
        <f t="shared" si="8"/>
        <v>Medium</v>
      </c>
      <c r="X8" s="15">
        <v>0.14699999999999999</v>
      </c>
      <c r="Y8" s="15">
        <f t="shared" si="0"/>
        <v>0.14699999999999999</v>
      </c>
      <c r="Z8" t="str">
        <f t="shared" si="9"/>
        <v>No</v>
      </c>
      <c r="AA8" s="17">
        <v>4</v>
      </c>
      <c r="AB8" s="8">
        <f t="shared" si="10"/>
        <v>2886.4496399999998</v>
      </c>
      <c r="AC8" s="8">
        <f t="shared" si="11"/>
        <v>2344.2800000000002</v>
      </c>
      <c r="AD8" s="8">
        <f t="shared" si="12"/>
        <v>542.16963999999962</v>
      </c>
      <c r="AE8" s="15">
        <f t="shared" si="13"/>
        <v>0.18783270370862928</v>
      </c>
      <c r="AF8" s="34">
        <f>MIN(Y8,'Scenario Modeling'!$B$2)</f>
        <v>0.14699999999999999</v>
      </c>
      <c r="AG8">
        <f>ROUND(AA8 * (1 + 'Scenario Modeling'!$B$4), 0)</f>
        <v>4</v>
      </c>
      <c r="AH8">
        <f>T8 * (1 + 'Scenario Modeling'!$B$3)</f>
        <v>586.07000000000005</v>
      </c>
      <c r="AI8" s="8">
        <f t="shared" si="14"/>
        <v>2886.4496399999998</v>
      </c>
      <c r="AJ8" s="8">
        <f t="shared" si="15"/>
        <v>542.16963999999962</v>
      </c>
    </row>
    <row r="9" spans="1:36">
      <c r="A9" t="s">
        <v>22</v>
      </c>
      <c r="B9" s="4">
        <v>44941</v>
      </c>
      <c r="C9" s="28">
        <v>44941</v>
      </c>
      <c r="D9" s="28" t="str">
        <f t="shared" si="1"/>
        <v>Q1-2023</v>
      </c>
      <c r="E9" s="4">
        <v>44939</v>
      </c>
      <c r="F9" s="4">
        <f>B9+3</f>
        <v>44944</v>
      </c>
      <c r="G9" s="17">
        <f t="shared" si="2"/>
        <v>-2</v>
      </c>
      <c r="H9" s="17">
        <f t="shared" si="3"/>
        <v>3</v>
      </c>
      <c r="I9" t="str">
        <f t="shared" si="4"/>
        <v>Yes</v>
      </c>
      <c r="J9" s="2">
        <f t="shared" si="5"/>
        <v>44941</v>
      </c>
      <c r="K9" t="s">
        <v>646</v>
      </c>
      <c r="L9" t="s">
        <v>651</v>
      </c>
      <c r="M9" t="s">
        <v>669</v>
      </c>
      <c r="N9" t="str">
        <f t="shared" si="6"/>
        <v>Africa - Nigeria - Abuja</v>
      </c>
      <c r="O9" t="s">
        <v>702</v>
      </c>
      <c r="P9" t="s">
        <v>708</v>
      </c>
      <c r="Q9" t="s">
        <v>719</v>
      </c>
      <c r="R9" t="s">
        <v>728</v>
      </c>
      <c r="S9" t="s">
        <v>741</v>
      </c>
      <c r="T9" s="6">
        <v>28.38</v>
      </c>
      <c r="U9" s="8">
        <v>47.22</v>
      </c>
      <c r="V9" s="8">
        <f t="shared" si="7"/>
        <v>47.22</v>
      </c>
      <c r="W9" s="8" t="str">
        <f t="shared" si="8"/>
        <v>Low</v>
      </c>
      <c r="X9" s="15">
        <v>0.19400000000000001</v>
      </c>
      <c r="Y9" s="15">
        <f t="shared" si="0"/>
        <v>0.19400000000000001</v>
      </c>
      <c r="Z9" t="str">
        <f t="shared" si="9"/>
        <v>No</v>
      </c>
      <c r="AA9" s="17">
        <v>18</v>
      </c>
      <c r="AB9" s="8">
        <f t="shared" si="10"/>
        <v>685.06776000000002</v>
      </c>
      <c r="AC9" s="8">
        <f t="shared" si="11"/>
        <v>510.84</v>
      </c>
      <c r="AD9" s="8">
        <f t="shared" si="12"/>
        <v>174.22776000000005</v>
      </c>
      <c r="AE9" s="15">
        <f t="shared" si="13"/>
        <v>0.25432193743871417</v>
      </c>
      <c r="AF9" s="34">
        <f>MIN(Y9,'Scenario Modeling'!$B$2)</f>
        <v>0.19400000000000001</v>
      </c>
      <c r="AG9">
        <f>ROUND(AA9 * (1 + 'Scenario Modeling'!$B$4), 0)</f>
        <v>18</v>
      </c>
      <c r="AH9">
        <f>T9 * (1 + 'Scenario Modeling'!$B$3)</f>
        <v>28.38</v>
      </c>
      <c r="AI9" s="8">
        <f t="shared" si="14"/>
        <v>685.06776000000002</v>
      </c>
      <c r="AJ9" s="8">
        <f t="shared" si="15"/>
        <v>174.22776000000005</v>
      </c>
    </row>
    <row r="10" spans="1:36">
      <c r="A10" t="s">
        <v>23</v>
      </c>
      <c r="B10" s="4">
        <v>45416</v>
      </c>
      <c r="C10" s="28">
        <v>45416</v>
      </c>
      <c r="D10" s="28" t="str">
        <f t="shared" si="1"/>
        <v>Q2-2024</v>
      </c>
      <c r="E10" s="4">
        <v>45441</v>
      </c>
      <c r="F10" s="4">
        <v>45441</v>
      </c>
      <c r="G10" s="17">
        <f t="shared" si="2"/>
        <v>25</v>
      </c>
      <c r="H10" s="17">
        <f t="shared" si="3"/>
        <v>25</v>
      </c>
      <c r="I10" t="str">
        <f t="shared" si="4"/>
        <v>No</v>
      </c>
      <c r="J10" s="2">
        <f t="shared" si="5"/>
        <v>44941</v>
      </c>
      <c r="K10" t="s">
        <v>646</v>
      </c>
      <c r="L10" t="s">
        <v>651</v>
      </c>
      <c r="M10" t="s">
        <v>669</v>
      </c>
      <c r="N10" t="str">
        <f t="shared" si="6"/>
        <v>Africa - Nigeria - Abuja</v>
      </c>
      <c r="O10" t="s">
        <v>703</v>
      </c>
      <c r="P10" t="s">
        <v>709</v>
      </c>
      <c r="Q10" t="s">
        <v>719</v>
      </c>
      <c r="R10" t="s">
        <v>732</v>
      </c>
      <c r="S10" t="s">
        <v>742</v>
      </c>
      <c r="T10" s="6">
        <v>1295.3399999999999</v>
      </c>
      <c r="U10" s="8">
        <v>2530.81</v>
      </c>
      <c r="V10" s="8">
        <f t="shared" si="7"/>
        <v>2530.81</v>
      </c>
      <c r="W10" s="8" t="str">
        <f t="shared" si="8"/>
        <v>High</v>
      </c>
      <c r="X10" s="15">
        <v>3.1E-2</v>
      </c>
      <c r="Y10" s="15">
        <f t="shared" si="0"/>
        <v>3.1E-2</v>
      </c>
      <c r="Z10" t="str">
        <f t="shared" si="9"/>
        <v>No</v>
      </c>
      <c r="AA10" s="17">
        <v>6</v>
      </c>
      <c r="AB10" s="8">
        <f t="shared" si="10"/>
        <v>14714.12934</v>
      </c>
      <c r="AC10" s="8">
        <f t="shared" si="11"/>
        <v>7772.0399999999991</v>
      </c>
      <c r="AD10" s="8">
        <f t="shared" si="12"/>
        <v>6942.0893400000004</v>
      </c>
      <c r="AE10" s="15">
        <f t="shared" si="13"/>
        <v>0.4717974933880798</v>
      </c>
      <c r="AF10" s="34">
        <f>MIN(Y10,'Scenario Modeling'!$B$2)</f>
        <v>3.1E-2</v>
      </c>
      <c r="AG10">
        <f>ROUND(AA10 * (1 + 'Scenario Modeling'!$B$4), 0)</f>
        <v>6</v>
      </c>
      <c r="AH10">
        <f>T10 * (1 + 'Scenario Modeling'!$B$3)</f>
        <v>1295.3399999999999</v>
      </c>
      <c r="AI10" s="8">
        <f t="shared" si="14"/>
        <v>14714.12934</v>
      </c>
      <c r="AJ10" s="8">
        <f t="shared" si="15"/>
        <v>6942.0893400000004</v>
      </c>
    </row>
    <row r="11" spans="1:36">
      <c r="A11" t="s">
        <v>24</v>
      </c>
      <c r="B11" s="4">
        <v>45798</v>
      </c>
      <c r="C11" s="28">
        <v>45798</v>
      </c>
      <c r="D11" s="28" t="str">
        <f t="shared" si="1"/>
        <v>Q2-2025</v>
      </c>
      <c r="E11" s="4">
        <v>45817</v>
      </c>
      <c r="F11" s="4">
        <v>45817</v>
      </c>
      <c r="G11" s="17">
        <f t="shared" si="2"/>
        <v>19</v>
      </c>
      <c r="H11" s="17">
        <f t="shared" si="3"/>
        <v>19</v>
      </c>
      <c r="I11" t="str">
        <f t="shared" si="4"/>
        <v>No</v>
      </c>
      <c r="J11" s="2">
        <f t="shared" si="5"/>
        <v>44955</v>
      </c>
      <c r="K11" t="s">
        <v>648</v>
      </c>
      <c r="L11" t="s">
        <v>655</v>
      </c>
      <c r="M11" t="s">
        <v>670</v>
      </c>
      <c r="N11" t="str">
        <f t="shared" si="6"/>
        <v>Americas - Brazil - São Paulo</v>
      </c>
      <c r="O11" t="s">
        <v>703</v>
      </c>
      <c r="P11" t="s">
        <v>708</v>
      </c>
      <c r="Q11" t="s">
        <v>720</v>
      </c>
      <c r="R11" t="s">
        <v>727</v>
      </c>
      <c r="S11" t="s">
        <v>743</v>
      </c>
      <c r="T11" s="6">
        <v>1331.38</v>
      </c>
      <c r="U11" s="8">
        <v>2309.56</v>
      </c>
      <c r="V11" s="8">
        <f t="shared" si="7"/>
        <v>2309.56</v>
      </c>
      <c r="W11" s="8" t="str">
        <f t="shared" si="8"/>
        <v>High</v>
      </c>
      <c r="X11" s="15">
        <v>0.14899999999999999</v>
      </c>
      <c r="Y11" s="15">
        <f t="shared" si="0"/>
        <v>0.14899999999999999</v>
      </c>
      <c r="Z11" t="str">
        <f t="shared" si="9"/>
        <v>No</v>
      </c>
      <c r="AA11" s="17">
        <v>31</v>
      </c>
      <c r="AB11" s="8">
        <f t="shared" si="10"/>
        <v>60928.502359999999</v>
      </c>
      <c r="AC11" s="8">
        <f t="shared" si="11"/>
        <v>41272.780000000006</v>
      </c>
      <c r="AD11" s="8">
        <f t="shared" si="12"/>
        <v>19655.722359999992</v>
      </c>
      <c r="AE11" s="15">
        <f t="shared" si="13"/>
        <v>0.32260307735553528</v>
      </c>
      <c r="AF11" s="34">
        <f>MIN(Y11,'Scenario Modeling'!$B$2)</f>
        <v>0.14899999999999999</v>
      </c>
      <c r="AG11">
        <f>ROUND(AA11 * (1 + 'Scenario Modeling'!$B$4), 0)</f>
        <v>31</v>
      </c>
      <c r="AH11">
        <f>T11 * (1 + 'Scenario Modeling'!$B$3)</f>
        <v>1331.38</v>
      </c>
      <c r="AI11" s="8">
        <f t="shared" si="14"/>
        <v>60928.502359999999</v>
      </c>
      <c r="AJ11" s="8">
        <f t="shared" si="15"/>
        <v>19655.722359999992</v>
      </c>
    </row>
    <row r="12" spans="1:36">
      <c r="A12" t="s">
        <v>25</v>
      </c>
      <c r="B12" s="4">
        <v>45319</v>
      </c>
      <c r="C12" s="28">
        <v>45319</v>
      </c>
      <c r="D12" s="28" t="str">
        <f t="shared" si="1"/>
        <v>Q1-2024</v>
      </c>
      <c r="E12" s="4">
        <v>45331</v>
      </c>
      <c r="F12" s="4">
        <v>45331</v>
      </c>
      <c r="G12" s="17">
        <f t="shared" si="2"/>
        <v>12</v>
      </c>
      <c r="H12" s="17">
        <f t="shared" si="3"/>
        <v>12</v>
      </c>
      <c r="I12" t="str">
        <f t="shared" si="4"/>
        <v>No</v>
      </c>
      <c r="J12" s="2">
        <f t="shared" si="5"/>
        <v>44948</v>
      </c>
      <c r="K12" t="s">
        <v>649</v>
      </c>
      <c r="L12" t="s">
        <v>656</v>
      </c>
      <c r="M12" t="s">
        <v>671</v>
      </c>
      <c r="N12" t="str">
        <f t="shared" si="6"/>
        <v>Europe - Germany - Berlin</v>
      </c>
      <c r="O12" t="s">
        <v>701</v>
      </c>
      <c r="P12" t="s">
        <v>708</v>
      </c>
      <c r="Q12" t="s">
        <v>715</v>
      </c>
      <c r="R12" t="s">
        <v>733</v>
      </c>
      <c r="S12" t="s">
        <v>744</v>
      </c>
      <c r="T12" s="6">
        <v>644.16999999999996</v>
      </c>
      <c r="U12" s="8">
        <v>700.12</v>
      </c>
      <c r="V12" s="8">
        <f t="shared" si="7"/>
        <v>700.12</v>
      </c>
      <c r="W12" s="8" t="str">
        <f t="shared" si="8"/>
        <v>Low</v>
      </c>
      <c r="X12" s="15">
        <v>6.0000000000000001E-3</v>
      </c>
      <c r="Y12" s="15">
        <f t="shared" si="0"/>
        <v>6.0000000000000001E-3</v>
      </c>
      <c r="Z12" t="str">
        <f t="shared" si="9"/>
        <v>No</v>
      </c>
      <c r="AA12" s="17">
        <v>23</v>
      </c>
      <c r="AB12" s="8">
        <f t="shared" si="10"/>
        <v>16006.14344</v>
      </c>
      <c r="AC12" s="8">
        <f t="shared" si="11"/>
        <v>14815.91</v>
      </c>
      <c r="AD12" s="8">
        <f t="shared" si="12"/>
        <v>1190.23344</v>
      </c>
      <c r="AE12" s="15">
        <f t="shared" si="13"/>
        <v>7.436103796405813E-2</v>
      </c>
      <c r="AF12" s="34">
        <f>MIN(Y12,'Scenario Modeling'!$B$2)</f>
        <v>6.0000000000000001E-3</v>
      </c>
      <c r="AG12">
        <f>ROUND(AA12 * (1 + 'Scenario Modeling'!$B$4), 0)</f>
        <v>23</v>
      </c>
      <c r="AH12">
        <f>T12 * (1 + 'Scenario Modeling'!$B$3)</f>
        <v>644.16999999999996</v>
      </c>
      <c r="AI12" s="8">
        <f t="shared" si="14"/>
        <v>16006.14344</v>
      </c>
      <c r="AJ12" s="8">
        <f t="shared" si="15"/>
        <v>1190.23344</v>
      </c>
    </row>
    <row r="13" spans="1:36">
      <c r="A13" t="s">
        <v>26</v>
      </c>
      <c r="B13" s="4">
        <v>45660</v>
      </c>
      <c r="C13" s="28">
        <v>45660</v>
      </c>
      <c r="D13" s="28" t="str">
        <f t="shared" si="1"/>
        <v>Q1-2025</v>
      </c>
      <c r="E13" s="4">
        <v>45680</v>
      </c>
      <c r="F13" s="4">
        <v>45680</v>
      </c>
      <c r="G13" s="17">
        <f t="shared" si="2"/>
        <v>20</v>
      </c>
      <c r="H13" s="17">
        <f t="shared" si="3"/>
        <v>20</v>
      </c>
      <c r="I13" t="str">
        <f t="shared" si="4"/>
        <v>No</v>
      </c>
      <c r="J13" s="2">
        <f t="shared" si="5"/>
        <v>44988</v>
      </c>
      <c r="K13" t="s">
        <v>647</v>
      </c>
      <c r="L13" t="s">
        <v>652</v>
      </c>
      <c r="M13" t="s">
        <v>666</v>
      </c>
      <c r="N13" t="str">
        <f t="shared" si="6"/>
        <v>Asia - Japan - Osaka</v>
      </c>
      <c r="O13" t="s">
        <v>701</v>
      </c>
      <c r="P13" t="s">
        <v>710</v>
      </c>
      <c r="Q13" t="s">
        <v>721</v>
      </c>
      <c r="R13" t="s">
        <v>730</v>
      </c>
      <c r="S13" t="s">
        <v>745</v>
      </c>
      <c r="T13" s="6">
        <v>908.6</v>
      </c>
      <c r="U13" s="8">
        <v>691.37</v>
      </c>
      <c r="V13" s="8">
        <f t="shared" si="7"/>
        <v>691.37</v>
      </c>
      <c r="W13" s="8" t="str">
        <f t="shared" si="8"/>
        <v>Low</v>
      </c>
      <c r="X13" s="15">
        <v>0.25</v>
      </c>
      <c r="Y13" s="15">
        <f t="shared" si="0"/>
        <v>0.25</v>
      </c>
      <c r="Z13" t="str">
        <f t="shared" si="9"/>
        <v>Yes</v>
      </c>
      <c r="AA13" s="17">
        <v>20</v>
      </c>
      <c r="AB13" s="8">
        <f t="shared" si="10"/>
        <v>10370.549999999999</v>
      </c>
      <c r="AC13" s="8">
        <f t="shared" si="11"/>
        <v>18172</v>
      </c>
      <c r="AD13" s="8">
        <f t="shared" si="12"/>
        <v>-7801.4500000000007</v>
      </c>
      <c r="AE13" s="15">
        <f t="shared" si="13"/>
        <v>-0.75226964818645115</v>
      </c>
      <c r="AF13" s="34">
        <f>MIN(Y13,'Scenario Modeling'!$B$2)</f>
        <v>0.25</v>
      </c>
      <c r="AG13">
        <f>ROUND(AA13 * (1 + 'Scenario Modeling'!$B$4), 0)</f>
        <v>20</v>
      </c>
      <c r="AH13">
        <f>T13 * (1 + 'Scenario Modeling'!$B$3)</f>
        <v>908.6</v>
      </c>
      <c r="AI13" s="8">
        <f t="shared" si="14"/>
        <v>10370.549999999999</v>
      </c>
      <c r="AJ13" s="8">
        <f t="shared" si="15"/>
        <v>-7801.4500000000007</v>
      </c>
    </row>
    <row r="14" spans="1:36">
      <c r="A14" t="s">
        <v>27</v>
      </c>
      <c r="B14" s="4">
        <v>45722</v>
      </c>
      <c r="C14" s="28">
        <v>45722</v>
      </c>
      <c r="D14" s="28" t="str">
        <f t="shared" si="1"/>
        <v>Q1-2025</v>
      </c>
      <c r="E14" s="4">
        <v>45747</v>
      </c>
      <c r="F14" s="4">
        <v>45747</v>
      </c>
      <c r="G14" s="17">
        <f t="shared" si="2"/>
        <v>25</v>
      </c>
      <c r="H14" s="17">
        <f t="shared" si="3"/>
        <v>25</v>
      </c>
      <c r="I14" t="str">
        <f t="shared" si="4"/>
        <v>No</v>
      </c>
      <c r="J14" s="2">
        <f t="shared" si="5"/>
        <v>44955</v>
      </c>
      <c r="K14" t="s">
        <v>648</v>
      </c>
      <c r="L14" t="s">
        <v>655</v>
      </c>
      <c r="M14" t="s">
        <v>672</v>
      </c>
      <c r="N14" t="str">
        <f t="shared" si="6"/>
        <v>Americas - Brazil - Brasília</v>
      </c>
      <c r="O14" t="s">
        <v>703</v>
      </c>
      <c r="P14" t="s">
        <v>708</v>
      </c>
      <c r="Q14" t="s">
        <v>713</v>
      </c>
      <c r="R14" t="s">
        <v>727</v>
      </c>
      <c r="S14" t="s">
        <v>746</v>
      </c>
      <c r="T14" s="6">
        <v>331.57</v>
      </c>
      <c r="U14" s="8">
        <v>548.4</v>
      </c>
      <c r="V14" s="8">
        <f t="shared" si="7"/>
        <v>548.4</v>
      </c>
      <c r="W14" s="8" t="str">
        <f t="shared" si="8"/>
        <v>Low</v>
      </c>
      <c r="X14" s="15">
        <v>9.4E-2</v>
      </c>
      <c r="Y14" s="15">
        <f t="shared" si="0"/>
        <v>9.4E-2</v>
      </c>
      <c r="Z14" t="str">
        <f t="shared" si="9"/>
        <v>No</v>
      </c>
      <c r="AA14" s="17">
        <v>10</v>
      </c>
      <c r="AB14" s="8">
        <f t="shared" si="10"/>
        <v>4968.5039999999999</v>
      </c>
      <c r="AC14" s="8">
        <f t="shared" si="11"/>
        <v>3315.7</v>
      </c>
      <c r="AD14" s="8">
        <f t="shared" si="12"/>
        <v>1652.8040000000001</v>
      </c>
      <c r="AE14" s="15">
        <f t="shared" si="13"/>
        <v>0.33265626836568918</v>
      </c>
      <c r="AF14" s="34">
        <f>MIN(Y14,'Scenario Modeling'!$B$2)</f>
        <v>9.4E-2</v>
      </c>
      <c r="AG14">
        <f>ROUND(AA14 * (1 + 'Scenario Modeling'!$B$4), 0)</f>
        <v>10</v>
      </c>
      <c r="AH14">
        <f>T14 * (1 + 'Scenario Modeling'!$B$3)</f>
        <v>331.57</v>
      </c>
      <c r="AI14" s="8">
        <f t="shared" si="14"/>
        <v>4968.5039999999999</v>
      </c>
      <c r="AJ14" s="8">
        <f t="shared" si="15"/>
        <v>1652.8040000000001</v>
      </c>
    </row>
    <row r="15" spans="1:36">
      <c r="A15" t="s">
        <v>28</v>
      </c>
      <c r="B15" s="4">
        <v>45311</v>
      </c>
      <c r="C15" s="28">
        <v>45311</v>
      </c>
      <c r="D15" s="28" t="str">
        <f t="shared" si="1"/>
        <v>Q1-2024</v>
      </c>
      <c r="E15" s="4">
        <v>45335</v>
      </c>
      <c r="F15" s="4">
        <v>45335</v>
      </c>
      <c r="G15" s="17">
        <f t="shared" si="2"/>
        <v>24</v>
      </c>
      <c r="H15" s="17">
        <f t="shared" si="3"/>
        <v>24</v>
      </c>
      <c r="I15" t="str">
        <f t="shared" si="4"/>
        <v>No</v>
      </c>
      <c r="J15" s="2">
        <f t="shared" si="5"/>
        <v>44936</v>
      </c>
      <c r="K15" t="s">
        <v>649</v>
      </c>
      <c r="L15" t="s">
        <v>657</v>
      </c>
      <c r="M15" t="s">
        <v>673</v>
      </c>
      <c r="N15" t="str">
        <f t="shared" si="6"/>
        <v>Europe - France - Marseille</v>
      </c>
      <c r="O15" t="s">
        <v>701</v>
      </c>
      <c r="P15" t="s">
        <v>707</v>
      </c>
      <c r="Q15" t="s">
        <v>722</v>
      </c>
      <c r="R15" t="s">
        <v>728</v>
      </c>
      <c r="S15" t="s">
        <v>747</v>
      </c>
      <c r="T15" s="6">
        <v>643.53</v>
      </c>
      <c r="U15" s="8">
        <v>1439.01</v>
      </c>
      <c r="V15" s="8">
        <f t="shared" si="7"/>
        <v>1439.01</v>
      </c>
      <c r="W15" s="8" t="str">
        <f t="shared" si="8"/>
        <v>Medium</v>
      </c>
      <c r="X15" s="15">
        <v>0</v>
      </c>
      <c r="Y15" s="15">
        <f t="shared" si="0"/>
        <v>0</v>
      </c>
      <c r="Z15" t="str">
        <f t="shared" si="9"/>
        <v>No</v>
      </c>
      <c r="AA15" s="17">
        <v>15</v>
      </c>
      <c r="AB15" s="8">
        <f t="shared" si="10"/>
        <v>21585.15</v>
      </c>
      <c r="AC15" s="8">
        <f t="shared" si="11"/>
        <v>9652.9499999999989</v>
      </c>
      <c r="AD15" s="8">
        <f t="shared" si="12"/>
        <v>11932.200000000003</v>
      </c>
      <c r="AE15" s="15">
        <f t="shared" si="13"/>
        <v>0.55279671440782208</v>
      </c>
      <c r="AF15" s="34">
        <f>MIN(Y15,'Scenario Modeling'!$B$2)</f>
        <v>0</v>
      </c>
      <c r="AG15">
        <f>ROUND(AA15 * (1 + 'Scenario Modeling'!$B$4), 0)</f>
        <v>15</v>
      </c>
      <c r="AH15">
        <f>T15 * (1 + 'Scenario Modeling'!$B$3)</f>
        <v>643.53</v>
      </c>
      <c r="AI15" s="8">
        <f t="shared" si="14"/>
        <v>21585.15</v>
      </c>
      <c r="AJ15" s="8">
        <f t="shared" si="15"/>
        <v>11932.200000000003</v>
      </c>
    </row>
    <row r="16" spans="1:36">
      <c r="A16" t="s">
        <v>29</v>
      </c>
      <c r="B16" s="4">
        <v>45901</v>
      </c>
      <c r="C16" s="28">
        <v>45901</v>
      </c>
      <c r="D16" s="28" t="str">
        <f t="shared" si="1"/>
        <v>Q3-2025</v>
      </c>
      <c r="E16" s="4">
        <v>45930</v>
      </c>
      <c r="F16" s="4">
        <v>45930</v>
      </c>
      <c r="G16" s="17">
        <f t="shared" si="2"/>
        <v>29</v>
      </c>
      <c r="H16" s="17">
        <f t="shared" si="3"/>
        <v>29</v>
      </c>
      <c r="I16" t="str">
        <f t="shared" si="4"/>
        <v>No</v>
      </c>
      <c r="J16" s="2">
        <f t="shared" si="5"/>
        <v>44955</v>
      </c>
      <c r="K16" t="s">
        <v>648</v>
      </c>
      <c r="L16" t="s">
        <v>655</v>
      </c>
      <c r="M16" t="s">
        <v>672</v>
      </c>
      <c r="N16" t="str">
        <f t="shared" si="6"/>
        <v>Americas - Brazil - Brasília</v>
      </c>
      <c r="O16" t="s">
        <v>702</v>
      </c>
      <c r="P16" t="s">
        <v>707</v>
      </c>
      <c r="Q16" t="s">
        <v>723</v>
      </c>
      <c r="R16" t="s">
        <v>733</v>
      </c>
      <c r="S16" t="s">
        <v>748</v>
      </c>
      <c r="T16" s="6">
        <v>780.59</v>
      </c>
      <c r="U16" s="8">
        <v>631.57000000000005</v>
      </c>
      <c r="V16" s="8">
        <f t="shared" si="7"/>
        <v>631.57000000000005</v>
      </c>
      <c r="W16" s="8" t="str">
        <f t="shared" si="8"/>
        <v>Low</v>
      </c>
      <c r="X16" s="15">
        <v>0</v>
      </c>
      <c r="Y16" s="15">
        <f t="shared" si="0"/>
        <v>0</v>
      </c>
      <c r="Z16" t="str">
        <f t="shared" si="9"/>
        <v>No</v>
      </c>
      <c r="AA16" s="17">
        <v>12</v>
      </c>
      <c r="AB16" s="8">
        <f t="shared" si="10"/>
        <v>7578.84</v>
      </c>
      <c r="AC16" s="8">
        <f t="shared" si="11"/>
        <v>9367.08</v>
      </c>
      <c r="AD16" s="8">
        <f t="shared" si="12"/>
        <v>-1788.2399999999998</v>
      </c>
      <c r="AE16" s="15">
        <f t="shared" si="13"/>
        <v>-0.23595167598207639</v>
      </c>
      <c r="AF16" s="34">
        <f>MIN(Y16,'Scenario Modeling'!$B$2)</f>
        <v>0</v>
      </c>
      <c r="AG16">
        <f>ROUND(AA16 * (1 + 'Scenario Modeling'!$B$4), 0)</f>
        <v>12</v>
      </c>
      <c r="AH16">
        <f>T16 * (1 + 'Scenario Modeling'!$B$3)</f>
        <v>780.59</v>
      </c>
      <c r="AI16" s="8">
        <f t="shared" si="14"/>
        <v>7578.84</v>
      </c>
      <c r="AJ16" s="8">
        <f t="shared" si="15"/>
        <v>-1788.2399999999998</v>
      </c>
    </row>
    <row r="17" spans="1:36">
      <c r="A17" t="s">
        <v>30</v>
      </c>
      <c r="B17" s="4">
        <v>45039</v>
      </c>
      <c r="C17" s="28">
        <v>45039</v>
      </c>
      <c r="D17" s="28" t="str">
        <f t="shared" si="1"/>
        <v>Q2-2023</v>
      </c>
      <c r="E17" s="4">
        <v>45038</v>
      </c>
      <c r="F17" s="4">
        <f>B17+11</f>
        <v>45050</v>
      </c>
      <c r="G17" s="17">
        <f t="shared" si="2"/>
        <v>-1</v>
      </c>
      <c r="H17" s="17">
        <f t="shared" si="3"/>
        <v>11</v>
      </c>
      <c r="I17" t="str">
        <f t="shared" si="4"/>
        <v>No</v>
      </c>
      <c r="J17" s="2">
        <f t="shared" si="5"/>
        <v>44946</v>
      </c>
      <c r="K17" t="s">
        <v>646</v>
      </c>
      <c r="L17" t="s">
        <v>650</v>
      </c>
      <c r="M17" t="s">
        <v>664</v>
      </c>
      <c r="N17" t="str">
        <f t="shared" si="6"/>
        <v>Africa - Kenya - Nairobi</v>
      </c>
      <c r="O17" t="s">
        <v>705</v>
      </c>
      <c r="P17" t="s">
        <v>711</v>
      </c>
      <c r="Q17" t="s">
        <v>718</v>
      </c>
      <c r="R17" t="s">
        <v>731</v>
      </c>
      <c r="S17" t="s">
        <v>749</v>
      </c>
      <c r="T17" s="6">
        <v>756.51</v>
      </c>
      <c r="U17" s="8">
        <v>850.8</v>
      </c>
      <c r="V17" s="8">
        <f t="shared" si="7"/>
        <v>850.8</v>
      </c>
      <c r="W17" s="8" t="str">
        <f t="shared" si="8"/>
        <v>Medium</v>
      </c>
      <c r="X17" s="15">
        <v>7.3999999999999996E-2</v>
      </c>
      <c r="Y17" s="15">
        <f t="shared" si="0"/>
        <v>7.3999999999999996E-2</v>
      </c>
      <c r="Z17" t="str">
        <f t="shared" si="9"/>
        <v>No</v>
      </c>
      <c r="AA17" s="17">
        <v>9</v>
      </c>
      <c r="AB17" s="8">
        <f t="shared" si="10"/>
        <v>7090.5672000000004</v>
      </c>
      <c r="AC17" s="8">
        <f t="shared" si="11"/>
        <v>6808.59</v>
      </c>
      <c r="AD17" s="8">
        <f t="shared" si="12"/>
        <v>281.97720000000027</v>
      </c>
      <c r="AE17" s="15">
        <f t="shared" si="13"/>
        <v>3.9767932810791252E-2</v>
      </c>
      <c r="AF17" s="34">
        <f>MIN(Y17,'Scenario Modeling'!$B$2)</f>
        <v>7.3999999999999996E-2</v>
      </c>
      <c r="AG17">
        <f>ROUND(AA17 * (1 + 'Scenario Modeling'!$B$4), 0)</f>
        <v>9</v>
      </c>
      <c r="AH17">
        <f>T17 * (1 + 'Scenario Modeling'!$B$3)</f>
        <v>756.51</v>
      </c>
      <c r="AI17" s="8">
        <f t="shared" si="14"/>
        <v>7090.5672000000004</v>
      </c>
      <c r="AJ17" s="8">
        <f t="shared" si="15"/>
        <v>281.97720000000027</v>
      </c>
    </row>
    <row r="18" spans="1:36">
      <c r="A18" t="s">
        <v>31</v>
      </c>
      <c r="B18" s="4">
        <v>45636</v>
      </c>
      <c r="C18" s="28">
        <v>45636</v>
      </c>
      <c r="D18" s="28" t="str">
        <f t="shared" si="1"/>
        <v>Q4-2024</v>
      </c>
      <c r="E18" s="4">
        <v>45665</v>
      </c>
      <c r="F18" s="4">
        <v>45665</v>
      </c>
      <c r="G18" s="17">
        <f t="shared" si="2"/>
        <v>29</v>
      </c>
      <c r="H18" s="17">
        <f t="shared" si="3"/>
        <v>29</v>
      </c>
      <c r="I18" t="str">
        <f t="shared" si="4"/>
        <v>No</v>
      </c>
      <c r="J18" s="2">
        <f t="shared" si="5"/>
        <v>44936</v>
      </c>
      <c r="K18" t="s">
        <v>649</v>
      </c>
      <c r="L18" t="s">
        <v>657</v>
      </c>
      <c r="M18" t="s">
        <v>673</v>
      </c>
      <c r="N18" t="str">
        <f t="shared" si="6"/>
        <v>Europe - France - Marseille</v>
      </c>
      <c r="O18" t="s">
        <v>705</v>
      </c>
      <c r="P18" t="s">
        <v>707</v>
      </c>
      <c r="Q18" t="s">
        <v>723</v>
      </c>
      <c r="R18" t="s">
        <v>728</v>
      </c>
      <c r="S18" t="s">
        <v>750</v>
      </c>
      <c r="T18" s="6">
        <v>891.08</v>
      </c>
      <c r="U18" s="8">
        <v>1040.0999999999999</v>
      </c>
      <c r="V18" s="8">
        <f t="shared" si="7"/>
        <v>1040.0999999999999</v>
      </c>
      <c r="W18" s="8" t="str">
        <f t="shared" si="8"/>
        <v>Medium</v>
      </c>
      <c r="X18" s="15">
        <v>0.109</v>
      </c>
      <c r="Y18" s="15">
        <f t="shared" si="0"/>
        <v>0.109</v>
      </c>
      <c r="Z18" t="str">
        <f t="shared" si="9"/>
        <v>No</v>
      </c>
      <c r="AA18" s="17">
        <v>28</v>
      </c>
      <c r="AB18" s="8">
        <f t="shared" si="10"/>
        <v>25948.414799999995</v>
      </c>
      <c r="AC18" s="8">
        <f t="shared" si="11"/>
        <v>24950.240000000002</v>
      </c>
      <c r="AD18" s="8">
        <f t="shared" si="12"/>
        <v>998.17479999999341</v>
      </c>
      <c r="AE18" s="15">
        <f t="shared" si="13"/>
        <v>3.8467660074556598E-2</v>
      </c>
      <c r="AF18" s="34">
        <f>MIN(Y18,'Scenario Modeling'!$B$2)</f>
        <v>0.109</v>
      </c>
      <c r="AG18">
        <f>ROUND(AA18 * (1 + 'Scenario Modeling'!$B$4), 0)</f>
        <v>28</v>
      </c>
      <c r="AH18">
        <f>T18 * (1 + 'Scenario Modeling'!$B$3)</f>
        <v>891.08</v>
      </c>
      <c r="AI18" s="8">
        <f t="shared" si="14"/>
        <v>25948.414799999995</v>
      </c>
      <c r="AJ18" s="8">
        <f t="shared" si="15"/>
        <v>998.17479999999341</v>
      </c>
    </row>
    <row r="19" spans="1:36">
      <c r="A19" t="s">
        <v>32</v>
      </c>
      <c r="B19" s="4">
        <v>45908</v>
      </c>
      <c r="C19" s="28">
        <v>45908</v>
      </c>
      <c r="D19" s="28" t="str">
        <f t="shared" si="1"/>
        <v>Q3-2025</v>
      </c>
      <c r="E19" s="4">
        <v>45916</v>
      </c>
      <c r="F19" s="4">
        <v>45916</v>
      </c>
      <c r="G19" s="17">
        <f t="shared" si="2"/>
        <v>8</v>
      </c>
      <c r="H19" s="17">
        <f t="shared" si="3"/>
        <v>8</v>
      </c>
      <c r="I19" t="str">
        <f t="shared" si="4"/>
        <v>No</v>
      </c>
      <c r="J19" s="2">
        <f t="shared" si="5"/>
        <v>44988</v>
      </c>
      <c r="K19" t="s">
        <v>647</v>
      </c>
      <c r="L19" t="s">
        <v>652</v>
      </c>
      <c r="M19" t="s">
        <v>666</v>
      </c>
      <c r="N19" t="str">
        <f t="shared" si="6"/>
        <v>Asia - Japan - Osaka</v>
      </c>
      <c r="O19" t="s">
        <v>701</v>
      </c>
      <c r="P19" t="s">
        <v>710</v>
      </c>
      <c r="Q19" t="s">
        <v>712</v>
      </c>
      <c r="R19" t="s">
        <v>730</v>
      </c>
      <c r="S19" t="s">
        <v>751</v>
      </c>
      <c r="T19" s="6">
        <v>1225.57</v>
      </c>
      <c r="U19" s="8">
        <v>2705.57</v>
      </c>
      <c r="V19" s="8">
        <f t="shared" si="7"/>
        <v>2705.57</v>
      </c>
      <c r="W19" s="8" t="str">
        <f t="shared" si="8"/>
        <v>High</v>
      </c>
      <c r="X19" s="15">
        <v>0.183</v>
      </c>
      <c r="Y19" s="15">
        <f t="shared" si="0"/>
        <v>0.183</v>
      </c>
      <c r="Z19" t="str">
        <f t="shared" si="9"/>
        <v>No</v>
      </c>
      <c r="AA19" s="17">
        <v>16</v>
      </c>
      <c r="AB19" s="8">
        <f t="shared" si="10"/>
        <v>35367.211040000002</v>
      </c>
      <c r="AC19" s="8">
        <f t="shared" si="11"/>
        <v>19609.12</v>
      </c>
      <c r="AD19" s="8">
        <f t="shared" si="12"/>
        <v>15758.091040000003</v>
      </c>
      <c r="AE19" s="15">
        <f t="shared" si="13"/>
        <v>0.44555650775453404</v>
      </c>
      <c r="AF19" s="34">
        <f>MIN(Y19,'Scenario Modeling'!$B$2)</f>
        <v>0.183</v>
      </c>
      <c r="AG19">
        <f>ROUND(AA19 * (1 + 'Scenario Modeling'!$B$4), 0)</f>
        <v>16</v>
      </c>
      <c r="AH19">
        <f>T19 * (1 + 'Scenario Modeling'!$B$3)</f>
        <v>1225.57</v>
      </c>
      <c r="AI19" s="8">
        <f t="shared" si="14"/>
        <v>35367.211040000002</v>
      </c>
      <c r="AJ19" s="8">
        <f t="shared" si="15"/>
        <v>15758.091040000003</v>
      </c>
    </row>
    <row r="20" spans="1:36">
      <c r="A20" t="s">
        <v>33</v>
      </c>
      <c r="B20" s="4">
        <v>45858</v>
      </c>
      <c r="C20" s="28">
        <v>45858</v>
      </c>
      <c r="D20" s="28" t="str">
        <f t="shared" si="1"/>
        <v>Q3-2025</v>
      </c>
      <c r="E20" s="4">
        <v>45874</v>
      </c>
      <c r="F20" s="4">
        <v>45874</v>
      </c>
      <c r="G20" s="17">
        <f t="shared" si="2"/>
        <v>16</v>
      </c>
      <c r="H20" s="17">
        <f t="shared" si="3"/>
        <v>16</v>
      </c>
      <c r="I20" t="str">
        <f t="shared" si="4"/>
        <v>No</v>
      </c>
      <c r="J20" s="2">
        <f t="shared" si="5"/>
        <v>44955</v>
      </c>
      <c r="K20" t="s">
        <v>648</v>
      </c>
      <c r="L20" t="s">
        <v>655</v>
      </c>
      <c r="M20" t="s">
        <v>672</v>
      </c>
      <c r="N20" t="str">
        <f t="shared" si="6"/>
        <v>Americas - Brazil - Brasília</v>
      </c>
      <c r="O20" t="s">
        <v>706</v>
      </c>
      <c r="P20" t="s">
        <v>709</v>
      </c>
      <c r="Q20" t="s">
        <v>715</v>
      </c>
      <c r="R20" t="s">
        <v>733</v>
      </c>
      <c r="S20" t="s">
        <v>752</v>
      </c>
      <c r="T20" s="6">
        <v>1068.17</v>
      </c>
      <c r="U20" s="8">
        <v>2375.37</v>
      </c>
      <c r="V20" s="8">
        <f t="shared" si="7"/>
        <v>2375.37</v>
      </c>
      <c r="W20" s="8" t="str">
        <f t="shared" si="8"/>
        <v>High</v>
      </c>
      <c r="X20" s="15">
        <v>0.109</v>
      </c>
      <c r="Y20" s="15">
        <f t="shared" si="0"/>
        <v>0.109</v>
      </c>
      <c r="Z20" t="str">
        <f t="shared" si="9"/>
        <v>No</v>
      </c>
      <c r="AA20" s="17">
        <v>18</v>
      </c>
      <c r="AB20" s="8">
        <f t="shared" si="10"/>
        <v>38096.18406</v>
      </c>
      <c r="AC20" s="8">
        <f t="shared" si="11"/>
        <v>19227.060000000001</v>
      </c>
      <c r="AD20" s="8">
        <f t="shared" si="12"/>
        <v>18869.124059999998</v>
      </c>
      <c r="AE20" s="15">
        <f t="shared" si="13"/>
        <v>0.49530220744108822</v>
      </c>
      <c r="AF20" s="34">
        <f>MIN(Y20,'Scenario Modeling'!$B$2)</f>
        <v>0.109</v>
      </c>
      <c r="AG20">
        <f>ROUND(AA20 * (1 + 'Scenario Modeling'!$B$4), 0)</f>
        <v>18</v>
      </c>
      <c r="AH20">
        <f>T20 * (1 + 'Scenario Modeling'!$B$3)</f>
        <v>1068.17</v>
      </c>
      <c r="AI20" s="8">
        <f t="shared" si="14"/>
        <v>38096.18406</v>
      </c>
      <c r="AJ20" s="8">
        <f t="shared" si="15"/>
        <v>18869.124059999998</v>
      </c>
    </row>
    <row r="21" spans="1:36">
      <c r="A21" t="s">
        <v>34</v>
      </c>
      <c r="B21" s="4">
        <v>45798</v>
      </c>
      <c r="C21" s="28">
        <v>45798</v>
      </c>
      <c r="D21" s="28" t="str">
        <f t="shared" si="1"/>
        <v>Q2-2025</v>
      </c>
      <c r="E21" s="4">
        <v>45796</v>
      </c>
      <c r="F21" s="4">
        <f>B21+11</f>
        <v>45809</v>
      </c>
      <c r="G21" s="17">
        <f t="shared" si="2"/>
        <v>-2</v>
      </c>
      <c r="H21" s="17">
        <f t="shared" si="3"/>
        <v>11</v>
      </c>
      <c r="I21" t="str">
        <f t="shared" si="4"/>
        <v>No</v>
      </c>
      <c r="J21" s="2">
        <f t="shared" si="5"/>
        <v>44945</v>
      </c>
      <c r="K21" t="s">
        <v>649</v>
      </c>
      <c r="L21" t="s">
        <v>658</v>
      </c>
      <c r="M21" t="s">
        <v>674</v>
      </c>
      <c r="N21" t="str">
        <f t="shared" si="6"/>
        <v>Europe - United Kingdom - Birmingham</v>
      </c>
      <c r="O21" t="s">
        <v>706</v>
      </c>
      <c r="P21" t="s">
        <v>708</v>
      </c>
      <c r="Q21" t="s">
        <v>724</v>
      </c>
      <c r="R21" t="s">
        <v>731</v>
      </c>
      <c r="S21" t="s">
        <v>753</v>
      </c>
      <c r="T21" s="6">
        <v>1015.16</v>
      </c>
      <c r="U21" s="8">
        <v>2148.14</v>
      </c>
      <c r="V21" s="8">
        <f t="shared" si="7"/>
        <v>2148.14</v>
      </c>
      <c r="W21" s="8" t="str">
        <f t="shared" si="8"/>
        <v>High</v>
      </c>
      <c r="X21" s="15">
        <v>3.7999999999999999E-2</v>
      </c>
      <c r="Y21" s="15">
        <f t="shared" si="0"/>
        <v>3.7999999999999999E-2</v>
      </c>
      <c r="Z21" t="str">
        <f t="shared" si="9"/>
        <v>No</v>
      </c>
      <c r="AA21" s="17">
        <v>19</v>
      </c>
      <c r="AB21" s="8">
        <f t="shared" si="10"/>
        <v>39263.702919999996</v>
      </c>
      <c r="AC21" s="8">
        <f t="shared" si="11"/>
        <v>19288.04</v>
      </c>
      <c r="AD21" s="8">
        <f t="shared" si="12"/>
        <v>19975.662919999995</v>
      </c>
      <c r="AE21" s="15">
        <f t="shared" si="13"/>
        <v>0.50875647059322227</v>
      </c>
      <c r="AF21" s="34">
        <f>MIN(Y21,'Scenario Modeling'!$B$2)</f>
        <v>3.7999999999999999E-2</v>
      </c>
      <c r="AG21">
        <f>ROUND(AA21 * (1 + 'Scenario Modeling'!$B$4), 0)</f>
        <v>19</v>
      </c>
      <c r="AH21">
        <f>T21 * (1 + 'Scenario Modeling'!$B$3)</f>
        <v>1015.16</v>
      </c>
      <c r="AI21" s="8">
        <f t="shared" si="14"/>
        <v>39263.702919999996</v>
      </c>
      <c r="AJ21" s="8">
        <f t="shared" si="15"/>
        <v>19975.662919999995</v>
      </c>
    </row>
    <row r="22" spans="1:36">
      <c r="A22" t="s">
        <v>35</v>
      </c>
      <c r="B22" s="4">
        <v>45498</v>
      </c>
      <c r="C22" s="28">
        <v>45498</v>
      </c>
      <c r="D22" s="28" t="str">
        <f t="shared" si="1"/>
        <v>Q3-2024</v>
      </c>
      <c r="E22" s="4">
        <v>45497</v>
      </c>
      <c r="F22" s="4">
        <f>B22+11</f>
        <v>45509</v>
      </c>
      <c r="G22" s="17">
        <f t="shared" si="2"/>
        <v>-1</v>
      </c>
      <c r="H22" s="17">
        <f t="shared" si="3"/>
        <v>11</v>
      </c>
      <c r="I22" t="str">
        <f t="shared" si="4"/>
        <v>No</v>
      </c>
      <c r="J22" s="2">
        <f t="shared" si="5"/>
        <v>44946</v>
      </c>
      <c r="K22" t="s">
        <v>646</v>
      </c>
      <c r="L22" t="s">
        <v>650</v>
      </c>
      <c r="M22" t="s">
        <v>675</v>
      </c>
      <c r="N22" t="str">
        <f t="shared" si="6"/>
        <v>Africa - Kenya - Mombasa</v>
      </c>
      <c r="O22" t="s">
        <v>703</v>
      </c>
      <c r="P22" t="s">
        <v>711</v>
      </c>
      <c r="Q22" t="s">
        <v>713</v>
      </c>
      <c r="R22" t="s">
        <v>731</v>
      </c>
      <c r="S22" t="s">
        <v>754</v>
      </c>
      <c r="T22" s="6">
        <v>1494.4</v>
      </c>
      <c r="U22" s="8">
        <v>3661.07</v>
      </c>
      <c r="V22" s="8">
        <f t="shared" si="7"/>
        <v>3661.07</v>
      </c>
      <c r="W22" s="8" t="str">
        <f t="shared" si="8"/>
        <v>High</v>
      </c>
      <c r="X22" s="15">
        <v>7.1999999999999995E-2</v>
      </c>
      <c r="Y22" s="15">
        <f t="shared" si="0"/>
        <v>7.1999999999999995E-2</v>
      </c>
      <c r="Z22" t="str">
        <f t="shared" si="9"/>
        <v>No</v>
      </c>
      <c r="AA22" s="17">
        <v>7</v>
      </c>
      <c r="AB22" s="8">
        <f t="shared" si="10"/>
        <v>23782.310720000001</v>
      </c>
      <c r="AC22" s="8">
        <f t="shared" si="11"/>
        <v>10460.800000000001</v>
      </c>
      <c r="AD22" s="8">
        <f t="shared" si="12"/>
        <v>13321.51072</v>
      </c>
      <c r="AE22" s="15">
        <f t="shared" si="13"/>
        <v>0.56014366630897339</v>
      </c>
      <c r="AF22" s="34">
        <f>MIN(Y22,'Scenario Modeling'!$B$2)</f>
        <v>7.1999999999999995E-2</v>
      </c>
      <c r="AG22">
        <f>ROUND(AA22 * (1 + 'Scenario Modeling'!$B$4), 0)</f>
        <v>7</v>
      </c>
      <c r="AH22">
        <f>T22 * (1 + 'Scenario Modeling'!$B$3)</f>
        <v>1494.4</v>
      </c>
      <c r="AI22" s="8">
        <f t="shared" si="14"/>
        <v>23782.310720000001</v>
      </c>
      <c r="AJ22" s="8">
        <f t="shared" si="15"/>
        <v>13321.51072</v>
      </c>
    </row>
    <row r="23" spans="1:36">
      <c r="A23" t="s">
        <v>36</v>
      </c>
      <c r="B23" s="4">
        <v>45057</v>
      </c>
      <c r="C23" s="28">
        <v>45057</v>
      </c>
      <c r="D23" s="28" t="str">
        <f t="shared" si="1"/>
        <v>Q2-2023</v>
      </c>
      <c r="E23" s="4">
        <v>45074</v>
      </c>
      <c r="F23" s="4">
        <v>45074</v>
      </c>
      <c r="G23" s="17">
        <f t="shared" si="2"/>
        <v>17</v>
      </c>
      <c r="H23" s="17">
        <f t="shared" si="3"/>
        <v>17</v>
      </c>
      <c r="I23" t="str">
        <f t="shared" si="4"/>
        <v>No</v>
      </c>
      <c r="J23" s="2">
        <f t="shared" si="5"/>
        <v>44938</v>
      </c>
      <c r="K23" t="s">
        <v>647</v>
      </c>
      <c r="L23" t="s">
        <v>659</v>
      </c>
      <c r="M23" t="s">
        <v>676</v>
      </c>
      <c r="N23" t="str">
        <f t="shared" si="6"/>
        <v>Asia - China - Shenzhen</v>
      </c>
      <c r="O23" t="s">
        <v>706</v>
      </c>
      <c r="P23" t="s">
        <v>709</v>
      </c>
      <c r="Q23" t="s">
        <v>718</v>
      </c>
      <c r="R23" t="s">
        <v>729</v>
      </c>
      <c r="S23" t="s">
        <v>755</v>
      </c>
      <c r="T23" s="6">
        <v>1331.19</v>
      </c>
      <c r="U23" s="8">
        <v>2903.09</v>
      </c>
      <c r="V23" s="8">
        <f t="shared" si="7"/>
        <v>2903.09</v>
      </c>
      <c r="W23" s="8" t="str">
        <f t="shared" si="8"/>
        <v>High</v>
      </c>
      <c r="X23" s="15">
        <v>0.14299999999999999</v>
      </c>
      <c r="Y23" s="15">
        <f t="shared" si="0"/>
        <v>0.14299999999999999</v>
      </c>
      <c r="Z23" t="str">
        <f t="shared" si="9"/>
        <v>No</v>
      </c>
      <c r="AA23" s="17">
        <v>8</v>
      </c>
      <c r="AB23" s="8">
        <f t="shared" si="10"/>
        <v>19903.585040000002</v>
      </c>
      <c r="AC23" s="8">
        <f t="shared" si="11"/>
        <v>10649.52</v>
      </c>
      <c r="AD23" s="8">
        <f t="shared" si="12"/>
        <v>9254.0650400000013</v>
      </c>
      <c r="AE23" s="15">
        <f t="shared" si="13"/>
        <v>0.46494463290920784</v>
      </c>
      <c r="AF23" s="34">
        <f>MIN(Y23,'Scenario Modeling'!$B$2)</f>
        <v>0.14299999999999999</v>
      </c>
      <c r="AG23">
        <f>ROUND(AA23 * (1 + 'Scenario Modeling'!$B$4), 0)</f>
        <v>8</v>
      </c>
      <c r="AH23">
        <f>T23 * (1 + 'Scenario Modeling'!$B$3)</f>
        <v>1331.19</v>
      </c>
      <c r="AI23" s="8">
        <f t="shared" si="14"/>
        <v>19903.585040000002</v>
      </c>
      <c r="AJ23" s="8">
        <f t="shared" si="15"/>
        <v>9254.0650400000013</v>
      </c>
    </row>
    <row r="24" spans="1:36">
      <c r="A24" t="s">
        <v>37</v>
      </c>
      <c r="B24" s="4">
        <v>45822</v>
      </c>
      <c r="C24" s="28">
        <v>45822</v>
      </c>
      <c r="D24" s="28" t="str">
        <f t="shared" si="1"/>
        <v>Q2-2025</v>
      </c>
      <c r="E24" s="4">
        <v>45837</v>
      </c>
      <c r="F24" s="4">
        <v>45837</v>
      </c>
      <c r="G24" s="17">
        <f t="shared" si="2"/>
        <v>15</v>
      </c>
      <c r="H24" s="17">
        <f t="shared" si="3"/>
        <v>15</v>
      </c>
      <c r="I24" t="str">
        <f t="shared" si="4"/>
        <v>No</v>
      </c>
      <c r="J24" s="2">
        <f t="shared" si="5"/>
        <v>44941</v>
      </c>
      <c r="K24" t="s">
        <v>646</v>
      </c>
      <c r="L24" t="s">
        <v>651</v>
      </c>
      <c r="M24" t="s">
        <v>663</v>
      </c>
      <c r="N24" t="str">
        <f t="shared" si="6"/>
        <v>Africa - Nigeria - Port Harcourt</v>
      </c>
      <c r="O24" t="s">
        <v>704</v>
      </c>
      <c r="P24" t="s">
        <v>709</v>
      </c>
      <c r="Q24" t="s">
        <v>724</v>
      </c>
      <c r="R24" t="s">
        <v>733</v>
      </c>
      <c r="S24" t="s">
        <v>756</v>
      </c>
      <c r="T24" s="6">
        <v>730.99</v>
      </c>
      <c r="U24" s="8">
        <v>1242.8399999999999</v>
      </c>
      <c r="V24" s="8">
        <f t="shared" si="7"/>
        <v>1242.8399999999999</v>
      </c>
      <c r="W24" s="8" t="str">
        <f t="shared" si="8"/>
        <v>Medium</v>
      </c>
      <c r="X24" s="15">
        <v>0.12</v>
      </c>
      <c r="Y24" s="15">
        <f t="shared" si="0"/>
        <v>0.12</v>
      </c>
      <c r="Z24" t="str">
        <f t="shared" si="9"/>
        <v>No</v>
      </c>
      <c r="AA24" s="17">
        <v>10</v>
      </c>
      <c r="AB24" s="8">
        <f t="shared" si="10"/>
        <v>10936.992</v>
      </c>
      <c r="AC24" s="8">
        <f t="shared" si="11"/>
        <v>7309.9</v>
      </c>
      <c r="AD24" s="8">
        <f t="shared" si="12"/>
        <v>3627.0920000000006</v>
      </c>
      <c r="AE24" s="15">
        <f t="shared" si="13"/>
        <v>0.33163524303574515</v>
      </c>
      <c r="AF24" s="34">
        <f>MIN(Y24,'Scenario Modeling'!$B$2)</f>
        <v>0.12</v>
      </c>
      <c r="AG24">
        <f>ROUND(AA24 * (1 + 'Scenario Modeling'!$B$4), 0)</f>
        <v>10</v>
      </c>
      <c r="AH24">
        <f>T24 * (1 + 'Scenario Modeling'!$B$3)</f>
        <v>730.99</v>
      </c>
      <c r="AI24" s="8">
        <f t="shared" si="14"/>
        <v>10936.992</v>
      </c>
      <c r="AJ24" s="8">
        <f t="shared" si="15"/>
        <v>3627.0920000000006</v>
      </c>
    </row>
    <row r="25" spans="1:36">
      <c r="A25" t="s">
        <v>38</v>
      </c>
      <c r="B25" s="4">
        <v>45430</v>
      </c>
      <c r="C25" s="28">
        <v>45430</v>
      </c>
      <c r="D25" s="28" t="str">
        <f t="shared" si="1"/>
        <v>Q2-2024</v>
      </c>
      <c r="E25" s="4">
        <v>45435</v>
      </c>
      <c r="F25" s="4">
        <v>45435</v>
      </c>
      <c r="G25" s="17">
        <f t="shared" si="2"/>
        <v>5</v>
      </c>
      <c r="H25" s="17">
        <f t="shared" si="3"/>
        <v>5</v>
      </c>
      <c r="I25" t="str">
        <f t="shared" si="4"/>
        <v>Yes</v>
      </c>
      <c r="J25" s="2">
        <f t="shared" si="5"/>
        <v>44939</v>
      </c>
      <c r="K25" t="s">
        <v>648</v>
      </c>
      <c r="L25" t="s">
        <v>660</v>
      </c>
      <c r="M25" t="s">
        <v>677</v>
      </c>
      <c r="N25" t="str">
        <f t="shared" si="6"/>
        <v>Americas - USA - Chicago</v>
      </c>
      <c r="O25" t="s">
        <v>706</v>
      </c>
      <c r="P25" t="s">
        <v>707</v>
      </c>
      <c r="Q25" t="s">
        <v>722</v>
      </c>
      <c r="R25" t="s">
        <v>731</v>
      </c>
      <c r="S25" t="s">
        <v>757</v>
      </c>
      <c r="T25" s="6">
        <v>1274.5899999999999</v>
      </c>
      <c r="U25" s="8">
        <v>2553.69</v>
      </c>
      <c r="V25" s="8">
        <f t="shared" si="7"/>
        <v>2553.69</v>
      </c>
      <c r="W25" s="8" t="str">
        <f t="shared" si="8"/>
        <v>High</v>
      </c>
      <c r="X25" s="15">
        <v>0.01</v>
      </c>
      <c r="Y25" s="15">
        <f t="shared" si="0"/>
        <v>0.01</v>
      </c>
      <c r="Z25" t="str">
        <f t="shared" si="9"/>
        <v>No</v>
      </c>
      <c r="AA25" s="17">
        <v>8</v>
      </c>
      <c r="AB25" s="8">
        <f t="shared" si="10"/>
        <v>20225.2248</v>
      </c>
      <c r="AC25" s="8">
        <f t="shared" si="11"/>
        <v>10196.719999999999</v>
      </c>
      <c r="AD25" s="8">
        <f t="shared" si="12"/>
        <v>10028.504800000001</v>
      </c>
      <c r="AE25" s="15">
        <f t="shared" si="13"/>
        <v>0.49584145042481803</v>
      </c>
      <c r="AF25" s="34">
        <f>MIN(Y25,'Scenario Modeling'!$B$2)</f>
        <v>0.01</v>
      </c>
      <c r="AG25">
        <f>ROUND(AA25 * (1 + 'Scenario Modeling'!$B$4), 0)</f>
        <v>8</v>
      </c>
      <c r="AH25">
        <f>T25 * (1 + 'Scenario Modeling'!$B$3)</f>
        <v>1274.5899999999999</v>
      </c>
      <c r="AI25" s="8">
        <f t="shared" si="14"/>
        <v>20225.2248</v>
      </c>
      <c r="AJ25" s="8">
        <f t="shared" si="15"/>
        <v>10028.504800000001</v>
      </c>
    </row>
    <row r="26" spans="1:36">
      <c r="A26" t="s">
        <v>39</v>
      </c>
      <c r="B26" s="4">
        <v>44964</v>
      </c>
      <c r="C26" s="28">
        <v>44964</v>
      </c>
      <c r="D26" s="28" t="str">
        <f t="shared" si="1"/>
        <v>Q1-2023</v>
      </c>
      <c r="E26" s="4">
        <v>44969</v>
      </c>
      <c r="F26" s="4">
        <v>44969</v>
      </c>
      <c r="G26" s="17">
        <f t="shared" si="2"/>
        <v>5</v>
      </c>
      <c r="H26" s="17">
        <f t="shared" si="3"/>
        <v>5</v>
      </c>
      <c r="I26" t="str">
        <f t="shared" si="4"/>
        <v>Yes</v>
      </c>
      <c r="J26" s="2">
        <f t="shared" si="5"/>
        <v>44955</v>
      </c>
      <c r="K26" t="s">
        <v>648</v>
      </c>
      <c r="L26" t="s">
        <v>655</v>
      </c>
      <c r="M26" t="s">
        <v>670</v>
      </c>
      <c r="N26" t="str">
        <f t="shared" si="6"/>
        <v>Americas - Brazil - São Paulo</v>
      </c>
      <c r="O26" t="s">
        <v>702</v>
      </c>
      <c r="P26" t="s">
        <v>708</v>
      </c>
      <c r="Q26" t="s">
        <v>725</v>
      </c>
      <c r="R26" t="s">
        <v>727</v>
      </c>
      <c r="S26" t="s">
        <v>758</v>
      </c>
      <c r="T26" s="6">
        <v>948.55</v>
      </c>
      <c r="U26" s="8">
        <v>2089.16</v>
      </c>
      <c r="V26" s="8">
        <f t="shared" si="7"/>
        <v>2089.16</v>
      </c>
      <c r="W26" s="8" t="str">
        <f t="shared" si="8"/>
        <v>High</v>
      </c>
      <c r="X26" s="15">
        <v>7.0000000000000001E-3</v>
      </c>
      <c r="Y26" s="15">
        <f t="shared" si="0"/>
        <v>7.0000000000000001E-3</v>
      </c>
      <c r="Z26" t="str">
        <f t="shared" si="9"/>
        <v>No</v>
      </c>
      <c r="AA26" s="17">
        <v>12</v>
      </c>
      <c r="AB26" s="8">
        <f t="shared" si="10"/>
        <v>24894.430559999997</v>
      </c>
      <c r="AC26" s="8">
        <f t="shared" si="11"/>
        <v>11382.599999999999</v>
      </c>
      <c r="AD26" s="8">
        <f t="shared" si="12"/>
        <v>13511.830559999999</v>
      </c>
      <c r="AE26" s="15">
        <f t="shared" si="13"/>
        <v>0.54276519912492427</v>
      </c>
      <c r="AF26" s="34">
        <f>MIN(Y26,'Scenario Modeling'!$B$2)</f>
        <v>7.0000000000000001E-3</v>
      </c>
      <c r="AG26">
        <f>ROUND(AA26 * (1 + 'Scenario Modeling'!$B$4), 0)</f>
        <v>12</v>
      </c>
      <c r="AH26">
        <f>T26 * (1 + 'Scenario Modeling'!$B$3)</f>
        <v>948.55</v>
      </c>
      <c r="AI26" s="8">
        <f t="shared" si="14"/>
        <v>24894.430559999997</v>
      </c>
      <c r="AJ26" s="8">
        <f t="shared" si="15"/>
        <v>13511.830559999999</v>
      </c>
    </row>
    <row r="27" spans="1:36">
      <c r="A27" t="s">
        <v>40</v>
      </c>
      <c r="B27" s="4">
        <v>45473</v>
      </c>
      <c r="C27" s="28">
        <v>45473</v>
      </c>
      <c r="D27" s="28" t="str">
        <f t="shared" si="1"/>
        <v>Q2-2024</v>
      </c>
      <c r="E27" s="4">
        <v>45487</v>
      </c>
      <c r="F27" s="4">
        <v>45487</v>
      </c>
      <c r="G27" s="17">
        <f t="shared" si="2"/>
        <v>14</v>
      </c>
      <c r="H27" s="17">
        <f t="shared" si="3"/>
        <v>14</v>
      </c>
      <c r="I27" t="str">
        <f t="shared" si="4"/>
        <v>No</v>
      </c>
      <c r="J27" s="2">
        <f t="shared" si="5"/>
        <v>44955</v>
      </c>
      <c r="K27" t="s">
        <v>648</v>
      </c>
      <c r="L27" t="s">
        <v>655</v>
      </c>
      <c r="M27" t="s">
        <v>672</v>
      </c>
      <c r="N27" t="str">
        <f t="shared" si="6"/>
        <v>Americas - Brazil - Brasília</v>
      </c>
      <c r="O27" t="s">
        <v>702</v>
      </c>
      <c r="P27" t="s">
        <v>707</v>
      </c>
      <c r="Q27" t="s">
        <v>712</v>
      </c>
      <c r="R27" t="s">
        <v>733</v>
      </c>
      <c r="S27" t="s">
        <v>759</v>
      </c>
      <c r="T27" s="6">
        <v>1491.85</v>
      </c>
      <c r="U27" s="8">
        <v>2583.02</v>
      </c>
      <c r="V27" s="8">
        <f t="shared" si="7"/>
        <v>2583.02</v>
      </c>
      <c r="W27" s="8" t="str">
        <f t="shared" si="8"/>
        <v>High</v>
      </c>
      <c r="X27" s="15">
        <v>0.16800000000000001</v>
      </c>
      <c r="Y27" s="15">
        <f t="shared" si="0"/>
        <v>0.16800000000000001</v>
      </c>
      <c r="Z27" t="str">
        <f t="shared" si="9"/>
        <v>No</v>
      </c>
      <c r="AA27" s="17">
        <v>4</v>
      </c>
      <c r="AB27" s="8">
        <f t="shared" si="10"/>
        <v>8596.2905599999995</v>
      </c>
      <c r="AC27" s="8">
        <f t="shared" si="11"/>
        <v>5967.4</v>
      </c>
      <c r="AD27" s="8">
        <f t="shared" si="12"/>
        <v>2628.8905599999998</v>
      </c>
      <c r="AE27" s="15">
        <f t="shared" si="13"/>
        <v>0.30581685689321325</v>
      </c>
      <c r="AF27" s="34">
        <f>MIN(Y27,'Scenario Modeling'!$B$2)</f>
        <v>0.16800000000000001</v>
      </c>
      <c r="AG27">
        <f>ROUND(AA27 * (1 + 'Scenario Modeling'!$B$4), 0)</f>
        <v>4</v>
      </c>
      <c r="AH27">
        <f>T27 * (1 + 'Scenario Modeling'!$B$3)</f>
        <v>1491.85</v>
      </c>
      <c r="AI27" s="8">
        <f t="shared" si="14"/>
        <v>8596.2905599999995</v>
      </c>
      <c r="AJ27" s="8">
        <f t="shared" si="15"/>
        <v>2628.8905599999998</v>
      </c>
    </row>
    <row r="28" spans="1:36">
      <c r="A28" t="s">
        <v>41</v>
      </c>
      <c r="B28" s="4">
        <v>45626</v>
      </c>
      <c r="C28" s="28">
        <v>45626</v>
      </c>
      <c r="D28" s="28" t="str">
        <f t="shared" si="1"/>
        <v>Q4-2024</v>
      </c>
      <c r="E28" s="4">
        <v>45656</v>
      </c>
      <c r="F28" s="4">
        <v>45656</v>
      </c>
      <c r="G28" s="17">
        <f t="shared" si="2"/>
        <v>30</v>
      </c>
      <c r="H28" s="17">
        <f t="shared" si="3"/>
        <v>30</v>
      </c>
      <c r="I28" t="str">
        <f t="shared" si="4"/>
        <v>No</v>
      </c>
      <c r="J28" s="2">
        <f t="shared" si="5"/>
        <v>44936</v>
      </c>
      <c r="K28" t="s">
        <v>649</v>
      </c>
      <c r="L28" t="s">
        <v>657</v>
      </c>
      <c r="M28" t="s">
        <v>673</v>
      </c>
      <c r="N28" t="str">
        <f t="shared" si="6"/>
        <v>Europe - France - Marseille</v>
      </c>
      <c r="O28" t="s">
        <v>704</v>
      </c>
      <c r="P28" t="s">
        <v>709</v>
      </c>
      <c r="Q28" t="s">
        <v>721</v>
      </c>
      <c r="R28" t="s">
        <v>728</v>
      </c>
      <c r="S28" t="s">
        <v>760</v>
      </c>
      <c r="T28" s="6">
        <v>117.64</v>
      </c>
      <c r="U28" s="8">
        <v>175.67</v>
      </c>
      <c r="V28" s="8">
        <f t="shared" si="7"/>
        <v>175.67</v>
      </c>
      <c r="W28" s="8" t="str">
        <f t="shared" si="8"/>
        <v>Low</v>
      </c>
      <c r="X28" s="15">
        <v>0</v>
      </c>
      <c r="Y28" s="15">
        <f t="shared" si="0"/>
        <v>0</v>
      </c>
      <c r="Z28" t="str">
        <f t="shared" si="9"/>
        <v>No</v>
      </c>
      <c r="AA28" s="17">
        <v>10</v>
      </c>
      <c r="AB28" s="8">
        <f t="shared" si="10"/>
        <v>1756.6999999999998</v>
      </c>
      <c r="AC28" s="8">
        <f t="shared" si="11"/>
        <v>1176.4000000000001</v>
      </c>
      <c r="AD28" s="8">
        <f t="shared" si="12"/>
        <v>580.29999999999973</v>
      </c>
      <c r="AE28" s="15">
        <f t="shared" si="13"/>
        <v>0.33033528775545046</v>
      </c>
      <c r="AF28" s="34">
        <f>MIN(Y28,'Scenario Modeling'!$B$2)</f>
        <v>0</v>
      </c>
      <c r="AG28">
        <f>ROUND(AA28 * (1 + 'Scenario Modeling'!$B$4), 0)</f>
        <v>10</v>
      </c>
      <c r="AH28">
        <f>T28 * (1 + 'Scenario Modeling'!$B$3)</f>
        <v>117.64</v>
      </c>
      <c r="AI28" s="8">
        <f t="shared" si="14"/>
        <v>1756.6999999999998</v>
      </c>
      <c r="AJ28" s="8">
        <f t="shared" si="15"/>
        <v>580.29999999999973</v>
      </c>
    </row>
    <row r="29" spans="1:36">
      <c r="A29" t="s">
        <v>42</v>
      </c>
      <c r="B29" s="4">
        <v>45492</v>
      </c>
      <c r="C29" s="28">
        <v>45492</v>
      </c>
      <c r="D29" s="28" t="str">
        <f t="shared" si="1"/>
        <v>Q3-2024</v>
      </c>
      <c r="E29" s="4">
        <v>45492</v>
      </c>
      <c r="F29" s="4">
        <v>45492</v>
      </c>
      <c r="G29" s="17">
        <f t="shared" si="2"/>
        <v>0</v>
      </c>
      <c r="H29" s="17">
        <f t="shared" si="3"/>
        <v>0</v>
      </c>
      <c r="I29" t="str">
        <f t="shared" si="4"/>
        <v>Yes</v>
      </c>
      <c r="J29" s="2">
        <f t="shared" si="5"/>
        <v>44946</v>
      </c>
      <c r="K29" t="s">
        <v>646</v>
      </c>
      <c r="L29" t="s">
        <v>650</v>
      </c>
      <c r="M29" t="s">
        <v>662</v>
      </c>
      <c r="N29" t="str">
        <f t="shared" si="6"/>
        <v>Africa - Kenya - Kisumu</v>
      </c>
      <c r="O29" t="s">
        <v>705</v>
      </c>
      <c r="P29" t="s">
        <v>707</v>
      </c>
      <c r="Q29" t="s">
        <v>720</v>
      </c>
      <c r="R29" t="s">
        <v>730</v>
      </c>
      <c r="S29" t="s">
        <v>761</v>
      </c>
      <c r="T29" s="6">
        <v>857.24</v>
      </c>
      <c r="U29" s="8">
        <v>758.23</v>
      </c>
      <c r="V29" s="8">
        <f t="shared" si="7"/>
        <v>758.23</v>
      </c>
      <c r="W29" s="8" t="str">
        <f t="shared" si="8"/>
        <v>Low</v>
      </c>
      <c r="X29" s="15">
        <v>0.125</v>
      </c>
      <c r="Y29" s="15">
        <f t="shared" si="0"/>
        <v>0.125</v>
      </c>
      <c r="Z29" t="str">
        <f t="shared" si="9"/>
        <v>No</v>
      </c>
      <c r="AA29" s="17">
        <v>6</v>
      </c>
      <c r="AB29" s="8">
        <f t="shared" si="10"/>
        <v>3980.7075</v>
      </c>
      <c r="AC29" s="8">
        <f t="shared" si="11"/>
        <v>5143.4400000000005</v>
      </c>
      <c r="AD29" s="8">
        <f t="shared" si="12"/>
        <v>-1162.7325000000005</v>
      </c>
      <c r="AE29" s="15">
        <f t="shared" si="13"/>
        <v>-0.29209192084572921</v>
      </c>
      <c r="AF29" s="34">
        <f>MIN(Y29,'Scenario Modeling'!$B$2)</f>
        <v>0.125</v>
      </c>
      <c r="AG29">
        <f>ROUND(AA29 * (1 + 'Scenario Modeling'!$B$4), 0)</f>
        <v>6</v>
      </c>
      <c r="AH29">
        <f>T29 * (1 + 'Scenario Modeling'!$B$3)</f>
        <v>857.24</v>
      </c>
      <c r="AI29" s="8">
        <f t="shared" si="14"/>
        <v>3980.7075</v>
      </c>
      <c r="AJ29" s="8">
        <f t="shared" si="15"/>
        <v>-1162.7325000000005</v>
      </c>
    </row>
    <row r="30" spans="1:36">
      <c r="A30" t="s">
        <v>43</v>
      </c>
      <c r="B30" s="4">
        <v>45030</v>
      </c>
      <c r="C30" s="28">
        <v>45030</v>
      </c>
      <c r="D30" s="28" t="str">
        <f t="shared" si="1"/>
        <v>Q2-2023</v>
      </c>
      <c r="E30" s="4">
        <v>45060</v>
      </c>
      <c r="F30" s="4">
        <v>45060</v>
      </c>
      <c r="G30" s="17">
        <f t="shared" si="2"/>
        <v>30</v>
      </c>
      <c r="H30" s="17">
        <f t="shared" si="3"/>
        <v>30</v>
      </c>
      <c r="I30" t="str">
        <f t="shared" si="4"/>
        <v>No</v>
      </c>
      <c r="J30" s="2">
        <f t="shared" si="5"/>
        <v>44946</v>
      </c>
      <c r="K30" t="s">
        <v>646</v>
      </c>
      <c r="L30" t="s">
        <v>650</v>
      </c>
      <c r="M30" t="s">
        <v>678</v>
      </c>
      <c r="N30" t="str">
        <f t="shared" si="6"/>
        <v>Africa - Kenya - Nakuru</v>
      </c>
      <c r="O30" t="s">
        <v>704</v>
      </c>
      <c r="P30" t="s">
        <v>709</v>
      </c>
      <c r="Q30" t="s">
        <v>724</v>
      </c>
      <c r="R30" t="s">
        <v>730</v>
      </c>
      <c r="S30" t="s">
        <v>762</v>
      </c>
      <c r="T30" s="6">
        <v>209.25</v>
      </c>
      <c r="U30" s="8">
        <v>434.8</v>
      </c>
      <c r="V30" s="8">
        <f t="shared" si="7"/>
        <v>434.8</v>
      </c>
      <c r="W30" s="8" t="str">
        <f t="shared" si="8"/>
        <v>Low</v>
      </c>
      <c r="X30" s="15">
        <v>0</v>
      </c>
      <c r="Y30" s="15">
        <f t="shared" si="0"/>
        <v>0</v>
      </c>
      <c r="Z30" t="str">
        <f t="shared" si="9"/>
        <v>No</v>
      </c>
      <c r="AA30" s="17">
        <v>9</v>
      </c>
      <c r="AB30" s="8">
        <f t="shared" si="10"/>
        <v>3913.2000000000003</v>
      </c>
      <c r="AC30" s="8">
        <f t="shared" si="11"/>
        <v>1883.25</v>
      </c>
      <c r="AD30" s="8">
        <f t="shared" si="12"/>
        <v>2029.9500000000003</v>
      </c>
      <c r="AE30" s="15">
        <f t="shared" si="13"/>
        <v>0.51874425022999082</v>
      </c>
      <c r="AF30" s="34">
        <f>MIN(Y30,'Scenario Modeling'!$B$2)</f>
        <v>0</v>
      </c>
      <c r="AG30">
        <f>ROUND(AA30 * (1 + 'Scenario Modeling'!$B$4), 0)</f>
        <v>9</v>
      </c>
      <c r="AH30">
        <f>T30 * (1 + 'Scenario Modeling'!$B$3)</f>
        <v>209.25</v>
      </c>
      <c r="AI30" s="8">
        <f t="shared" si="14"/>
        <v>3913.2000000000003</v>
      </c>
      <c r="AJ30" s="8">
        <f t="shared" si="15"/>
        <v>2029.9500000000003</v>
      </c>
    </row>
    <row r="31" spans="1:36">
      <c r="A31" t="s">
        <v>44</v>
      </c>
      <c r="B31" s="4">
        <v>45754</v>
      </c>
      <c r="C31" s="28">
        <v>45754</v>
      </c>
      <c r="D31" s="28" t="str">
        <f t="shared" si="1"/>
        <v>Q2-2025</v>
      </c>
      <c r="E31" s="4">
        <v>45758</v>
      </c>
      <c r="F31" s="4">
        <v>45758</v>
      </c>
      <c r="G31" s="17">
        <f t="shared" si="2"/>
        <v>4</v>
      </c>
      <c r="H31" s="17">
        <f t="shared" si="3"/>
        <v>4</v>
      </c>
      <c r="I31" t="str">
        <f t="shared" si="4"/>
        <v>Yes</v>
      </c>
      <c r="J31" s="2">
        <f t="shared" si="5"/>
        <v>44936</v>
      </c>
      <c r="K31" t="s">
        <v>649</v>
      </c>
      <c r="L31" t="s">
        <v>657</v>
      </c>
      <c r="M31" t="s">
        <v>679</v>
      </c>
      <c r="N31" t="str">
        <f t="shared" si="6"/>
        <v>Europe - France - Lyon</v>
      </c>
      <c r="O31" t="s">
        <v>702</v>
      </c>
      <c r="P31" t="s">
        <v>707</v>
      </c>
      <c r="Q31" t="s">
        <v>718</v>
      </c>
      <c r="R31" t="s">
        <v>729</v>
      </c>
      <c r="S31" t="s">
        <v>763</v>
      </c>
      <c r="T31" s="6">
        <v>754.77</v>
      </c>
      <c r="U31" s="8">
        <v>1666.18</v>
      </c>
      <c r="V31" s="8">
        <f t="shared" si="7"/>
        <v>1666.18</v>
      </c>
      <c r="W31" s="8" t="str">
        <f t="shared" si="8"/>
        <v>High</v>
      </c>
      <c r="X31" s="15">
        <v>0.13900000000000001</v>
      </c>
      <c r="Y31" s="15">
        <f t="shared" si="0"/>
        <v>0.13900000000000001</v>
      </c>
      <c r="Z31" t="str">
        <f t="shared" si="9"/>
        <v>No</v>
      </c>
      <c r="AA31" s="17">
        <v>14</v>
      </c>
      <c r="AB31" s="8">
        <f t="shared" si="10"/>
        <v>20084.133720000002</v>
      </c>
      <c r="AC31" s="8">
        <f t="shared" si="11"/>
        <v>10566.779999999999</v>
      </c>
      <c r="AD31" s="8">
        <f t="shared" si="12"/>
        <v>9517.3537200000028</v>
      </c>
      <c r="AE31" s="15">
        <f t="shared" si="13"/>
        <v>0.47387424584424653</v>
      </c>
      <c r="AF31" s="34">
        <f>MIN(Y31,'Scenario Modeling'!$B$2)</f>
        <v>0.13900000000000001</v>
      </c>
      <c r="AG31">
        <f>ROUND(AA31 * (1 + 'Scenario Modeling'!$B$4), 0)</f>
        <v>14</v>
      </c>
      <c r="AH31">
        <f>T31 * (1 + 'Scenario Modeling'!$B$3)</f>
        <v>754.77</v>
      </c>
      <c r="AI31" s="8">
        <f t="shared" si="14"/>
        <v>20084.133720000002</v>
      </c>
      <c r="AJ31" s="8">
        <f t="shared" si="15"/>
        <v>9517.3537200000028</v>
      </c>
    </row>
    <row r="32" spans="1:36">
      <c r="A32" t="s">
        <v>45</v>
      </c>
      <c r="B32" s="4">
        <v>45653</v>
      </c>
      <c r="C32" s="28">
        <v>45653</v>
      </c>
      <c r="D32" s="28" t="str">
        <f t="shared" si="1"/>
        <v>Q4-2024</v>
      </c>
      <c r="E32" s="4">
        <v>45672</v>
      </c>
      <c r="F32" s="4">
        <v>45672</v>
      </c>
      <c r="G32" s="17">
        <f t="shared" si="2"/>
        <v>19</v>
      </c>
      <c r="H32" s="17">
        <f t="shared" si="3"/>
        <v>19</v>
      </c>
      <c r="I32" t="str">
        <f t="shared" si="4"/>
        <v>No</v>
      </c>
      <c r="J32" s="2">
        <f t="shared" si="5"/>
        <v>44955</v>
      </c>
      <c r="K32" t="s">
        <v>647</v>
      </c>
      <c r="L32" t="s">
        <v>654</v>
      </c>
      <c r="M32" t="s">
        <v>680</v>
      </c>
      <c r="N32" t="str">
        <f t="shared" si="6"/>
        <v>Asia - India - Delhi</v>
      </c>
      <c r="O32" t="s">
        <v>703</v>
      </c>
      <c r="P32" t="s">
        <v>710</v>
      </c>
      <c r="Q32" t="s">
        <v>715</v>
      </c>
      <c r="R32" t="s">
        <v>727</v>
      </c>
      <c r="S32" t="s">
        <v>764</v>
      </c>
      <c r="T32" s="6">
        <v>495.59</v>
      </c>
      <c r="U32" s="8">
        <v>631.78</v>
      </c>
      <c r="V32" s="8">
        <f t="shared" si="7"/>
        <v>631.78</v>
      </c>
      <c r="W32" s="8" t="str">
        <f t="shared" si="8"/>
        <v>Low</v>
      </c>
      <c r="X32" s="15">
        <v>8.6999999999999994E-2</v>
      </c>
      <c r="Y32" s="15">
        <f t="shared" si="0"/>
        <v>8.6999999999999994E-2</v>
      </c>
      <c r="Z32" t="str">
        <f t="shared" si="9"/>
        <v>No</v>
      </c>
      <c r="AA32" s="17">
        <v>17</v>
      </c>
      <c r="AB32" s="8">
        <f t="shared" si="10"/>
        <v>9805.8573800000013</v>
      </c>
      <c r="AC32" s="8">
        <f t="shared" si="11"/>
        <v>8425.0299999999988</v>
      </c>
      <c r="AD32" s="8">
        <f t="shared" si="12"/>
        <v>1380.8273800000024</v>
      </c>
      <c r="AE32" s="15">
        <f t="shared" si="13"/>
        <v>0.14081658813601899</v>
      </c>
      <c r="AF32" s="34">
        <f>MIN(Y32,'Scenario Modeling'!$B$2)</f>
        <v>8.6999999999999994E-2</v>
      </c>
      <c r="AG32">
        <f>ROUND(AA32 * (1 + 'Scenario Modeling'!$B$4), 0)</f>
        <v>17</v>
      </c>
      <c r="AH32">
        <f>T32 * (1 + 'Scenario Modeling'!$B$3)</f>
        <v>495.59</v>
      </c>
      <c r="AI32" s="8">
        <f t="shared" si="14"/>
        <v>9805.8573800000013</v>
      </c>
      <c r="AJ32" s="8">
        <f t="shared" si="15"/>
        <v>1380.8273800000024</v>
      </c>
    </row>
    <row r="33" spans="1:36">
      <c r="A33" t="s">
        <v>46</v>
      </c>
      <c r="B33" s="4">
        <v>44980</v>
      </c>
      <c r="C33" s="28">
        <v>44980</v>
      </c>
      <c r="D33" s="28" t="str">
        <f t="shared" si="1"/>
        <v>Q1-2023</v>
      </c>
      <c r="E33" s="4">
        <v>45010</v>
      </c>
      <c r="F33" s="4">
        <v>45010</v>
      </c>
      <c r="G33" s="17">
        <f t="shared" si="2"/>
        <v>30</v>
      </c>
      <c r="H33" s="17">
        <f t="shared" si="3"/>
        <v>30</v>
      </c>
      <c r="I33" t="str">
        <f t="shared" si="4"/>
        <v>No</v>
      </c>
      <c r="J33" s="2">
        <f t="shared" si="5"/>
        <v>44928</v>
      </c>
      <c r="K33" t="s">
        <v>648</v>
      </c>
      <c r="L33" t="s">
        <v>653</v>
      </c>
      <c r="M33" t="s">
        <v>681</v>
      </c>
      <c r="N33" t="str">
        <f t="shared" si="6"/>
        <v>Americas - Canada - Montreal</v>
      </c>
      <c r="O33" t="s">
        <v>706</v>
      </c>
      <c r="P33" t="s">
        <v>708</v>
      </c>
      <c r="Q33" t="s">
        <v>726</v>
      </c>
      <c r="R33" t="s">
        <v>730</v>
      </c>
      <c r="S33" t="s">
        <v>765</v>
      </c>
      <c r="T33" s="6">
        <v>1242.6600000000001</v>
      </c>
      <c r="U33" s="8">
        <v>1794.07</v>
      </c>
      <c r="V33" s="8">
        <f t="shared" si="7"/>
        <v>1794.07</v>
      </c>
      <c r="W33" s="8" t="str">
        <f t="shared" si="8"/>
        <v>High</v>
      </c>
      <c r="X33" s="15">
        <v>8.8999999999999996E-2</v>
      </c>
      <c r="Y33" s="15">
        <f t="shared" si="0"/>
        <v>8.8999999999999996E-2</v>
      </c>
      <c r="Z33" t="str">
        <f t="shared" si="9"/>
        <v>No</v>
      </c>
      <c r="AA33" s="17">
        <v>16</v>
      </c>
      <c r="AB33" s="8">
        <f t="shared" si="10"/>
        <v>26150.364320000001</v>
      </c>
      <c r="AC33" s="8">
        <f t="shared" si="11"/>
        <v>19882.560000000001</v>
      </c>
      <c r="AD33" s="8">
        <f t="shared" si="12"/>
        <v>6267.8043199999993</v>
      </c>
      <c r="AE33" s="15">
        <f t="shared" si="13"/>
        <v>0.23968325042440553</v>
      </c>
      <c r="AF33" s="34">
        <f>MIN(Y33,'Scenario Modeling'!$B$2)</f>
        <v>8.8999999999999996E-2</v>
      </c>
      <c r="AG33">
        <f>ROUND(AA33 * (1 + 'Scenario Modeling'!$B$4), 0)</f>
        <v>16</v>
      </c>
      <c r="AH33">
        <f>T33 * (1 + 'Scenario Modeling'!$B$3)</f>
        <v>1242.6600000000001</v>
      </c>
      <c r="AI33" s="8">
        <f t="shared" si="14"/>
        <v>26150.364320000001</v>
      </c>
      <c r="AJ33" s="8">
        <f t="shared" si="15"/>
        <v>6267.8043199999993</v>
      </c>
    </row>
    <row r="34" spans="1:36">
      <c r="A34" t="s">
        <v>47</v>
      </c>
      <c r="B34" s="4">
        <v>45862</v>
      </c>
      <c r="C34" s="28">
        <v>45862</v>
      </c>
      <c r="D34" s="28" t="str">
        <f t="shared" si="1"/>
        <v>Q3-2025</v>
      </c>
      <c r="E34" s="4">
        <v>45875</v>
      </c>
      <c r="F34" s="4">
        <v>45875</v>
      </c>
      <c r="G34" s="17">
        <f t="shared" si="2"/>
        <v>13</v>
      </c>
      <c r="H34" s="17">
        <f t="shared" si="3"/>
        <v>13</v>
      </c>
      <c r="I34" t="str">
        <f t="shared" si="4"/>
        <v>No</v>
      </c>
      <c r="J34" s="2">
        <f t="shared" si="5"/>
        <v>44933</v>
      </c>
      <c r="K34" t="s">
        <v>646</v>
      </c>
      <c r="L34" t="s">
        <v>661</v>
      </c>
      <c r="M34" t="s">
        <v>682</v>
      </c>
      <c r="N34" t="str">
        <f t="shared" si="6"/>
        <v>Africa - South Africa - Johannesburg</v>
      </c>
      <c r="O34" t="s">
        <v>702</v>
      </c>
      <c r="P34" t="s">
        <v>709</v>
      </c>
      <c r="Q34" t="s">
        <v>726</v>
      </c>
      <c r="R34" t="s">
        <v>729</v>
      </c>
      <c r="S34" t="s">
        <v>766</v>
      </c>
      <c r="T34" s="6">
        <v>1463.9</v>
      </c>
      <c r="U34" s="8">
        <v>2633.02</v>
      </c>
      <c r="V34" s="8">
        <f t="shared" si="7"/>
        <v>2633.02</v>
      </c>
      <c r="W34" s="8" t="str">
        <f t="shared" si="8"/>
        <v>High</v>
      </c>
      <c r="X34" s="15">
        <v>8.4000000000000005E-2</v>
      </c>
      <c r="Y34" s="15">
        <f t="shared" ref="Y34:Y65" si="16">IF(X34&gt;30%,AVERAGEIF($X$2:$X$633,"&lt;30%"),X34)</f>
        <v>8.4000000000000005E-2</v>
      </c>
      <c r="Z34" t="str">
        <f t="shared" si="9"/>
        <v>No</v>
      </c>
      <c r="AA34" s="17">
        <v>4</v>
      </c>
      <c r="AB34" s="8">
        <f t="shared" si="10"/>
        <v>9647.3852800000004</v>
      </c>
      <c r="AC34" s="8">
        <f t="shared" si="11"/>
        <v>5855.6</v>
      </c>
      <c r="AD34" s="8">
        <f t="shared" si="12"/>
        <v>3791.7852800000001</v>
      </c>
      <c r="AE34" s="15">
        <f t="shared" si="13"/>
        <v>0.39303761277791527</v>
      </c>
      <c r="AF34" s="34">
        <f>MIN(Y34,'Scenario Modeling'!$B$2)</f>
        <v>8.4000000000000005E-2</v>
      </c>
      <c r="AG34">
        <f>ROUND(AA34 * (1 + 'Scenario Modeling'!$B$4), 0)</f>
        <v>4</v>
      </c>
      <c r="AH34">
        <f>T34 * (1 + 'Scenario Modeling'!$B$3)</f>
        <v>1463.9</v>
      </c>
      <c r="AI34" s="8">
        <f t="shared" si="14"/>
        <v>9647.3852800000004</v>
      </c>
      <c r="AJ34" s="8">
        <f t="shared" si="15"/>
        <v>3791.7852800000001</v>
      </c>
    </row>
    <row r="35" spans="1:36">
      <c r="A35" t="s">
        <v>48</v>
      </c>
      <c r="B35" s="4">
        <v>45400</v>
      </c>
      <c r="C35" s="28">
        <v>45400</v>
      </c>
      <c r="D35" s="28" t="str">
        <f t="shared" si="1"/>
        <v>Q2-2024</v>
      </c>
      <c r="E35" s="4">
        <v>45420</v>
      </c>
      <c r="F35" s="4">
        <v>45420</v>
      </c>
      <c r="G35" s="17">
        <f t="shared" si="2"/>
        <v>20</v>
      </c>
      <c r="H35" s="17">
        <f t="shared" si="3"/>
        <v>20</v>
      </c>
      <c r="I35" t="str">
        <f t="shared" si="4"/>
        <v>No</v>
      </c>
      <c r="J35" s="2">
        <f t="shared" si="5"/>
        <v>44945</v>
      </c>
      <c r="K35" t="s">
        <v>649</v>
      </c>
      <c r="L35" t="s">
        <v>658</v>
      </c>
      <c r="M35" t="s">
        <v>683</v>
      </c>
      <c r="N35" t="str">
        <f t="shared" si="6"/>
        <v>Europe - United Kingdom - London</v>
      </c>
      <c r="O35" t="s">
        <v>703</v>
      </c>
      <c r="P35" t="s">
        <v>711</v>
      </c>
      <c r="Q35" t="s">
        <v>726</v>
      </c>
      <c r="R35" t="s">
        <v>731</v>
      </c>
      <c r="S35" t="s">
        <v>767</v>
      </c>
      <c r="T35" s="6">
        <v>645.33000000000004</v>
      </c>
      <c r="U35" s="8">
        <v>1321.85</v>
      </c>
      <c r="V35" s="8">
        <f t="shared" si="7"/>
        <v>1321.85</v>
      </c>
      <c r="W35" s="8" t="str">
        <f t="shared" si="8"/>
        <v>Medium</v>
      </c>
      <c r="X35" s="15">
        <v>0</v>
      </c>
      <c r="Y35" s="15">
        <f t="shared" si="16"/>
        <v>0</v>
      </c>
      <c r="Z35" t="str">
        <f t="shared" si="9"/>
        <v>No</v>
      </c>
      <c r="AA35" s="17">
        <v>10</v>
      </c>
      <c r="AB35" s="8">
        <f t="shared" si="10"/>
        <v>13218.5</v>
      </c>
      <c r="AC35" s="8">
        <f t="shared" si="11"/>
        <v>6453.3</v>
      </c>
      <c r="AD35" s="8">
        <f t="shared" si="12"/>
        <v>6765.2</v>
      </c>
      <c r="AE35" s="15">
        <f t="shared" si="13"/>
        <v>0.51179785906116426</v>
      </c>
      <c r="AF35" s="34">
        <f>MIN(Y35,'Scenario Modeling'!$B$2)</f>
        <v>0</v>
      </c>
      <c r="AG35">
        <f>ROUND(AA35 * (1 + 'Scenario Modeling'!$B$4), 0)</f>
        <v>10</v>
      </c>
      <c r="AH35">
        <f>T35 * (1 + 'Scenario Modeling'!$B$3)</f>
        <v>645.33000000000004</v>
      </c>
      <c r="AI35" s="8">
        <f t="shared" si="14"/>
        <v>13218.5</v>
      </c>
      <c r="AJ35" s="8">
        <f t="shared" si="15"/>
        <v>6765.2</v>
      </c>
    </row>
    <row r="36" spans="1:36">
      <c r="A36" t="s">
        <v>49</v>
      </c>
      <c r="B36" s="4">
        <v>45527</v>
      </c>
      <c r="C36" s="28">
        <v>45527</v>
      </c>
      <c r="D36" s="28" t="str">
        <f t="shared" si="1"/>
        <v>Q3-2024</v>
      </c>
      <c r="E36" s="4">
        <v>45525</v>
      </c>
      <c r="F36" s="4">
        <f>B36+13</f>
        <v>45540</v>
      </c>
      <c r="G36" s="17">
        <f t="shared" si="2"/>
        <v>-2</v>
      </c>
      <c r="H36" s="17">
        <f t="shared" si="3"/>
        <v>13</v>
      </c>
      <c r="I36" t="str">
        <f t="shared" si="4"/>
        <v>No</v>
      </c>
      <c r="J36" s="2">
        <f t="shared" si="5"/>
        <v>44933</v>
      </c>
      <c r="K36" t="s">
        <v>646</v>
      </c>
      <c r="L36" t="s">
        <v>661</v>
      </c>
      <c r="M36" t="s">
        <v>682</v>
      </c>
      <c r="N36" t="str">
        <f t="shared" si="6"/>
        <v>Africa - South Africa - Johannesburg</v>
      </c>
      <c r="O36" t="s">
        <v>702</v>
      </c>
      <c r="P36" t="s">
        <v>707</v>
      </c>
      <c r="Q36" t="s">
        <v>718</v>
      </c>
      <c r="R36" t="s">
        <v>727</v>
      </c>
      <c r="S36" t="s">
        <v>768</v>
      </c>
      <c r="T36" s="6">
        <v>1432.52</v>
      </c>
      <c r="U36" s="8">
        <v>3036.87</v>
      </c>
      <c r="V36" s="8">
        <f t="shared" si="7"/>
        <v>3036.87</v>
      </c>
      <c r="W36" s="8" t="str">
        <f t="shared" si="8"/>
        <v>High</v>
      </c>
      <c r="X36" s="15">
        <v>0</v>
      </c>
      <c r="Y36" s="15">
        <f t="shared" si="16"/>
        <v>0</v>
      </c>
      <c r="Z36" t="str">
        <f t="shared" si="9"/>
        <v>No</v>
      </c>
      <c r="AA36" s="17">
        <v>9</v>
      </c>
      <c r="AB36" s="8">
        <f t="shared" si="10"/>
        <v>27331.829999999998</v>
      </c>
      <c r="AC36" s="8">
        <f t="shared" si="11"/>
        <v>12892.68</v>
      </c>
      <c r="AD36" s="8">
        <f t="shared" si="12"/>
        <v>14439.149999999998</v>
      </c>
      <c r="AE36" s="15">
        <f t="shared" si="13"/>
        <v>0.52829064135112791</v>
      </c>
      <c r="AF36" s="34">
        <f>MIN(Y36,'Scenario Modeling'!$B$2)</f>
        <v>0</v>
      </c>
      <c r="AG36">
        <f>ROUND(AA36 * (1 + 'Scenario Modeling'!$B$4), 0)</f>
        <v>9</v>
      </c>
      <c r="AH36">
        <f>T36 * (1 + 'Scenario Modeling'!$B$3)</f>
        <v>1432.52</v>
      </c>
      <c r="AI36" s="8">
        <f t="shared" si="14"/>
        <v>27331.829999999998</v>
      </c>
      <c r="AJ36" s="8">
        <f t="shared" si="15"/>
        <v>14439.149999999998</v>
      </c>
    </row>
    <row r="37" spans="1:36">
      <c r="A37" t="s">
        <v>50</v>
      </c>
      <c r="B37" s="4">
        <v>45012</v>
      </c>
      <c r="C37" s="28">
        <v>45012</v>
      </c>
      <c r="D37" s="28" t="str">
        <f t="shared" si="1"/>
        <v>Q1-2023</v>
      </c>
      <c r="E37" s="4">
        <v>45038</v>
      </c>
      <c r="F37" s="4">
        <v>45038</v>
      </c>
      <c r="G37" s="17">
        <f t="shared" si="2"/>
        <v>26</v>
      </c>
      <c r="H37" s="17">
        <f t="shared" si="3"/>
        <v>26</v>
      </c>
      <c r="I37" t="str">
        <f t="shared" si="4"/>
        <v>No</v>
      </c>
      <c r="J37" s="2">
        <f t="shared" si="5"/>
        <v>44955</v>
      </c>
      <c r="K37" t="s">
        <v>647</v>
      </c>
      <c r="L37" t="s">
        <v>654</v>
      </c>
      <c r="M37" t="s">
        <v>680</v>
      </c>
      <c r="N37" t="str">
        <f t="shared" si="6"/>
        <v>Asia - India - Delhi</v>
      </c>
      <c r="O37" t="s">
        <v>703</v>
      </c>
      <c r="P37" t="s">
        <v>709</v>
      </c>
      <c r="Q37" t="s">
        <v>713</v>
      </c>
      <c r="R37" t="s">
        <v>728</v>
      </c>
      <c r="S37" t="s">
        <v>769</v>
      </c>
      <c r="T37" s="6">
        <v>178.53</v>
      </c>
      <c r="U37" s="8">
        <v>199.37</v>
      </c>
      <c r="V37" s="8">
        <f t="shared" si="7"/>
        <v>199.37</v>
      </c>
      <c r="W37" s="8" t="str">
        <f t="shared" si="8"/>
        <v>Low</v>
      </c>
      <c r="X37" s="15">
        <v>0.10100000000000001</v>
      </c>
      <c r="Y37" s="15">
        <f t="shared" si="16"/>
        <v>0.10100000000000001</v>
      </c>
      <c r="Z37" t="str">
        <f t="shared" si="9"/>
        <v>No</v>
      </c>
      <c r="AA37" s="17">
        <v>37</v>
      </c>
      <c r="AB37" s="8">
        <f t="shared" si="10"/>
        <v>6631.6443100000006</v>
      </c>
      <c r="AC37" s="8">
        <f t="shared" si="11"/>
        <v>6605.61</v>
      </c>
      <c r="AD37" s="8">
        <f t="shared" si="12"/>
        <v>26.034310000000914</v>
      </c>
      <c r="AE37" s="15">
        <f t="shared" si="13"/>
        <v>3.9257699573457538E-3</v>
      </c>
      <c r="AF37" s="34">
        <f>MIN(Y37,'Scenario Modeling'!$B$2)</f>
        <v>0.10100000000000001</v>
      </c>
      <c r="AG37">
        <f>ROUND(AA37 * (1 + 'Scenario Modeling'!$B$4), 0)</f>
        <v>37</v>
      </c>
      <c r="AH37">
        <f>T37 * (1 + 'Scenario Modeling'!$B$3)</f>
        <v>178.53</v>
      </c>
      <c r="AI37" s="8">
        <f t="shared" si="14"/>
        <v>6631.6443100000006</v>
      </c>
      <c r="AJ37" s="8">
        <f t="shared" si="15"/>
        <v>26.034310000000914</v>
      </c>
    </row>
    <row r="38" spans="1:36">
      <c r="A38" t="s">
        <v>51</v>
      </c>
      <c r="B38" s="4">
        <v>45358</v>
      </c>
      <c r="C38" s="28">
        <v>45358</v>
      </c>
      <c r="D38" s="28" t="str">
        <f t="shared" si="1"/>
        <v>Q1-2024</v>
      </c>
      <c r="E38" s="4">
        <v>45376</v>
      </c>
      <c r="F38" s="4">
        <v>45376</v>
      </c>
      <c r="G38" s="17">
        <f t="shared" si="2"/>
        <v>18</v>
      </c>
      <c r="H38" s="17">
        <f t="shared" si="3"/>
        <v>18</v>
      </c>
      <c r="I38" t="str">
        <f t="shared" si="4"/>
        <v>No</v>
      </c>
      <c r="J38" s="2">
        <f t="shared" si="5"/>
        <v>44948</v>
      </c>
      <c r="K38" t="s">
        <v>649</v>
      </c>
      <c r="L38" t="s">
        <v>656</v>
      </c>
      <c r="M38" t="s">
        <v>684</v>
      </c>
      <c r="N38" t="str">
        <f t="shared" si="6"/>
        <v>Europe - Germany - Munich</v>
      </c>
      <c r="O38" t="s">
        <v>701</v>
      </c>
      <c r="P38" t="s">
        <v>708</v>
      </c>
      <c r="Q38" t="s">
        <v>717</v>
      </c>
      <c r="R38" t="s">
        <v>727</v>
      </c>
      <c r="S38" t="s">
        <v>770</v>
      </c>
      <c r="T38" s="6">
        <v>712.84</v>
      </c>
      <c r="U38" s="8">
        <v>927.51</v>
      </c>
      <c r="V38" s="8">
        <f t="shared" si="7"/>
        <v>927.51</v>
      </c>
      <c r="W38" s="8" t="str">
        <f t="shared" si="8"/>
        <v>Medium</v>
      </c>
      <c r="X38" s="15">
        <v>0.24299999999999999</v>
      </c>
      <c r="Y38" s="15">
        <f t="shared" si="16"/>
        <v>0.24299999999999999</v>
      </c>
      <c r="Z38" t="str">
        <f t="shared" si="9"/>
        <v>Yes</v>
      </c>
      <c r="AA38" s="17">
        <v>27</v>
      </c>
      <c r="AB38" s="8">
        <f t="shared" si="10"/>
        <v>18957.37689</v>
      </c>
      <c r="AC38" s="8">
        <f t="shared" si="11"/>
        <v>19246.68</v>
      </c>
      <c r="AD38" s="8">
        <f t="shared" si="12"/>
        <v>-289.30311000000074</v>
      </c>
      <c r="AE38" s="15">
        <f t="shared" si="13"/>
        <v>-1.5260714163076427E-2</v>
      </c>
      <c r="AF38" s="34">
        <f>MIN(Y38,'Scenario Modeling'!$B$2)</f>
        <v>0.24299999999999999</v>
      </c>
      <c r="AG38">
        <f>ROUND(AA38 * (1 + 'Scenario Modeling'!$B$4), 0)</f>
        <v>27</v>
      </c>
      <c r="AH38">
        <f>T38 * (1 + 'Scenario Modeling'!$B$3)</f>
        <v>712.84</v>
      </c>
      <c r="AI38" s="8">
        <f t="shared" si="14"/>
        <v>18957.37689</v>
      </c>
      <c r="AJ38" s="8">
        <f t="shared" si="15"/>
        <v>-289.30311000000074</v>
      </c>
    </row>
    <row r="39" spans="1:36">
      <c r="A39" t="s">
        <v>52</v>
      </c>
      <c r="B39" s="4">
        <v>45832</v>
      </c>
      <c r="C39" s="28">
        <v>45832</v>
      </c>
      <c r="D39" s="28" t="str">
        <f t="shared" si="1"/>
        <v>Q2-2025</v>
      </c>
      <c r="E39" s="4">
        <v>45848</v>
      </c>
      <c r="F39" s="4">
        <v>45848</v>
      </c>
      <c r="G39" s="17">
        <f t="shared" si="2"/>
        <v>16</v>
      </c>
      <c r="H39" s="17">
        <f t="shared" si="3"/>
        <v>16</v>
      </c>
      <c r="I39" t="str">
        <f t="shared" si="4"/>
        <v>No</v>
      </c>
      <c r="J39" s="2">
        <f t="shared" si="5"/>
        <v>44938</v>
      </c>
      <c r="K39" t="s">
        <v>647</v>
      </c>
      <c r="L39" t="s">
        <v>659</v>
      </c>
      <c r="M39" t="s">
        <v>685</v>
      </c>
      <c r="N39" t="str">
        <f t="shared" si="6"/>
        <v>Asia - China - Shanghai</v>
      </c>
      <c r="O39" t="s">
        <v>706</v>
      </c>
      <c r="P39" t="s">
        <v>711</v>
      </c>
      <c r="Q39" t="s">
        <v>725</v>
      </c>
      <c r="R39" t="s">
        <v>727</v>
      </c>
      <c r="S39" t="s">
        <v>771</v>
      </c>
      <c r="T39" s="6">
        <v>757.19</v>
      </c>
      <c r="U39" s="8">
        <v>1735.41</v>
      </c>
      <c r="V39" s="8">
        <f t="shared" si="7"/>
        <v>1735.41</v>
      </c>
      <c r="W39" s="8" t="str">
        <f t="shared" si="8"/>
        <v>High</v>
      </c>
      <c r="X39" s="15">
        <v>0.13600000000000001</v>
      </c>
      <c r="Y39" s="15">
        <f t="shared" si="16"/>
        <v>0.13600000000000001</v>
      </c>
      <c r="Z39" t="str">
        <f t="shared" si="9"/>
        <v>No</v>
      </c>
      <c r="AA39" s="17">
        <v>8</v>
      </c>
      <c r="AB39" s="8">
        <f t="shared" si="10"/>
        <v>11995.153920000001</v>
      </c>
      <c r="AC39" s="8">
        <f t="shared" si="11"/>
        <v>6057.52</v>
      </c>
      <c r="AD39" s="8">
        <f t="shared" si="12"/>
        <v>5937.6339200000002</v>
      </c>
      <c r="AE39" s="15">
        <f t="shared" si="13"/>
        <v>0.4950027285685718</v>
      </c>
      <c r="AF39" s="34">
        <f>MIN(Y39,'Scenario Modeling'!$B$2)</f>
        <v>0.13600000000000001</v>
      </c>
      <c r="AG39">
        <f>ROUND(AA39 * (1 + 'Scenario Modeling'!$B$4), 0)</f>
        <v>8</v>
      </c>
      <c r="AH39">
        <f>T39 * (1 + 'Scenario Modeling'!$B$3)</f>
        <v>757.19</v>
      </c>
      <c r="AI39" s="8">
        <f t="shared" si="14"/>
        <v>11995.153920000001</v>
      </c>
      <c r="AJ39" s="8">
        <f t="shared" si="15"/>
        <v>5937.6339200000002</v>
      </c>
    </row>
    <row r="40" spans="1:36">
      <c r="A40" t="s">
        <v>53</v>
      </c>
      <c r="B40" s="4">
        <v>45401</v>
      </c>
      <c r="C40" s="28">
        <v>45401</v>
      </c>
      <c r="D40" s="28" t="str">
        <f t="shared" si="1"/>
        <v>Q2-2024</v>
      </c>
      <c r="E40" s="4">
        <v>45418</v>
      </c>
      <c r="F40" s="4">
        <v>45418</v>
      </c>
      <c r="G40" s="17">
        <f t="shared" si="2"/>
        <v>17</v>
      </c>
      <c r="H40" s="17">
        <f t="shared" si="3"/>
        <v>17</v>
      </c>
      <c r="I40" t="str">
        <f t="shared" si="4"/>
        <v>No</v>
      </c>
      <c r="J40" s="2">
        <f t="shared" si="5"/>
        <v>44941</v>
      </c>
      <c r="K40" t="s">
        <v>646</v>
      </c>
      <c r="L40" t="s">
        <v>651</v>
      </c>
      <c r="M40" t="s">
        <v>663</v>
      </c>
      <c r="N40" t="str">
        <f t="shared" si="6"/>
        <v>Africa - Nigeria - Port Harcourt</v>
      </c>
      <c r="O40" t="s">
        <v>703</v>
      </c>
      <c r="P40" t="s">
        <v>708</v>
      </c>
      <c r="Q40" t="s">
        <v>720</v>
      </c>
      <c r="R40" t="s">
        <v>728</v>
      </c>
      <c r="S40" t="s">
        <v>772</v>
      </c>
      <c r="T40" s="6">
        <v>865.33</v>
      </c>
      <c r="U40" s="8">
        <v>1395.64</v>
      </c>
      <c r="V40" s="8">
        <f t="shared" si="7"/>
        <v>1395.64</v>
      </c>
      <c r="W40" s="8" t="str">
        <f t="shared" si="8"/>
        <v>Medium</v>
      </c>
      <c r="X40" s="15">
        <v>0.17499999999999999</v>
      </c>
      <c r="Y40" s="15">
        <f t="shared" si="16"/>
        <v>0.17499999999999999</v>
      </c>
      <c r="Z40" t="str">
        <f t="shared" si="9"/>
        <v>No</v>
      </c>
      <c r="AA40" s="17">
        <v>13</v>
      </c>
      <c r="AB40" s="8">
        <f t="shared" si="10"/>
        <v>14968.239</v>
      </c>
      <c r="AC40" s="8">
        <f t="shared" si="11"/>
        <v>11249.29</v>
      </c>
      <c r="AD40" s="8">
        <f t="shared" si="12"/>
        <v>3718.9489999999987</v>
      </c>
      <c r="AE40" s="15">
        <f t="shared" si="13"/>
        <v>0.24845601409758347</v>
      </c>
      <c r="AF40" s="34">
        <f>MIN(Y40,'Scenario Modeling'!$B$2)</f>
        <v>0.17499999999999999</v>
      </c>
      <c r="AG40">
        <f>ROUND(AA40 * (1 + 'Scenario Modeling'!$B$4), 0)</f>
        <v>13</v>
      </c>
      <c r="AH40">
        <f>T40 * (1 + 'Scenario Modeling'!$B$3)</f>
        <v>865.33</v>
      </c>
      <c r="AI40" s="8">
        <f t="shared" si="14"/>
        <v>14968.239</v>
      </c>
      <c r="AJ40" s="8">
        <f t="shared" si="15"/>
        <v>3718.9489999999987</v>
      </c>
    </row>
    <row r="41" spans="1:36">
      <c r="A41" t="s">
        <v>54</v>
      </c>
      <c r="B41" s="4">
        <v>45094</v>
      </c>
      <c r="C41" s="28">
        <v>45094</v>
      </c>
      <c r="D41" s="28" t="str">
        <f t="shared" si="1"/>
        <v>Q2-2023</v>
      </c>
      <c r="E41" s="4">
        <v>45101</v>
      </c>
      <c r="F41" s="4">
        <v>45101</v>
      </c>
      <c r="G41" s="17">
        <f t="shared" si="2"/>
        <v>7</v>
      </c>
      <c r="H41" s="17">
        <f t="shared" si="3"/>
        <v>7</v>
      </c>
      <c r="I41" t="str">
        <f t="shared" si="4"/>
        <v>Yes</v>
      </c>
      <c r="J41" s="2">
        <f t="shared" si="5"/>
        <v>44939</v>
      </c>
      <c r="K41" t="s">
        <v>648</v>
      </c>
      <c r="L41" t="s">
        <v>660</v>
      </c>
      <c r="M41" t="s">
        <v>686</v>
      </c>
      <c r="N41" t="str">
        <f t="shared" si="6"/>
        <v>Americas - USA - San Francisco</v>
      </c>
      <c r="O41" t="s">
        <v>701</v>
      </c>
      <c r="P41" t="s">
        <v>707</v>
      </c>
      <c r="Q41" t="s">
        <v>714</v>
      </c>
      <c r="R41" t="s">
        <v>728</v>
      </c>
      <c r="S41" t="s">
        <v>773</v>
      </c>
      <c r="T41" s="6">
        <v>313.99</v>
      </c>
      <c r="U41" s="8">
        <v>454.42</v>
      </c>
      <c r="V41" s="8">
        <f t="shared" si="7"/>
        <v>454.42</v>
      </c>
      <c r="W41" s="8" t="str">
        <f t="shared" si="8"/>
        <v>Low</v>
      </c>
      <c r="X41" s="15">
        <v>0.129</v>
      </c>
      <c r="Y41" s="15">
        <f t="shared" si="16"/>
        <v>0.129</v>
      </c>
      <c r="Z41" t="str">
        <f t="shared" si="9"/>
        <v>No</v>
      </c>
      <c r="AA41" s="17">
        <v>9</v>
      </c>
      <c r="AB41" s="8">
        <f t="shared" si="10"/>
        <v>3562.1983800000003</v>
      </c>
      <c r="AC41" s="8">
        <f t="shared" si="11"/>
        <v>2825.91</v>
      </c>
      <c r="AD41" s="8">
        <f t="shared" si="12"/>
        <v>736.28838000000042</v>
      </c>
      <c r="AE41" s="15">
        <f t="shared" si="13"/>
        <v>0.20669493988147858</v>
      </c>
      <c r="AF41" s="34">
        <f>MIN(Y41,'Scenario Modeling'!$B$2)</f>
        <v>0.129</v>
      </c>
      <c r="AG41">
        <f>ROUND(AA41 * (1 + 'Scenario Modeling'!$B$4), 0)</f>
        <v>9</v>
      </c>
      <c r="AH41">
        <f>T41 * (1 + 'Scenario Modeling'!$B$3)</f>
        <v>313.99</v>
      </c>
      <c r="AI41" s="8">
        <f t="shared" si="14"/>
        <v>3562.1983800000003</v>
      </c>
      <c r="AJ41" s="8">
        <f t="shared" si="15"/>
        <v>736.28838000000042</v>
      </c>
    </row>
    <row r="42" spans="1:36">
      <c r="A42" t="s">
        <v>55</v>
      </c>
      <c r="B42" s="4">
        <v>45531</v>
      </c>
      <c r="C42" s="28">
        <v>45531</v>
      </c>
      <c r="D42" s="28" t="str">
        <f t="shared" si="1"/>
        <v>Q3-2024</v>
      </c>
      <c r="E42" s="4">
        <v>45554</v>
      </c>
      <c r="F42" s="4">
        <v>45554</v>
      </c>
      <c r="G42" s="17">
        <f t="shared" si="2"/>
        <v>23</v>
      </c>
      <c r="H42" s="17">
        <f t="shared" si="3"/>
        <v>23</v>
      </c>
      <c r="I42" t="str">
        <f t="shared" si="4"/>
        <v>No</v>
      </c>
      <c r="J42" s="2">
        <f t="shared" si="5"/>
        <v>44948</v>
      </c>
      <c r="K42" t="s">
        <v>649</v>
      </c>
      <c r="L42" t="s">
        <v>656</v>
      </c>
      <c r="M42" t="s">
        <v>671</v>
      </c>
      <c r="N42" t="str">
        <f t="shared" si="6"/>
        <v>Europe - Germany - Berlin</v>
      </c>
      <c r="O42" t="s">
        <v>705</v>
      </c>
      <c r="P42" t="s">
        <v>711</v>
      </c>
      <c r="Q42" t="s">
        <v>726</v>
      </c>
      <c r="R42" t="s">
        <v>732</v>
      </c>
      <c r="S42" t="s">
        <v>774</v>
      </c>
      <c r="T42" s="6">
        <v>1024.01</v>
      </c>
      <c r="U42" s="8">
        <v>1580.97</v>
      </c>
      <c r="V42" s="8">
        <f t="shared" si="7"/>
        <v>1580.97</v>
      </c>
      <c r="W42" s="8" t="str">
        <f t="shared" si="8"/>
        <v>Medium</v>
      </c>
      <c r="X42" s="15">
        <v>3.6999999999999998E-2</v>
      </c>
      <c r="Y42" s="15">
        <f t="shared" si="16"/>
        <v>3.6999999999999998E-2</v>
      </c>
      <c r="Z42" t="str">
        <f t="shared" si="9"/>
        <v>No</v>
      </c>
      <c r="AA42" s="17">
        <v>27</v>
      </c>
      <c r="AB42" s="8">
        <f t="shared" si="10"/>
        <v>41106.800970000004</v>
      </c>
      <c r="AC42" s="8">
        <f t="shared" si="11"/>
        <v>27648.27</v>
      </c>
      <c r="AD42" s="8">
        <f t="shared" si="12"/>
        <v>13458.530970000003</v>
      </c>
      <c r="AE42" s="15">
        <f t="shared" si="13"/>
        <v>0.3274039976942531</v>
      </c>
      <c r="AF42" s="34">
        <f>MIN(Y42,'Scenario Modeling'!$B$2)</f>
        <v>3.6999999999999998E-2</v>
      </c>
      <c r="AG42">
        <f>ROUND(AA42 * (1 + 'Scenario Modeling'!$B$4), 0)</f>
        <v>27</v>
      </c>
      <c r="AH42">
        <f>T42 * (1 + 'Scenario Modeling'!$B$3)</f>
        <v>1024.01</v>
      </c>
      <c r="AI42" s="8">
        <f t="shared" si="14"/>
        <v>41106.800970000004</v>
      </c>
      <c r="AJ42" s="8">
        <f t="shared" si="15"/>
        <v>13458.530970000003</v>
      </c>
    </row>
    <row r="43" spans="1:36">
      <c r="A43" t="s">
        <v>56</v>
      </c>
      <c r="B43" s="4">
        <v>45302</v>
      </c>
      <c r="C43" s="28">
        <v>45302</v>
      </c>
      <c r="D43" s="28" t="str">
        <f t="shared" si="1"/>
        <v>Q1-2024</v>
      </c>
      <c r="E43" s="4">
        <v>45324</v>
      </c>
      <c r="F43" s="4">
        <v>45324</v>
      </c>
      <c r="G43" s="17">
        <f t="shared" si="2"/>
        <v>22</v>
      </c>
      <c r="H43" s="17">
        <f t="shared" si="3"/>
        <v>22</v>
      </c>
      <c r="I43" t="str">
        <f t="shared" si="4"/>
        <v>No</v>
      </c>
      <c r="J43" s="2">
        <f t="shared" si="5"/>
        <v>44933</v>
      </c>
      <c r="K43" t="s">
        <v>646</v>
      </c>
      <c r="L43" t="s">
        <v>661</v>
      </c>
      <c r="M43" t="s">
        <v>687</v>
      </c>
      <c r="N43" t="str">
        <f t="shared" si="6"/>
        <v>Africa - South Africa - Durban</v>
      </c>
      <c r="O43" t="s">
        <v>704</v>
      </c>
      <c r="P43" t="s">
        <v>708</v>
      </c>
      <c r="Q43" t="s">
        <v>723</v>
      </c>
      <c r="R43" t="s">
        <v>729</v>
      </c>
      <c r="S43" t="s">
        <v>775</v>
      </c>
      <c r="T43" s="6">
        <v>1206.2</v>
      </c>
      <c r="U43" s="8">
        <v>1759.79</v>
      </c>
      <c r="V43" s="8">
        <f t="shared" si="7"/>
        <v>1759.79</v>
      </c>
      <c r="W43" s="8" t="str">
        <f t="shared" si="8"/>
        <v>High</v>
      </c>
      <c r="X43" s="15">
        <v>0</v>
      </c>
      <c r="Y43" s="15">
        <f t="shared" si="16"/>
        <v>0</v>
      </c>
      <c r="Z43" t="str">
        <f t="shared" si="9"/>
        <v>No</v>
      </c>
      <c r="AA43" s="17">
        <v>6</v>
      </c>
      <c r="AB43" s="8">
        <f t="shared" si="10"/>
        <v>10558.74</v>
      </c>
      <c r="AC43" s="8">
        <f t="shared" si="11"/>
        <v>7237.2000000000007</v>
      </c>
      <c r="AD43" s="8">
        <f t="shared" si="12"/>
        <v>3321.5399999999991</v>
      </c>
      <c r="AE43" s="15">
        <f t="shared" si="13"/>
        <v>0.31457730751964713</v>
      </c>
      <c r="AF43" s="34">
        <f>MIN(Y43,'Scenario Modeling'!$B$2)</f>
        <v>0</v>
      </c>
      <c r="AG43">
        <f>ROUND(AA43 * (1 + 'Scenario Modeling'!$B$4), 0)</f>
        <v>6</v>
      </c>
      <c r="AH43">
        <f>T43 * (1 + 'Scenario Modeling'!$B$3)</f>
        <v>1206.2</v>
      </c>
      <c r="AI43" s="8">
        <f t="shared" si="14"/>
        <v>10558.74</v>
      </c>
      <c r="AJ43" s="8">
        <f t="shared" si="15"/>
        <v>3321.5399999999991</v>
      </c>
    </row>
    <row r="44" spans="1:36">
      <c r="A44" t="s">
        <v>57</v>
      </c>
      <c r="B44" s="4">
        <v>45590</v>
      </c>
      <c r="C44" s="28">
        <v>45590</v>
      </c>
      <c r="D44" s="28" t="str">
        <f t="shared" si="1"/>
        <v>Q4-2024</v>
      </c>
      <c r="E44" s="4">
        <v>45610</v>
      </c>
      <c r="F44" s="4">
        <v>45610</v>
      </c>
      <c r="G44" s="17">
        <f t="shared" si="2"/>
        <v>20</v>
      </c>
      <c r="H44" s="17">
        <f t="shared" si="3"/>
        <v>20</v>
      </c>
      <c r="I44" t="str">
        <f t="shared" si="4"/>
        <v>No</v>
      </c>
      <c r="J44" s="2">
        <f t="shared" si="5"/>
        <v>44946</v>
      </c>
      <c r="K44" t="s">
        <v>646</v>
      </c>
      <c r="L44" t="s">
        <v>650</v>
      </c>
      <c r="M44" t="s">
        <v>675</v>
      </c>
      <c r="N44" t="str">
        <f t="shared" si="6"/>
        <v>Africa - Kenya - Mombasa</v>
      </c>
      <c r="O44" t="s">
        <v>701</v>
      </c>
      <c r="P44" t="s">
        <v>711</v>
      </c>
      <c r="Q44" t="s">
        <v>722</v>
      </c>
      <c r="R44" t="s">
        <v>728</v>
      </c>
      <c r="S44" t="s">
        <v>776</v>
      </c>
      <c r="T44" s="6">
        <v>1396.48</v>
      </c>
      <c r="U44" s="8">
        <v>3204.5</v>
      </c>
      <c r="V44" s="8">
        <f t="shared" si="7"/>
        <v>3204.5</v>
      </c>
      <c r="W44" s="8" t="str">
        <f t="shared" si="8"/>
        <v>High</v>
      </c>
      <c r="X44" s="15">
        <v>0.318</v>
      </c>
      <c r="Y44" s="15">
        <f t="shared" si="16"/>
        <v>0.11861439999999995</v>
      </c>
      <c r="Z44" t="str">
        <f t="shared" si="9"/>
        <v>No</v>
      </c>
      <c r="AA44" s="17">
        <v>14</v>
      </c>
      <c r="AB44" s="8">
        <f t="shared" si="10"/>
        <v>39541.602172799998</v>
      </c>
      <c r="AC44" s="8">
        <f t="shared" si="11"/>
        <v>19550.72</v>
      </c>
      <c r="AD44" s="8">
        <f t="shared" si="12"/>
        <v>19990.882172799997</v>
      </c>
      <c r="AE44" s="15">
        <f t="shared" si="13"/>
        <v>0.50556581105232468</v>
      </c>
      <c r="AF44" s="34">
        <f>MIN(Y44,'Scenario Modeling'!$B$2)</f>
        <v>0.11861439999999995</v>
      </c>
      <c r="AG44">
        <f>ROUND(AA44 * (1 + 'Scenario Modeling'!$B$4), 0)</f>
        <v>14</v>
      </c>
      <c r="AH44">
        <f>T44 * (1 + 'Scenario Modeling'!$B$3)</f>
        <v>1396.48</v>
      </c>
      <c r="AI44" s="8">
        <f t="shared" si="14"/>
        <v>39541.602172799998</v>
      </c>
      <c r="AJ44" s="8">
        <f t="shared" si="15"/>
        <v>19990.882172799997</v>
      </c>
    </row>
    <row r="45" spans="1:36">
      <c r="A45" t="s">
        <v>58</v>
      </c>
      <c r="B45" s="4">
        <v>45806</v>
      </c>
      <c r="C45" s="28">
        <v>45806</v>
      </c>
      <c r="D45" s="28" t="str">
        <f t="shared" si="1"/>
        <v>Q2-2025</v>
      </c>
      <c r="E45" s="4">
        <v>45828</v>
      </c>
      <c r="F45" s="4">
        <v>45828</v>
      </c>
      <c r="G45" s="17">
        <f t="shared" si="2"/>
        <v>22</v>
      </c>
      <c r="H45" s="17">
        <f t="shared" si="3"/>
        <v>22</v>
      </c>
      <c r="I45" t="str">
        <f t="shared" si="4"/>
        <v>No</v>
      </c>
      <c r="J45" s="2">
        <f t="shared" si="5"/>
        <v>44948</v>
      </c>
      <c r="K45" t="s">
        <v>649</v>
      </c>
      <c r="L45" t="s">
        <v>656</v>
      </c>
      <c r="M45" t="s">
        <v>671</v>
      </c>
      <c r="N45" t="str">
        <f t="shared" si="6"/>
        <v>Europe - Germany - Berlin</v>
      </c>
      <c r="O45" t="s">
        <v>701</v>
      </c>
      <c r="P45" t="s">
        <v>711</v>
      </c>
      <c r="Q45" t="s">
        <v>720</v>
      </c>
      <c r="R45" t="s">
        <v>728</v>
      </c>
      <c r="S45" t="s">
        <v>777</v>
      </c>
      <c r="T45" s="6">
        <v>483.47</v>
      </c>
      <c r="U45" s="8">
        <v>1135.43</v>
      </c>
      <c r="V45" s="8">
        <f t="shared" si="7"/>
        <v>1135.43</v>
      </c>
      <c r="W45" s="8" t="str">
        <f t="shared" si="8"/>
        <v>Medium</v>
      </c>
      <c r="X45" s="15">
        <v>0.14599999999999999</v>
      </c>
      <c r="Y45" s="15">
        <f t="shared" si="16"/>
        <v>0.14599999999999999</v>
      </c>
      <c r="Z45" t="str">
        <f t="shared" si="9"/>
        <v>No</v>
      </c>
      <c r="AA45" s="17">
        <v>11</v>
      </c>
      <c r="AB45" s="8">
        <f t="shared" si="10"/>
        <v>10666.229420000001</v>
      </c>
      <c r="AC45" s="8">
        <f t="shared" si="11"/>
        <v>5318.17</v>
      </c>
      <c r="AD45" s="8">
        <f t="shared" si="12"/>
        <v>5348.0594200000014</v>
      </c>
      <c r="AE45" s="15">
        <f t="shared" si="13"/>
        <v>0.50140112399719983</v>
      </c>
      <c r="AF45" s="34">
        <f>MIN(Y45,'Scenario Modeling'!$B$2)</f>
        <v>0.14599999999999999</v>
      </c>
      <c r="AG45">
        <f>ROUND(AA45 * (1 + 'Scenario Modeling'!$B$4), 0)</f>
        <v>11</v>
      </c>
      <c r="AH45">
        <f>T45 * (1 + 'Scenario Modeling'!$B$3)</f>
        <v>483.47</v>
      </c>
      <c r="AI45" s="8">
        <f t="shared" si="14"/>
        <v>10666.229420000001</v>
      </c>
      <c r="AJ45" s="8">
        <f t="shared" si="15"/>
        <v>5348.0594200000014</v>
      </c>
    </row>
    <row r="46" spans="1:36">
      <c r="A46" t="s">
        <v>59</v>
      </c>
      <c r="B46" s="4">
        <v>45432</v>
      </c>
      <c r="C46" s="28">
        <v>45432</v>
      </c>
      <c r="D46" s="28" t="str">
        <f t="shared" si="1"/>
        <v>Q2-2024</v>
      </c>
      <c r="E46" s="4">
        <v>45445</v>
      </c>
      <c r="F46" s="4">
        <v>45445</v>
      </c>
      <c r="G46" s="17">
        <f t="shared" si="2"/>
        <v>13</v>
      </c>
      <c r="H46" s="17">
        <f t="shared" si="3"/>
        <v>13</v>
      </c>
      <c r="I46" t="str">
        <f t="shared" si="4"/>
        <v>No</v>
      </c>
      <c r="J46" s="2">
        <f t="shared" si="5"/>
        <v>44928</v>
      </c>
      <c r="K46" t="s">
        <v>648</v>
      </c>
      <c r="L46" t="s">
        <v>653</v>
      </c>
      <c r="M46" t="s">
        <v>688</v>
      </c>
      <c r="N46" t="str">
        <f t="shared" si="6"/>
        <v>Americas - Canada - Vancouver</v>
      </c>
      <c r="O46" t="s">
        <v>706</v>
      </c>
      <c r="P46" t="s">
        <v>709</v>
      </c>
      <c r="Q46" t="s">
        <v>723</v>
      </c>
      <c r="R46" t="s">
        <v>727</v>
      </c>
      <c r="S46" t="s">
        <v>778</v>
      </c>
      <c r="T46" s="6">
        <v>675.43</v>
      </c>
      <c r="U46" s="8">
        <v>996.36</v>
      </c>
      <c r="V46" s="8">
        <f t="shared" si="7"/>
        <v>996.36</v>
      </c>
      <c r="W46" s="8" t="str">
        <f t="shared" si="8"/>
        <v>Medium</v>
      </c>
      <c r="X46" s="15">
        <v>0.182</v>
      </c>
      <c r="Y46" s="15">
        <f t="shared" si="16"/>
        <v>0.182</v>
      </c>
      <c r="Z46" t="str">
        <f t="shared" si="9"/>
        <v>No</v>
      </c>
      <c r="AA46" s="17">
        <v>22</v>
      </c>
      <c r="AB46" s="8">
        <f t="shared" si="10"/>
        <v>17930.494560000003</v>
      </c>
      <c r="AC46" s="8">
        <f t="shared" si="11"/>
        <v>14859.46</v>
      </c>
      <c r="AD46" s="8">
        <f t="shared" si="12"/>
        <v>3071.0345600000037</v>
      </c>
      <c r="AE46" s="15">
        <f t="shared" si="13"/>
        <v>0.17127439233332575</v>
      </c>
      <c r="AF46" s="34">
        <f>MIN(Y46,'Scenario Modeling'!$B$2)</f>
        <v>0.182</v>
      </c>
      <c r="AG46">
        <f>ROUND(AA46 * (1 + 'Scenario Modeling'!$B$4), 0)</f>
        <v>22</v>
      </c>
      <c r="AH46">
        <f>T46 * (1 + 'Scenario Modeling'!$B$3)</f>
        <v>675.43</v>
      </c>
      <c r="AI46" s="8">
        <f t="shared" si="14"/>
        <v>17930.494560000003</v>
      </c>
      <c r="AJ46" s="8">
        <f t="shared" si="15"/>
        <v>3071.0345600000037</v>
      </c>
    </row>
    <row r="47" spans="1:36">
      <c r="A47" t="s">
        <v>60</v>
      </c>
      <c r="B47" s="4">
        <v>45035</v>
      </c>
      <c r="C47" s="28">
        <v>45035</v>
      </c>
      <c r="D47" s="28" t="str">
        <f t="shared" si="1"/>
        <v>Q2-2023</v>
      </c>
      <c r="E47" s="4">
        <v>45046</v>
      </c>
      <c r="F47" s="4">
        <v>45046</v>
      </c>
      <c r="G47" s="17">
        <f t="shared" si="2"/>
        <v>11</v>
      </c>
      <c r="H47" s="17">
        <f t="shared" si="3"/>
        <v>11</v>
      </c>
      <c r="I47" t="str">
        <f t="shared" si="4"/>
        <v>No</v>
      </c>
      <c r="J47" s="2">
        <f t="shared" si="5"/>
        <v>44955</v>
      </c>
      <c r="K47" t="s">
        <v>647</v>
      </c>
      <c r="L47" t="s">
        <v>654</v>
      </c>
      <c r="M47" t="s">
        <v>680</v>
      </c>
      <c r="N47" t="str">
        <f t="shared" si="6"/>
        <v>Asia - India - Delhi</v>
      </c>
      <c r="O47" t="s">
        <v>705</v>
      </c>
      <c r="P47" t="s">
        <v>707</v>
      </c>
      <c r="Q47" t="s">
        <v>720</v>
      </c>
      <c r="R47" t="s">
        <v>729</v>
      </c>
      <c r="S47" t="s">
        <v>779</v>
      </c>
      <c r="T47" s="6">
        <v>826.55</v>
      </c>
      <c r="U47" s="8">
        <v>1397.05</v>
      </c>
      <c r="V47" s="8">
        <f t="shared" si="7"/>
        <v>1397.05</v>
      </c>
      <c r="W47" s="8" t="str">
        <f t="shared" si="8"/>
        <v>Medium</v>
      </c>
      <c r="X47" s="15">
        <v>0.16900000000000001</v>
      </c>
      <c r="Y47" s="15">
        <f t="shared" si="16"/>
        <v>0.16900000000000001</v>
      </c>
      <c r="Z47" t="str">
        <f t="shared" si="9"/>
        <v>No</v>
      </c>
      <c r="AA47" s="17">
        <v>28</v>
      </c>
      <c r="AB47" s="8">
        <f t="shared" si="10"/>
        <v>32506.559399999998</v>
      </c>
      <c r="AC47" s="8">
        <f t="shared" si="11"/>
        <v>23143.399999999998</v>
      </c>
      <c r="AD47" s="8">
        <f t="shared" si="12"/>
        <v>9363.1594000000005</v>
      </c>
      <c r="AE47" s="15">
        <f t="shared" si="13"/>
        <v>0.28803907804527601</v>
      </c>
      <c r="AF47" s="34">
        <f>MIN(Y47,'Scenario Modeling'!$B$2)</f>
        <v>0.16900000000000001</v>
      </c>
      <c r="AG47">
        <f>ROUND(AA47 * (1 + 'Scenario Modeling'!$B$4), 0)</f>
        <v>28</v>
      </c>
      <c r="AH47">
        <f>T47 * (1 + 'Scenario Modeling'!$B$3)</f>
        <v>826.55</v>
      </c>
      <c r="AI47" s="8">
        <f t="shared" si="14"/>
        <v>32506.559399999998</v>
      </c>
      <c r="AJ47" s="8">
        <f t="shared" si="15"/>
        <v>9363.1594000000005</v>
      </c>
    </row>
    <row r="48" spans="1:36">
      <c r="A48" t="s">
        <v>61</v>
      </c>
      <c r="B48" s="4">
        <v>45100</v>
      </c>
      <c r="C48" s="28">
        <v>45100</v>
      </c>
      <c r="D48" s="28" t="str">
        <f t="shared" si="1"/>
        <v>Q2-2023</v>
      </c>
      <c r="E48" s="4">
        <v>45110</v>
      </c>
      <c r="F48" s="4">
        <v>45110</v>
      </c>
      <c r="G48" s="17">
        <f t="shared" si="2"/>
        <v>10</v>
      </c>
      <c r="H48" s="17">
        <f t="shared" si="3"/>
        <v>10</v>
      </c>
      <c r="I48" t="str">
        <f t="shared" si="4"/>
        <v>No</v>
      </c>
      <c r="J48" s="2">
        <f t="shared" si="5"/>
        <v>44941</v>
      </c>
      <c r="K48" t="s">
        <v>646</v>
      </c>
      <c r="L48" t="s">
        <v>651</v>
      </c>
      <c r="M48" t="s">
        <v>669</v>
      </c>
      <c r="N48" t="str">
        <f t="shared" si="6"/>
        <v>Africa - Nigeria - Abuja</v>
      </c>
      <c r="O48" t="s">
        <v>704</v>
      </c>
      <c r="P48" t="s">
        <v>708</v>
      </c>
      <c r="Q48" t="s">
        <v>713</v>
      </c>
      <c r="R48" t="s">
        <v>728</v>
      </c>
      <c r="S48" t="s">
        <v>780</v>
      </c>
      <c r="T48" s="6">
        <v>337.75</v>
      </c>
      <c r="U48" s="8">
        <v>548.89</v>
      </c>
      <c r="V48" s="8">
        <f t="shared" si="7"/>
        <v>548.89</v>
      </c>
      <c r="W48" s="8" t="str">
        <f t="shared" si="8"/>
        <v>Low</v>
      </c>
      <c r="X48" s="15">
        <v>0</v>
      </c>
      <c r="Y48" s="15">
        <f t="shared" si="16"/>
        <v>0</v>
      </c>
      <c r="Z48" t="str">
        <f t="shared" si="9"/>
        <v>No</v>
      </c>
      <c r="AA48" s="17">
        <v>13</v>
      </c>
      <c r="AB48" s="8">
        <f t="shared" si="10"/>
        <v>7135.57</v>
      </c>
      <c r="AC48" s="8">
        <f t="shared" si="11"/>
        <v>4390.75</v>
      </c>
      <c r="AD48" s="8">
        <f t="shared" si="12"/>
        <v>2744.8199999999997</v>
      </c>
      <c r="AE48" s="15">
        <f t="shared" si="13"/>
        <v>0.38466723751571352</v>
      </c>
      <c r="AF48" s="34">
        <f>MIN(Y48,'Scenario Modeling'!$B$2)</f>
        <v>0</v>
      </c>
      <c r="AG48">
        <f>ROUND(AA48 * (1 + 'Scenario Modeling'!$B$4), 0)</f>
        <v>13</v>
      </c>
      <c r="AH48">
        <f>T48 * (1 + 'Scenario Modeling'!$B$3)</f>
        <v>337.75</v>
      </c>
      <c r="AI48" s="8">
        <f t="shared" si="14"/>
        <v>7135.57</v>
      </c>
      <c r="AJ48" s="8">
        <f t="shared" si="15"/>
        <v>2744.8199999999997</v>
      </c>
    </row>
    <row r="49" spans="1:36">
      <c r="A49" t="s">
        <v>62</v>
      </c>
      <c r="B49" s="4">
        <v>45426</v>
      </c>
      <c r="C49" s="28">
        <v>45426</v>
      </c>
      <c r="D49" s="28" t="str">
        <f t="shared" si="1"/>
        <v>Q2-2024</v>
      </c>
      <c r="E49" s="4">
        <v>45440</v>
      </c>
      <c r="F49" s="4">
        <v>45440</v>
      </c>
      <c r="G49" s="17">
        <f t="shared" si="2"/>
        <v>14</v>
      </c>
      <c r="H49" s="17">
        <f t="shared" si="3"/>
        <v>14</v>
      </c>
      <c r="I49" t="str">
        <f t="shared" si="4"/>
        <v>No</v>
      </c>
      <c r="J49" s="2">
        <f t="shared" si="5"/>
        <v>44945</v>
      </c>
      <c r="K49" t="s">
        <v>649</v>
      </c>
      <c r="L49" t="s">
        <v>658</v>
      </c>
      <c r="M49" t="s">
        <v>674</v>
      </c>
      <c r="N49" t="str">
        <f t="shared" si="6"/>
        <v>Europe - United Kingdom - Birmingham</v>
      </c>
      <c r="O49" t="s">
        <v>704</v>
      </c>
      <c r="P49" t="s">
        <v>707</v>
      </c>
      <c r="Q49" t="s">
        <v>717</v>
      </c>
      <c r="R49" t="s">
        <v>729</v>
      </c>
      <c r="S49" t="s">
        <v>781</v>
      </c>
      <c r="T49" s="6">
        <v>1421.14</v>
      </c>
      <c r="U49" s="8">
        <v>3524</v>
      </c>
      <c r="V49" s="8">
        <f t="shared" si="7"/>
        <v>3524</v>
      </c>
      <c r="W49" s="8" t="str">
        <f t="shared" si="8"/>
        <v>High</v>
      </c>
      <c r="X49" s="15">
        <v>0</v>
      </c>
      <c r="Y49" s="15">
        <f t="shared" si="16"/>
        <v>0</v>
      </c>
      <c r="Z49" t="str">
        <f t="shared" si="9"/>
        <v>No</v>
      </c>
      <c r="AA49" s="17">
        <v>31</v>
      </c>
      <c r="AB49" s="8">
        <f t="shared" si="10"/>
        <v>109244</v>
      </c>
      <c r="AC49" s="8">
        <f t="shared" si="11"/>
        <v>44055.340000000004</v>
      </c>
      <c r="AD49" s="8">
        <f t="shared" si="12"/>
        <v>65188.659999999996</v>
      </c>
      <c r="AE49" s="15">
        <f t="shared" si="13"/>
        <v>0.59672531214528945</v>
      </c>
      <c r="AF49" s="34">
        <f>MIN(Y49,'Scenario Modeling'!$B$2)</f>
        <v>0</v>
      </c>
      <c r="AG49">
        <f>ROUND(AA49 * (1 + 'Scenario Modeling'!$B$4), 0)</f>
        <v>31</v>
      </c>
      <c r="AH49">
        <f>T49 * (1 + 'Scenario Modeling'!$B$3)</f>
        <v>1421.14</v>
      </c>
      <c r="AI49" s="8">
        <f t="shared" si="14"/>
        <v>109244</v>
      </c>
      <c r="AJ49" s="8">
        <f t="shared" si="15"/>
        <v>65188.659999999996</v>
      </c>
    </row>
    <row r="50" spans="1:36">
      <c r="A50" t="s">
        <v>63</v>
      </c>
      <c r="B50" s="4">
        <v>45579</v>
      </c>
      <c r="C50" s="28">
        <v>45579</v>
      </c>
      <c r="D50" s="28" t="str">
        <f t="shared" si="1"/>
        <v>Q4-2024</v>
      </c>
      <c r="E50" s="4">
        <v>45604</v>
      </c>
      <c r="F50" s="4">
        <v>45604</v>
      </c>
      <c r="G50" s="17">
        <f t="shared" si="2"/>
        <v>25</v>
      </c>
      <c r="H50" s="17">
        <f t="shared" si="3"/>
        <v>25</v>
      </c>
      <c r="I50" t="str">
        <f t="shared" si="4"/>
        <v>No</v>
      </c>
      <c r="J50" s="2">
        <f t="shared" si="5"/>
        <v>44941</v>
      </c>
      <c r="K50" t="s">
        <v>646</v>
      </c>
      <c r="L50" t="s">
        <v>651</v>
      </c>
      <c r="M50" t="s">
        <v>665</v>
      </c>
      <c r="N50" t="str">
        <f t="shared" si="6"/>
        <v>Africa - Nigeria - Lagos</v>
      </c>
      <c r="O50" t="s">
        <v>706</v>
      </c>
      <c r="P50" t="s">
        <v>708</v>
      </c>
      <c r="Q50" t="s">
        <v>719</v>
      </c>
      <c r="R50" t="s">
        <v>729</v>
      </c>
      <c r="S50" t="s">
        <v>782</v>
      </c>
      <c r="T50" s="6">
        <v>859.35</v>
      </c>
      <c r="U50" s="8">
        <v>1825.61</v>
      </c>
      <c r="V50" s="8">
        <f t="shared" si="7"/>
        <v>1825.61</v>
      </c>
      <c r="W50" s="8" t="str">
        <f t="shared" si="8"/>
        <v>High</v>
      </c>
      <c r="X50" s="15">
        <v>0.187</v>
      </c>
      <c r="Y50" s="15">
        <f t="shared" si="16"/>
        <v>0.187</v>
      </c>
      <c r="Z50" t="str">
        <f t="shared" si="9"/>
        <v>No</v>
      </c>
      <c r="AA50" s="17">
        <v>24</v>
      </c>
      <c r="AB50" s="8">
        <f t="shared" si="10"/>
        <v>35621.302319999995</v>
      </c>
      <c r="AC50" s="8">
        <f t="shared" si="11"/>
        <v>20624.400000000001</v>
      </c>
      <c r="AD50" s="8">
        <f t="shared" si="12"/>
        <v>14996.902319999994</v>
      </c>
      <c r="AE50" s="15">
        <f t="shared" si="13"/>
        <v>0.42100937762681989</v>
      </c>
      <c r="AF50" s="34">
        <f>MIN(Y50,'Scenario Modeling'!$B$2)</f>
        <v>0.187</v>
      </c>
      <c r="AG50">
        <f>ROUND(AA50 * (1 + 'Scenario Modeling'!$B$4), 0)</f>
        <v>24</v>
      </c>
      <c r="AH50">
        <f>T50 * (1 + 'Scenario Modeling'!$B$3)</f>
        <v>859.35</v>
      </c>
      <c r="AI50" s="8">
        <f t="shared" si="14"/>
        <v>35621.302319999995</v>
      </c>
      <c r="AJ50" s="8">
        <f t="shared" si="15"/>
        <v>14996.902319999994</v>
      </c>
    </row>
    <row r="51" spans="1:36">
      <c r="A51" t="s">
        <v>64</v>
      </c>
      <c r="B51" s="4">
        <v>45117</v>
      </c>
      <c r="C51" s="28">
        <v>45117</v>
      </c>
      <c r="D51" s="28" t="str">
        <f t="shared" si="1"/>
        <v>Q3-2023</v>
      </c>
      <c r="E51" s="4">
        <v>45139</v>
      </c>
      <c r="F51" s="4">
        <v>45139</v>
      </c>
      <c r="G51" s="17">
        <f t="shared" si="2"/>
        <v>22</v>
      </c>
      <c r="H51" s="17">
        <f t="shared" si="3"/>
        <v>22</v>
      </c>
      <c r="I51" t="str">
        <f t="shared" si="4"/>
        <v>No</v>
      </c>
      <c r="J51" s="2">
        <f t="shared" si="5"/>
        <v>44936</v>
      </c>
      <c r="K51" t="s">
        <v>649</v>
      </c>
      <c r="L51" t="s">
        <v>657</v>
      </c>
      <c r="M51" t="s">
        <v>673</v>
      </c>
      <c r="N51" t="str">
        <f t="shared" si="6"/>
        <v>Europe - France - Marseille</v>
      </c>
      <c r="O51" t="s">
        <v>704</v>
      </c>
      <c r="P51" t="s">
        <v>709</v>
      </c>
      <c r="Q51" t="s">
        <v>717</v>
      </c>
      <c r="R51" t="s">
        <v>728</v>
      </c>
      <c r="S51" t="s">
        <v>783</v>
      </c>
      <c r="T51" s="6">
        <v>1303.56</v>
      </c>
      <c r="U51" s="8">
        <v>1791.37</v>
      </c>
      <c r="V51" s="8">
        <f t="shared" si="7"/>
        <v>1791.37</v>
      </c>
      <c r="W51" s="8" t="str">
        <f t="shared" si="8"/>
        <v>High</v>
      </c>
      <c r="X51" s="15">
        <v>0.126</v>
      </c>
      <c r="Y51" s="15">
        <f t="shared" si="16"/>
        <v>0.126</v>
      </c>
      <c r="Z51" t="str">
        <f t="shared" si="9"/>
        <v>No</v>
      </c>
      <c r="AA51" s="17">
        <v>22</v>
      </c>
      <c r="AB51" s="8">
        <f t="shared" si="10"/>
        <v>34444.462359999998</v>
      </c>
      <c r="AC51" s="8">
        <f t="shared" si="11"/>
        <v>28678.32</v>
      </c>
      <c r="AD51" s="8">
        <f t="shared" si="12"/>
        <v>5766.142359999998</v>
      </c>
      <c r="AE51" s="15">
        <f t="shared" si="13"/>
        <v>0.16740404596055358</v>
      </c>
      <c r="AF51" s="34">
        <f>MIN(Y51,'Scenario Modeling'!$B$2)</f>
        <v>0.126</v>
      </c>
      <c r="AG51">
        <f>ROUND(AA51 * (1 + 'Scenario Modeling'!$B$4), 0)</f>
        <v>22</v>
      </c>
      <c r="AH51">
        <f>T51 * (1 + 'Scenario Modeling'!$B$3)</f>
        <v>1303.56</v>
      </c>
      <c r="AI51" s="8">
        <f t="shared" si="14"/>
        <v>34444.462359999998</v>
      </c>
      <c r="AJ51" s="8">
        <f t="shared" si="15"/>
        <v>5766.142359999998</v>
      </c>
    </row>
    <row r="52" spans="1:36">
      <c r="A52" t="s">
        <v>65</v>
      </c>
      <c r="B52" s="4">
        <v>45602</v>
      </c>
      <c r="C52" s="28">
        <v>45602</v>
      </c>
      <c r="D52" s="28" t="str">
        <f t="shared" si="1"/>
        <v>Q4-2024</v>
      </c>
      <c r="E52" s="4">
        <v>45618</v>
      </c>
      <c r="F52" s="4">
        <v>45618</v>
      </c>
      <c r="G52" s="17">
        <f t="shared" si="2"/>
        <v>16</v>
      </c>
      <c r="H52" s="17">
        <f t="shared" si="3"/>
        <v>16</v>
      </c>
      <c r="I52" t="str">
        <f t="shared" si="4"/>
        <v>No</v>
      </c>
      <c r="J52" s="2">
        <f t="shared" si="5"/>
        <v>44928</v>
      </c>
      <c r="K52" t="s">
        <v>648</v>
      </c>
      <c r="L52" t="s">
        <v>653</v>
      </c>
      <c r="M52" t="s">
        <v>667</v>
      </c>
      <c r="N52" t="str">
        <f t="shared" si="6"/>
        <v>Americas - Canada - Toronto</v>
      </c>
      <c r="O52" t="s">
        <v>703</v>
      </c>
      <c r="P52" t="s">
        <v>710</v>
      </c>
      <c r="Q52" t="s">
        <v>726</v>
      </c>
      <c r="R52" t="s">
        <v>733</v>
      </c>
      <c r="S52" t="s">
        <v>784</v>
      </c>
      <c r="T52" s="6">
        <v>1454.11</v>
      </c>
      <c r="U52" s="8">
        <v>2629.75</v>
      </c>
      <c r="V52" s="8">
        <f t="shared" si="7"/>
        <v>2629.75</v>
      </c>
      <c r="W52" s="8" t="str">
        <f t="shared" si="8"/>
        <v>High</v>
      </c>
      <c r="X52" s="15">
        <v>0.29199999999999998</v>
      </c>
      <c r="Y52" s="15">
        <f t="shared" si="16"/>
        <v>0.29199999999999998</v>
      </c>
      <c r="Z52" t="str">
        <f t="shared" si="9"/>
        <v>Yes</v>
      </c>
      <c r="AA52" s="17">
        <v>8</v>
      </c>
      <c r="AB52" s="8">
        <f t="shared" si="10"/>
        <v>14894.903999999999</v>
      </c>
      <c r="AC52" s="8">
        <f t="shared" si="11"/>
        <v>11632.88</v>
      </c>
      <c r="AD52" s="8">
        <f t="shared" si="12"/>
        <v>3262.0239999999994</v>
      </c>
      <c r="AE52" s="15">
        <f t="shared" si="13"/>
        <v>0.21900268709351867</v>
      </c>
      <c r="AF52" s="34">
        <f>MIN(Y52,'Scenario Modeling'!$B$2)</f>
        <v>0.25</v>
      </c>
      <c r="AG52">
        <f>ROUND(AA52 * (1 + 'Scenario Modeling'!$B$4), 0)</f>
        <v>8</v>
      </c>
      <c r="AH52">
        <f>T52 * (1 + 'Scenario Modeling'!$B$3)</f>
        <v>1454.11</v>
      </c>
      <c r="AI52" s="8">
        <f t="shared" si="14"/>
        <v>15778.5</v>
      </c>
      <c r="AJ52" s="8">
        <f t="shared" si="15"/>
        <v>4145.6200000000008</v>
      </c>
    </row>
    <row r="53" spans="1:36">
      <c r="A53" t="s">
        <v>66</v>
      </c>
      <c r="B53" s="4">
        <v>45582</v>
      </c>
      <c r="C53" s="28">
        <v>45582</v>
      </c>
      <c r="D53" s="28" t="str">
        <f t="shared" si="1"/>
        <v>Q4-2024</v>
      </c>
      <c r="E53" s="4">
        <v>45602</v>
      </c>
      <c r="F53" s="4">
        <v>45602</v>
      </c>
      <c r="G53" s="17">
        <f t="shared" si="2"/>
        <v>20</v>
      </c>
      <c r="H53" s="17">
        <f t="shared" si="3"/>
        <v>20</v>
      </c>
      <c r="I53" t="str">
        <f t="shared" si="4"/>
        <v>No</v>
      </c>
      <c r="J53" s="2">
        <f t="shared" si="5"/>
        <v>44955</v>
      </c>
      <c r="K53" t="s">
        <v>647</v>
      </c>
      <c r="L53" t="s">
        <v>654</v>
      </c>
      <c r="M53" t="s">
        <v>668</v>
      </c>
      <c r="N53" t="str">
        <f t="shared" si="6"/>
        <v>Asia - India - Bengaluru</v>
      </c>
      <c r="O53" t="s">
        <v>706</v>
      </c>
      <c r="P53" t="s">
        <v>710</v>
      </c>
      <c r="Q53" t="s">
        <v>719</v>
      </c>
      <c r="R53" t="s">
        <v>732</v>
      </c>
      <c r="S53" t="s">
        <v>785</v>
      </c>
      <c r="T53" s="6">
        <v>72.94</v>
      </c>
      <c r="U53" s="8">
        <v>106.3</v>
      </c>
      <c r="V53" s="8">
        <f t="shared" si="7"/>
        <v>106.3</v>
      </c>
      <c r="W53" s="8" t="str">
        <f t="shared" si="8"/>
        <v>Low</v>
      </c>
      <c r="X53" s="15">
        <v>0.29499999999999998</v>
      </c>
      <c r="Y53" s="15">
        <f t="shared" si="16"/>
        <v>0.29499999999999998</v>
      </c>
      <c r="Z53" t="str">
        <f t="shared" si="9"/>
        <v>Yes</v>
      </c>
      <c r="AA53" s="17">
        <v>8</v>
      </c>
      <c r="AB53" s="8">
        <f t="shared" si="10"/>
        <v>599.53200000000004</v>
      </c>
      <c r="AC53" s="8">
        <f t="shared" si="11"/>
        <v>583.52</v>
      </c>
      <c r="AD53" s="8">
        <f t="shared" si="12"/>
        <v>16.012000000000057</v>
      </c>
      <c r="AE53" s="15">
        <f t="shared" si="13"/>
        <v>2.6707498515508857E-2</v>
      </c>
      <c r="AF53" s="34">
        <f>MIN(Y53,'Scenario Modeling'!$B$2)</f>
        <v>0.25</v>
      </c>
      <c r="AG53">
        <f>ROUND(AA53 * (1 + 'Scenario Modeling'!$B$4), 0)</f>
        <v>8</v>
      </c>
      <c r="AH53">
        <f>T53 * (1 + 'Scenario Modeling'!$B$3)</f>
        <v>72.94</v>
      </c>
      <c r="AI53" s="8">
        <f t="shared" si="14"/>
        <v>637.79999999999995</v>
      </c>
      <c r="AJ53" s="8">
        <f t="shared" si="15"/>
        <v>54.279999999999973</v>
      </c>
    </row>
    <row r="54" spans="1:36">
      <c r="A54" t="s">
        <v>67</v>
      </c>
      <c r="B54" s="4">
        <v>45016</v>
      </c>
      <c r="C54" s="28">
        <v>45016</v>
      </c>
      <c r="D54" s="28" t="str">
        <f t="shared" si="1"/>
        <v>Q1-2023</v>
      </c>
      <c r="E54" s="4">
        <v>45021</v>
      </c>
      <c r="F54" s="4">
        <v>45021</v>
      </c>
      <c r="G54" s="17">
        <f t="shared" si="2"/>
        <v>5</v>
      </c>
      <c r="H54" s="17">
        <f t="shared" si="3"/>
        <v>5</v>
      </c>
      <c r="I54" t="str">
        <f t="shared" si="4"/>
        <v>Yes</v>
      </c>
      <c r="J54" s="2">
        <f t="shared" si="5"/>
        <v>44946</v>
      </c>
      <c r="K54" t="s">
        <v>646</v>
      </c>
      <c r="L54" t="s">
        <v>650</v>
      </c>
      <c r="M54" t="s">
        <v>678</v>
      </c>
      <c r="N54" t="str">
        <f t="shared" si="6"/>
        <v>Africa - Kenya - Nakuru</v>
      </c>
      <c r="O54" t="s">
        <v>702</v>
      </c>
      <c r="P54" t="s">
        <v>709</v>
      </c>
      <c r="Q54" t="s">
        <v>717</v>
      </c>
      <c r="R54" t="s">
        <v>731</v>
      </c>
      <c r="S54" t="s">
        <v>786</v>
      </c>
      <c r="T54" s="6">
        <v>533.26</v>
      </c>
      <c r="U54" s="8">
        <v>385.72</v>
      </c>
      <c r="V54" s="8">
        <f t="shared" si="7"/>
        <v>385.72</v>
      </c>
      <c r="W54" s="8" t="str">
        <f t="shared" si="8"/>
        <v>Low</v>
      </c>
      <c r="X54" s="15">
        <v>0</v>
      </c>
      <c r="Y54" s="15">
        <f t="shared" si="16"/>
        <v>0</v>
      </c>
      <c r="Z54" t="str">
        <f t="shared" si="9"/>
        <v>No</v>
      </c>
      <c r="AA54" s="17">
        <v>15</v>
      </c>
      <c r="AB54" s="8">
        <f t="shared" si="10"/>
        <v>5785.8</v>
      </c>
      <c r="AC54" s="8">
        <f t="shared" si="11"/>
        <v>7998.9</v>
      </c>
      <c r="AD54" s="8">
        <f t="shared" si="12"/>
        <v>-2213.0999999999995</v>
      </c>
      <c r="AE54" s="15">
        <f t="shared" si="13"/>
        <v>-0.38250544436378708</v>
      </c>
      <c r="AF54" s="34">
        <f>MIN(Y54,'Scenario Modeling'!$B$2)</f>
        <v>0</v>
      </c>
      <c r="AG54">
        <f>ROUND(AA54 * (1 + 'Scenario Modeling'!$B$4), 0)</f>
        <v>15</v>
      </c>
      <c r="AH54">
        <f>T54 * (1 + 'Scenario Modeling'!$B$3)</f>
        <v>533.26</v>
      </c>
      <c r="AI54" s="8">
        <f t="shared" si="14"/>
        <v>5785.8</v>
      </c>
      <c r="AJ54" s="8">
        <f t="shared" si="15"/>
        <v>-2213.0999999999995</v>
      </c>
    </row>
    <row r="55" spans="1:36">
      <c r="A55" t="s">
        <v>68</v>
      </c>
      <c r="B55" s="4">
        <v>45678</v>
      </c>
      <c r="C55" s="28">
        <v>45678</v>
      </c>
      <c r="D55" s="28" t="str">
        <f t="shared" si="1"/>
        <v>Q1-2025</v>
      </c>
      <c r="E55" s="4">
        <v>45704</v>
      </c>
      <c r="F55" s="4">
        <v>45704</v>
      </c>
      <c r="G55" s="17">
        <f t="shared" si="2"/>
        <v>26</v>
      </c>
      <c r="H55" s="17">
        <f t="shared" si="3"/>
        <v>26</v>
      </c>
      <c r="I55" t="str">
        <f t="shared" si="4"/>
        <v>No</v>
      </c>
      <c r="J55" s="2">
        <f t="shared" si="5"/>
        <v>44936</v>
      </c>
      <c r="K55" t="s">
        <v>649</v>
      </c>
      <c r="L55" t="s">
        <v>657</v>
      </c>
      <c r="M55" t="s">
        <v>679</v>
      </c>
      <c r="N55" t="str">
        <f t="shared" si="6"/>
        <v>Europe - France - Lyon</v>
      </c>
      <c r="O55" t="s">
        <v>701</v>
      </c>
      <c r="P55" t="s">
        <v>710</v>
      </c>
      <c r="Q55" t="s">
        <v>719</v>
      </c>
      <c r="R55" t="s">
        <v>731</v>
      </c>
      <c r="S55" t="s">
        <v>787</v>
      </c>
      <c r="T55" s="6">
        <v>204.11</v>
      </c>
      <c r="U55" s="8">
        <v>236.87</v>
      </c>
      <c r="V55" s="8">
        <f t="shared" si="7"/>
        <v>236.87</v>
      </c>
      <c r="W55" s="8" t="str">
        <f t="shared" si="8"/>
        <v>Low</v>
      </c>
      <c r="X55" s="15">
        <v>0.182</v>
      </c>
      <c r="Y55" s="15">
        <f t="shared" si="16"/>
        <v>0.182</v>
      </c>
      <c r="Z55" t="str">
        <f t="shared" si="9"/>
        <v>No</v>
      </c>
      <c r="AA55" s="17">
        <v>13</v>
      </c>
      <c r="AB55" s="8">
        <f t="shared" si="10"/>
        <v>2518.8755800000004</v>
      </c>
      <c r="AC55" s="8">
        <f t="shared" si="11"/>
        <v>2653.4300000000003</v>
      </c>
      <c r="AD55" s="8">
        <f t="shared" si="12"/>
        <v>-134.55441999999994</v>
      </c>
      <c r="AE55" s="15">
        <f t="shared" si="13"/>
        <v>-5.3418446337075494E-2</v>
      </c>
      <c r="AF55" s="34">
        <f>MIN(Y55,'Scenario Modeling'!$B$2)</f>
        <v>0.182</v>
      </c>
      <c r="AG55">
        <f>ROUND(AA55 * (1 + 'Scenario Modeling'!$B$4), 0)</f>
        <v>13</v>
      </c>
      <c r="AH55">
        <f>T55 * (1 + 'Scenario Modeling'!$B$3)</f>
        <v>204.11</v>
      </c>
      <c r="AI55" s="8">
        <f t="shared" si="14"/>
        <v>2518.8755800000004</v>
      </c>
      <c r="AJ55" s="8">
        <f t="shared" si="15"/>
        <v>-134.55441999999994</v>
      </c>
    </row>
    <row r="56" spans="1:36">
      <c r="A56" t="s">
        <v>69</v>
      </c>
      <c r="B56" s="4">
        <v>45168</v>
      </c>
      <c r="C56" s="28">
        <v>45168</v>
      </c>
      <c r="D56" s="28" t="str">
        <f t="shared" si="1"/>
        <v>Q3-2023</v>
      </c>
      <c r="E56" s="4">
        <v>45170</v>
      </c>
      <c r="F56" s="4">
        <v>45170</v>
      </c>
      <c r="G56" s="17">
        <f t="shared" si="2"/>
        <v>2</v>
      </c>
      <c r="H56" s="17">
        <f t="shared" si="3"/>
        <v>2</v>
      </c>
      <c r="I56" t="str">
        <f t="shared" si="4"/>
        <v>Yes</v>
      </c>
      <c r="J56" s="2">
        <f t="shared" si="5"/>
        <v>44948</v>
      </c>
      <c r="K56" t="s">
        <v>649</v>
      </c>
      <c r="L56" t="s">
        <v>656</v>
      </c>
      <c r="M56" t="s">
        <v>684</v>
      </c>
      <c r="N56" t="str">
        <f t="shared" si="6"/>
        <v>Europe - Germany - Munich</v>
      </c>
      <c r="O56" t="s">
        <v>701</v>
      </c>
      <c r="P56" t="s">
        <v>711</v>
      </c>
      <c r="Q56" t="s">
        <v>725</v>
      </c>
      <c r="R56" t="s">
        <v>729</v>
      </c>
      <c r="S56" t="s">
        <v>788</v>
      </c>
      <c r="T56" s="6">
        <v>44.42</v>
      </c>
      <c r="U56" s="8">
        <v>41.9</v>
      </c>
      <c r="V56" s="8">
        <f t="shared" si="7"/>
        <v>41.9</v>
      </c>
      <c r="W56" s="8" t="str">
        <f t="shared" si="8"/>
        <v>Low</v>
      </c>
      <c r="X56" s="15">
        <v>0.14399999999999999</v>
      </c>
      <c r="Y56" s="15">
        <f t="shared" si="16"/>
        <v>0.14399999999999999</v>
      </c>
      <c r="Z56" t="str">
        <f t="shared" si="9"/>
        <v>No</v>
      </c>
      <c r="AA56" s="17">
        <v>6</v>
      </c>
      <c r="AB56" s="8">
        <f t="shared" si="10"/>
        <v>215.19839999999996</v>
      </c>
      <c r="AC56" s="8">
        <f t="shared" si="11"/>
        <v>266.52</v>
      </c>
      <c r="AD56" s="8">
        <f t="shared" si="12"/>
        <v>-51.321600000000018</v>
      </c>
      <c r="AE56" s="15">
        <f t="shared" si="13"/>
        <v>-0.23848504449847224</v>
      </c>
      <c r="AF56" s="34">
        <f>MIN(Y56,'Scenario Modeling'!$B$2)</f>
        <v>0.14399999999999999</v>
      </c>
      <c r="AG56">
        <f>ROUND(AA56 * (1 + 'Scenario Modeling'!$B$4), 0)</f>
        <v>6</v>
      </c>
      <c r="AH56">
        <f>T56 * (1 + 'Scenario Modeling'!$B$3)</f>
        <v>44.42</v>
      </c>
      <c r="AI56" s="8">
        <f t="shared" si="14"/>
        <v>215.19839999999996</v>
      </c>
      <c r="AJ56" s="8">
        <f t="shared" si="15"/>
        <v>-51.321600000000018</v>
      </c>
    </row>
    <row r="57" spans="1:36">
      <c r="A57" t="s">
        <v>70</v>
      </c>
      <c r="B57" s="4">
        <v>45753</v>
      </c>
      <c r="C57" s="28">
        <v>45753</v>
      </c>
      <c r="D57" s="28" t="str">
        <f t="shared" si="1"/>
        <v>Q2-2025</v>
      </c>
      <c r="E57" s="4">
        <v>45777</v>
      </c>
      <c r="F57" s="4">
        <v>45777</v>
      </c>
      <c r="G57" s="17">
        <f t="shared" si="2"/>
        <v>24</v>
      </c>
      <c r="H57" s="17">
        <f t="shared" si="3"/>
        <v>24</v>
      </c>
      <c r="I57" t="str">
        <f t="shared" si="4"/>
        <v>No</v>
      </c>
      <c r="J57" s="2">
        <f t="shared" si="5"/>
        <v>44955</v>
      </c>
      <c r="K57" t="s">
        <v>648</v>
      </c>
      <c r="L57" t="s">
        <v>655</v>
      </c>
      <c r="M57" t="s">
        <v>672</v>
      </c>
      <c r="N57" t="str">
        <f t="shared" si="6"/>
        <v>Americas - Brazil - Brasília</v>
      </c>
      <c r="O57" t="s">
        <v>702</v>
      </c>
      <c r="P57" t="s">
        <v>708</v>
      </c>
      <c r="Q57" t="s">
        <v>723</v>
      </c>
      <c r="R57" t="s">
        <v>732</v>
      </c>
      <c r="S57" t="s">
        <v>789</v>
      </c>
      <c r="T57" s="6">
        <v>855.78</v>
      </c>
      <c r="U57" s="8">
        <v>977.38</v>
      </c>
      <c r="V57" s="8">
        <f t="shared" si="7"/>
        <v>977.38</v>
      </c>
      <c r="W57" s="8" t="str">
        <f t="shared" si="8"/>
        <v>Medium</v>
      </c>
      <c r="X57" s="15">
        <v>0.14699999999999999</v>
      </c>
      <c r="Y57" s="15">
        <f t="shared" si="16"/>
        <v>0.14699999999999999</v>
      </c>
      <c r="Z57" t="str">
        <f t="shared" si="9"/>
        <v>No</v>
      </c>
      <c r="AA57" s="17">
        <v>38</v>
      </c>
      <c r="AB57" s="8">
        <f t="shared" si="10"/>
        <v>31680.795320000001</v>
      </c>
      <c r="AC57" s="8">
        <f t="shared" si="11"/>
        <v>32519.64</v>
      </c>
      <c r="AD57" s="8">
        <f t="shared" si="12"/>
        <v>-838.84467999999833</v>
      </c>
      <c r="AE57" s="15">
        <f t="shared" si="13"/>
        <v>-2.6478018355506307E-2</v>
      </c>
      <c r="AF57" s="34">
        <f>MIN(Y57,'Scenario Modeling'!$B$2)</f>
        <v>0.14699999999999999</v>
      </c>
      <c r="AG57">
        <f>ROUND(AA57 * (1 + 'Scenario Modeling'!$B$4), 0)</f>
        <v>38</v>
      </c>
      <c r="AH57">
        <f>T57 * (1 + 'Scenario Modeling'!$B$3)</f>
        <v>855.78</v>
      </c>
      <c r="AI57" s="8">
        <f t="shared" si="14"/>
        <v>31680.795320000001</v>
      </c>
      <c r="AJ57" s="8">
        <f t="shared" si="15"/>
        <v>-838.84467999999833</v>
      </c>
    </row>
    <row r="58" spans="1:36">
      <c r="A58" t="s">
        <v>71</v>
      </c>
      <c r="B58" s="4">
        <v>45697</v>
      </c>
      <c r="C58" s="28">
        <v>45697</v>
      </c>
      <c r="D58" s="28" t="str">
        <f t="shared" si="1"/>
        <v>Q1-2025</v>
      </c>
      <c r="E58" s="4">
        <v>45717</v>
      </c>
      <c r="F58" s="4">
        <v>45717</v>
      </c>
      <c r="G58" s="17">
        <f t="shared" si="2"/>
        <v>20</v>
      </c>
      <c r="H58" s="17">
        <f t="shared" si="3"/>
        <v>20</v>
      </c>
      <c r="I58" t="str">
        <f t="shared" si="4"/>
        <v>No</v>
      </c>
      <c r="J58" s="2">
        <f t="shared" si="5"/>
        <v>44955</v>
      </c>
      <c r="K58" t="s">
        <v>648</v>
      </c>
      <c r="L58" t="s">
        <v>655</v>
      </c>
      <c r="M58" t="s">
        <v>670</v>
      </c>
      <c r="N58" t="str">
        <f t="shared" si="6"/>
        <v>Americas - Brazil - São Paulo</v>
      </c>
      <c r="O58" t="s">
        <v>701</v>
      </c>
      <c r="P58" t="s">
        <v>710</v>
      </c>
      <c r="Q58" t="s">
        <v>717</v>
      </c>
      <c r="R58" t="s">
        <v>731</v>
      </c>
      <c r="S58" t="s">
        <v>790</v>
      </c>
      <c r="T58" s="6">
        <v>1154.6400000000001</v>
      </c>
      <c r="U58" s="8">
        <v>2794.13</v>
      </c>
      <c r="V58" s="8">
        <f t="shared" si="7"/>
        <v>2794.13</v>
      </c>
      <c r="W58" s="8" t="str">
        <f t="shared" si="8"/>
        <v>High</v>
      </c>
      <c r="X58" s="15">
        <v>3.5000000000000003E-2</v>
      </c>
      <c r="Y58" s="15">
        <f t="shared" si="16"/>
        <v>3.5000000000000003E-2</v>
      </c>
      <c r="Z58" t="str">
        <f t="shared" si="9"/>
        <v>No</v>
      </c>
      <c r="AA58" s="17">
        <v>11</v>
      </c>
      <c r="AB58" s="8">
        <f t="shared" si="10"/>
        <v>29659.68995</v>
      </c>
      <c r="AC58" s="8">
        <f t="shared" si="11"/>
        <v>12701.04</v>
      </c>
      <c r="AD58" s="8">
        <f t="shared" si="12"/>
        <v>16958.649949999999</v>
      </c>
      <c r="AE58" s="15">
        <f t="shared" si="13"/>
        <v>0.57177435025749479</v>
      </c>
      <c r="AF58" s="34">
        <f>MIN(Y58,'Scenario Modeling'!$B$2)</f>
        <v>3.5000000000000003E-2</v>
      </c>
      <c r="AG58">
        <f>ROUND(AA58 * (1 + 'Scenario Modeling'!$B$4), 0)</f>
        <v>11</v>
      </c>
      <c r="AH58">
        <f>T58 * (1 + 'Scenario Modeling'!$B$3)</f>
        <v>1154.6400000000001</v>
      </c>
      <c r="AI58" s="8">
        <f t="shared" si="14"/>
        <v>29659.68995</v>
      </c>
      <c r="AJ58" s="8">
        <f t="shared" si="15"/>
        <v>16958.649949999999</v>
      </c>
    </row>
    <row r="59" spans="1:36">
      <c r="A59" t="s">
        <v>72</v>
      </c>
      <c r="B59" s="4">
        <v>45643</v>
      </c>
      <c r="C59" s="28">
        <v>45643</v>
      </c>
      <c r="D59" s="28" t="str">
        <f t="shared" si="1"/>
        <v>Q4-2024</v>
      </c>
      <c r="E59" s="4">
        <v>45644</v>
      </c>
      <c r="F59" s="4">
        <v>45644</v>
      </c>
      <c r="G59" s="17">
        <f t="shared" si="2"/>
        <v>1</v>
      </c>
      <c r="H59" s="17">
        <f t="shared" si="3"/>
        <v>1</v>
      </c>
      <c r="I59" t="str">
        <f t="shared" si="4"/>
        <v>Yes</v>
      </c>
      <c r="J59" s="2">
        <f t="shared" si="5"/>
        <v>44948</v>
      </c>
      <c r="K59" t="s">
        <v>649</v>
      </c>
      <c r="L59" t="s">
        <v>656</v>
      </c>
      <c r="M59" t="s">
        <v>684</v>
      </c>
      <c r="N59" t="str">
        <f t="shared" si="6"/>
        <v>Europe - Germany - Munich</v>
      </c>
      <c r="O59" t="s">
        <v>702</v>
      </c>
      <c r="P59" t="s">
        <v>707</v>
      </c>
      <c r="Q59" t="s">
        <v>716</v>
      </c>
      <c r="R59" t="s">
        <v>733</v>
      </c>
      <c r="S59" t="s">
        <v>791</v>
      </c>
      <c r="T59" s="6">
        <v>346.82</v>
      </c>
      <c r="U59" s="8">
        <v>701.95</v>
      </c>
      <c r="V59" s="8">
        <f t="shared" si="7"/>
        <v>701.95</v>
      </c>
      <c r="W59" s="8" t="str">
        <f t="shared" si="8"/>
        <v>Low</v>
      </c>
      <c r="X59" s="15">
        <v>0.14699999999999999</v>
      </c>
      <c r="Y59" s="15">
        <f t="shared" si="16"/>
        <v>0.14699999999999999</v>
      </c>
      <c r="Z59" t="str">
        <f t="shared" si="9"/>
        <v>No</v>
      </c>
      <c r="AA59" s="17">
        <v>8</v>
      </c>
      <c r="AB59" s="8">
        <f t="shared" si="10"/>
        <v>4790.1068000000005</v>
      </c>
      <c r="AC59" s="8">
        <f t="shared" si="11"/>
        <v>2774.56</v>
      </c>
      <c r="AD59" s="8">
        <f t="shared" si="12"/>
        <v>2015.5468000000005</v>
      </c>
      <c r="AE59" s="15">
        <f t="shared" si="13"/>
        <v>0.42077283120284509</v>
      </c>
      <c r="AF59" s="34">
        <f>MIN(Y59,'Scenario Modeling'!$B$2)</f>
        <v>0.14699999999999999</v>
      </c>
      <c r="AG59">
        <f>ROUND(AA59 * (1 + 'Scenario Modeling'!$B$4), 0)</f>
        <v>8</v>
      </c>
      <c r="AH59">
        <f>T59 * (1 + 'Scenario Modeling'!$B$3)</f>
        <v>346.82</v>
      </c>
      <c r="AI59" s="8">
        <f t="shared" si="14"/>
        <v>4790.1068000000005</v>
      </c>
      <c r="AJ59" s="8">
        <f t="shared" si="15"/>
        <v>2015.5468000000005</v>
      </c>
    </row>
    <row r="60" spans="1:36">
      <c r="A60" t="s">
        <v>73</v>
      </c>
      <c r="B60" s="4">
        <v>45817</v>
      </c>
      <c r="C60" s="28">
        <v>45817</v>
      </c>
      <c r="D60" s="28" t="str">
        <f t="shared" si="1"/>
        <v>Q2-2025</v>
      </c>
      <c r="E60" s="4">
        <v>45826</v>
      </c>
      <c r="F60" s="4">
        <v>45826</v>
      </c>
      <c r="G60" s="17">
        <f t="shared" si="2"/>
        <v>9</v>
      </c>
      <c r="H60" s="17">
        <f t="shared" si="3"/>
        <v>9</v>
      </c>
      <c r="I60" t="str">
        <f t="shared" si="4"/>
        <v>No</v>
      </c>
      <c r="J60" s="2">
        <f t="shared" si="5"/>
        <v>44936</v>
      </c>
      <c r="K60" t="s">
        <v>649</v>
      </c>
      <c r="L60" t="s">
        <v>657</v>
      </c>
      <c r="M60" t="s">
        <v>673</v>
      </c>
      <c r="N60" t="str">
        <f t="shared" si="6"/>
        <v>Europe - France - Marseille</v>
      </c>
      <c r="O60" t="s">
        <v>705</v>
      </c>
      <c r="P60" t="s">
        <v>709</v>
      </c>
      <c r="Q60" t="s">
        <v>722</v>
      </c>
      <c r="R60" t="s">
        <v>733</v>
      </c>
      <c r="S60" t="s">
        <v>792</v>
      </c>
      <c r="T60" s="6">
        <v>1225.5</v>
      </c>
      <c r="U60" s="8">
        <v>-5.27</v>
      </c>
      <c r="V60" s="8">
        <f t="shared" si="7"/>
        <v>5.27</v>
      </c>
      <c r="W60" s="8" t="str">
        <f t="shared" si="8"/>
        <v>Low</v>
      </c>
      <c r="X60" s="15">
        <v>7.4999999999999997E-2</v>
      </c>
      <c r="Y60" s="15">
        <f t="shared" si="16"/>
        <v>7.4999999999999997E-2</v>
      </c>
      <c r="Z60" t="str">
        <f t="shared" si="9"/>
        <v>No</v>
      </c>
      <c r="AA60" s="17">
        <v>56</v>
      </c>
      <c r="AB60" s="8">
        <f t="shared" si="10"/>
        <v>-272.98599999999999</v>
      </c>
      <c r="AC60" s="8">
        <f t="shared" si="11"/>
        <v>68628</v>
      </c>
      <c r="AD60" s="8">
        <f t="shared" si="12"/>
        <v>-68900.986000000004</v>
      </c>
      <c r="AE60" s="15">
        <f t="shared" si="13"/>
        <v>252.39750756449052</v>
      </c>
      <c r="AF60" s="34">
        <f>MIN(Y60,'Scenario Modeling'!$B$2)</f>
        <v>7.4999999999999997E-2</v>
      </c>
      <c r="AG60">
        <f>ROUND(AA60 * (1 + 'Scenario Modeling'!$B$4), 0)</f>
        <v>56</v>
      </c>
      <c r="AH60">
        <f>T60 * (1 + 'Scenario Modeling'!$B$3)</f>
        <v>1225.5</v>
      </c>
      <c r="AI60" s="8">
        <f t="shared" si="14"/>
        <v>272.98599999999999</v>
      </c>
      <c r="AJ60" s="8">
        <f t="shared" si="15"/>
        <v>-68355.013999999996</v>
      </c>
    </row>
    <row r="61" spans="1:36">
      <c r="A61" t="s">
        <v>74</v>
      </c>
      <c r="B61" s="4">
        <v>45779</v>
      </c>
      <c r="C61" s="28">
        <v>45779</v>
      </c>
      <c r="D61" s="28" t="str">
        <f t="shared" si="1"/>
        <v>Q2-2025</v>
      </c>
      <c r="E61" s="4">
        <v>45790</v>
      </c>
      <c r="F61" s="4">
        <v>45790</v>
      </c>
      <c r="G61" s="17">
        <f t="shared" si="2"/>
        <v>11</v>
      </c>
      <c r="H61" s="17">
        <f t="shared" si="3"/>
        <v>11</v>
      </c>
      <c r="I61" t="str">
        <f t="shared" si="4"/>
        <v>No</v>
      </c>
      <c r="J61" s="2">
        <f t="shared" si="5"/>
        <v>44946</v>
      </c>
      <c r="K61" t="s">
        <v>646</v>
      </c>
      <c r="L61" t="s">
        <v>650</v>
      </c>
      <c r="M61" t="s">
        <v>678</v>
      </c>
      <c r="N61" t="str">
        <f t="shared" si="6"/>
        <v>Africa - Kenya - Nakuru</v>
      </c>
      <c r="O61" t="s">
        <v>705</v>
      </c>
      <c r="P61" t="s">
        <v>708</v>
      </c>
      <c r="Q61" t="s">
        <v>720</v>
      </c>
      <c r="R61" t="s">
        <v>733</v>
      </c>
      <c r="S61" t="s">
        <v>793</v>
      </c>
      <c r="T61" s="6">
        <v>1057.5999999999999</v>
      </c>
      <c r="U61" s="8">
        <v>1437.06</v>
      </c>
      <c r="V61" s="8">
        <f t="shared" si="7"/>
        <v>1437.06</v>
      </c>
      <c r="W61" s="8" t="str">
        <f t="shared" si="8"/>
        <v>Medium</v>
      </c>
      <c r="X61" s="15">
        <v>0.20499999999999999</v>
      </c>
      <c r="Y61" s="15">
        <f t="shared" si="16"/>
        <v>0.20499999999999999</v>
      </c>
      <c r="Z61" t="str">
        <f t="shared" si="9"/>
        <v>Yes</v>
      </c>
      <c r="AA61" s="17">
        <v>4</v>
      </c>
      <c r="AB61" s="8">
        <f t="shared" si="10"/>
        <v>4569.8508000000002</v>
      </c>
      <c r="AC61" s="8">
        <f t="shared" si="11"/>
        <v>4230.3999999999996</v>
      </c>
      <c r="AD61" s="8">
        <f t="shared" si="12"/>
        <v>339.45080000000053</v>
      </c>
      <c r="AE61" s="15">
        <f t="shared" si="13"/>
        <v>7.4280499485891424E-2</v>
      </c>
      <c r="AF61" s="34">
        <f>MIN(Y61,'Scenario Modeling'!$B$2)</f>
        <v>0.20499999999999999</v>
      </c>
      <c r="AG61">
        <f>ROUND(AA61 * (1 + 'Scenario Modeling'!$B$4), 0)</f>
        <v>4</v>
      </c>
      <c r="AH61">
        <f>T61 * (1 + 'Scenario Modeling'!$B$3)</f>
        <v>1057.5999999999999</v>
      </c>
      <c r="AI61" s="8">
        <f t="shared" si="14"/>
        <v>4569.8508000000002</v>
      </c>
      <c r="AJ61" s="8">
        <f t="shared" si="15"/>
        <v>339.45080000000053</v>
      </c>
    </row>
    <row r="62" spans="1:36">
      <c r="A62" t="s">
        <v>75</v>
      </c>
      <c r="B62" s="4">
        <v>45361</v>
      </c>
      <c r="C62" s="28">
        <v>45361</v>
      </c>
      <c r="D62" s="28" t="str">
        <f t="shared" si="1"/>
        <v>Q1-2024</v>
      </c>
      <c r="E62" s="4">
        <v>45391</v>
      </c>
      <c r="F62" s="4">
        <v>45391</v>
      </c>
      <c r="G62" s="17">
        <f t="shared" si="2"/>
        <v>30</v>
      </c>
      <c r="H62" s="17">
        <f t="shared" si="3"/>
        <v>30</v>
      </c>
      <c r="I62" t="str">
        <f t="shared" si="4"/>
        <v>No</v>
      </c>
      <c r="J62" s="2">
        <f t="shared" si="5"/>
        <v>44936</v>
      </c>
      <c r="K62" t="s">
        <v>649</v>
      </c>
      <c r="L62" t="s">
        <v>657</v>
      </c>
      <c r="M62" t="s">
        <v>679</v>
      </c>
      <c r="N62" t="str">
        <f t="shared" si="6"/>
        <v>Europe - France - Lyon</v>
      </c>
      <c r="O62" t="s">
        <v>701</v>
      </c>
      <c r="P62" t="s">
        <v>711</v>
      </c>
      <c r="Q62" t="s">
        <v>714</v>
      </c>
      <c r="R62" t="s">
        <v>727</v>
      </c>
      <c r="S62" t="s">
        <v>794</v>
      </c>
      <c r="T62" s="6">
        <v>1176.56</v>
      </c>
      <c r="U62" s="8">
        <v>1911.89</v>
      </c>
      <c r="V62" s="8">
        <f t="shared" si="7"/>
        <v>1911.89</v>
      </c>
      <c r="W62" s="8" t="str">
        <f t="shared" si="8"/>
        <v>High</v>
      </c>
      <c r="X62" s="15">
        <v>0.11899999999999999</v>
      </c>
      <c r="Y62" s="15">
        <f t="shared" si="16"/>
        <v>0.11899999999999999</v>
      </c>
      <c r="Z62" t="str">
        <f t="shared" si="9"/>
        <v>No</v>
      </c>
      <c r="AA62" s="17">
        <v>20</v>
      </c>
      <c r="AB62" s="8">
        <f t="shared" si="10"/>
        <v>33687.501800000005</v>
      </c>
      <c r="AC62" s="8">
        <f t="shared" si="11"/>
        <v>23531.199999999997</v>
      </c>
      <c r="AD62" s="8">
        <f t="shared" si="12"/>
        <v>10156.301800000008</v>
      </c>
      <c r="AE62" s="15">
        <f t="shared" si="13"/>
        <v>0.30148575160892477</v>
      </c>
      <c r="AF62" s="34">
        <f>MIN(Y62,'Scenario Modeling'!$B$2)</f>
        <v>0.11899999999999999</v>
      </c>
      <c r="AG62">
        <f>ROUND(AA62 * (1 + 'Scenario Modeling'!$B$4), 0)</f>
        <v>20</v>
      </c>
      <c r="AH62">
        <f>T62 * (1 + 'Scenario Modeling'!$B$3)</f>
        <v>1176.56</v>
      </c>
      <c r="AI62" s="8">
        <f t="shared" si="14"/>
        <v>33687.501800000005</v>
      </c>
      <c r="AJ62" s="8">
        <f t="shared" si="15"/>
        <v>10156.301800000008</v>
      </c>
    </row>
    <row r="63" spans="1:36">
      <c r="A63" t="s">
        <v>76</v>
      </c>
      <c r="B63" s="4">
        <v>45910</v>
      </c>
      <c r="C63" s="28">
        <v>45910</v>
      </c>
      <c r="D63" s="28" t="str">
        <f t="shared" si="1"/>
        <v>Q3-2025</v>
      </c>
      <c r="E63" s="4">
        <v>45912</v>
      </c>
      <c r="F63" s="4">
        <v>45912</v>
      </c>
      <c r="G63" s="17">
        <f t="shared" si="2"/>
        <v>2</v>
      </c>
      <c r="H63" s="17">
        <f t="shared" si="3"/>
        <v>2</v>
      </c>
      <c r="I63" t="str">
        <f t="shared" si="4"/>
        <v>Yes</v>
      </c>
      <c r="J63" s="2">
        <f t="shared" si="5"/>
        <v>44988</v>
      </c>
      <c r="K63" t="s">
        <v>647</v>
      </c>
      <c r="L63" t="s">
        <v>652</v>
      </c>
      <c r="M63" t="s">
        <v>689</v>
      </c>
      <c r="N63" t="str">
        <f t="shared" si="6"/>
        <v>Asia - Japan - Tokyo</v>
      </c>
      <c r="O63" t="s">
        <v>704</v>
      </c>
      <c r="P63" t="s">
        <v>708</v>
      </c>
      <c r="Q63" t="s">
        <v>719</v>
      </c>
      <c r="R63" t="s">
        <v>727</v>
      </c>
      <c r="S63" t="s">
        <v>795</v>
      </c>
      <c r="T63" s="6">
        <v>1470.15</v>
      </c>
      <c r="U63" s="8">
        <v>2593.7800000000002</v>
      </c>
      <c r="V63" s="8">
        <f t="shared" si="7"/>
        <v>2593.7800000000002</v>
      </c>
      <c r="W63" s="8" t="str">
        <f t="shared" si="8"/>
        <v>High</v>
      </c>
      <c r="X63" s="15">
        <v>0.11</v>
      </c>
      <c r="Y63" s="15">
        <f t="shared" si="16"/>
        <v>0.11</v>
      </c>
      <c r="Z63" t="str">
        <f t="shared" si="9"/>
        <v>No</v>
      </c>
      <c r="AA63" s="17">
        <v>12</v>
      </c>
      <c r="AB63" s="8">
        <f t="shared" si="10"/>
        <v>27701.570400000001</v>
      </c>
      <c r="AC63" s="8">
        <f t="shared" si="11"/>
        <v>17641.800000000003</v>
      </c>
      <c r="AD63" s="8">
        <f t="shared" si="12"/>
        <v>10059.770399999998</v>
      </c>
      <c r="AE63" s="15">
        <f t="shared" si="13"/>
        <v>0.36314801849645306</v>
      </c>
      <c r="AF63" s="34">
        <f>MIN(Y63,'Scenario Modeling'!$B$2)</f>
        <v>0.11</v>
      </c>
      <c r="AG63">
        <f>ROUND(AA63 * (1 + 'Scenario Modeling'!$B$4), 0)</f>
        <v>12</v>
      </c>
      <c r="AH63">
        <f>T63 * (1 + 'Scenario Modeling'!$B$3)</f>
        <v>1470.15</v>
      </c>
      <c r="AI63" s="8">
        <f t="shared" si="14"/>
        <v>27701.570400000001</v>
      </c>
      <c r="AJ63" s="8">
        <f t="shared" si="15"/>
        <v>10059.770399999998</v>
      </c>
    </row>
    <row r="64" spans="1:36">
      <c r="A64" t="s">
        <v>77</v>
      </c>
      <c r="B64" s="4">
        <v>45774</v>
      </c>
      <c r="C64" s="28">
        <v>45774</v>
      </c>
      <c r="D64" s="28" t="str">
        <f t="shared" si="1"/>
        <v>Q2-2025</v>
      </c>
      <c r="E64" s="4">
        <v>45802</v>
      </c>
      <c r="F64" s="4">
        <v>45802</v>
      </c>
      <c r="G64" s="17">
        <f t="shared" si="2"/>
        <v>28</v>
      </c>
      <c r="H64" s="17">
        <f t="shared" si="3"/>
        <v>28</v>
      </c>
      <c r="I64" t="str">
        <f t="shared" si="4"/>
        <v>No</v>
      </c>
      <c r="J64" s="2">
        <f t="shared" si="5"/>
        <v>44936</v>
      </c>
      <c r="K64" t="s">
        <v>649</v>
      </c>
      <c r="L64" t="s">
        <v>657</v>
      </c>
      <c r="M64" t="s">
        <v>690</v>
      </c>
      <c r="N64" t="str">
        <f t="shared" si="6"/>
        <v>Europe - France - Paris</v>
      </c>
      <c r="O64" t="s">
        <v>705</v>
      </c>
      <c r="P64" t="s">
        <v>709</v>
      </c>
      <c r="Q64" t="s">
        <v>714</v>
      </c>
      <c r="R64" t="s">
        <v>730</v>
      </c>
      <c r="S64" t="s">
        <v>796</v>
      </c>
      <c r="T64" s="6">
        <v>603.45000000000005</v>
      </c>
      <c r="U64" s="8">
        <v>1244.08</v>
      </c>
      <c r="V64" s="8">
        <f t="shared" si="7"/>
        <v>1244.08</v>
      </c>
      <c r="W64" s="8" t="str">
        <f t="shared" si="8"/>
        <v>Medium</v>
      </c>
      <c r="X64" s="15">
        <v>0.2</v>
      </c>
      <c r="Y64" s="15">
        <f t="shared" si="16"/>
        <v>0.2</v>
      </c>
      <c r="Z64" t="str">
        <f t="shared" si="9"/>
        <v>No</v>
      </c>
      <c r="AA64" s="17">
        <v>11</v>
      </c>
      <c r="AB64" s="8">
        <f t="shared" si="10"/>
        <v>10947.904</v>
      </c>
      <c r="AC64" s="8">
        <f t="shared" si="11"/>
        <v>6637.9500000000007</v>
      </c>
      <c r="AD64" s="8">
        <f t="shared" si="12"/>
        <v>4309.9539999999997</v>
      </c>
      <c r="AE64" s="15">
        <f t="shared" si="13"/>
        <v>0.39367846119220623</v>
      </c>
      <c r="AF64" s="34">
        <f>MIN(Y64,'Scenario Modeling'!$B$2)</f>
        <v>0.2</v>
      </c>
      <c r="AG64">
        <f>ROUND(AA64 * (1 + 'Scenario Modeling'!$B$4), 0)</f>
        <v>11</v>
      </c>
      <c r="AH64">
        <f>T64 * (1 + 'Scenario Modeling'!$B$3)</f>
        <v>603.45000000000005</v>
      </c>
      <c r="AI64" s="8">
        <f t="shared" si="14"/>
        <v>10947.904</v>
      </c>
      <c r="AJ64" s="8">
        <f t="shared" si="15"/>
        <v>4309.9539999999997</v>
      </c>
    </row>
    <row r="65" spans="1:36">
      <c r="A65" t="s">
        <v>78</v>
      </c>
      <c r="B65" s="4">
        <v>45598</v>
      </c>
      <c r="C65" s="28">
        <v>45598</v>
      </c>
      <c r="D65" s="28" t="str">
        <f t="shared" si="1"/>
        <v>Q4-2024</v>
      </c>
      <c r="E65" s="4">
        <v>45614</v>
      </c>
      <c r="F65" s="4">
        <v>45614</v>
      </c>
      <c r="G65" s="17">
        <f t="shared" si="2"/>
        <v>16</v>
      </c>
      <c r="H65" s="17">
        <f t="shared" si="3"/>
        <v>16</v>
      </c>
      <c r="I65" t="str">
        <f t="shared" si="4"/>
        <v>No</v>
      </c>
      <c r="J65" s="2">
        <f t="shared" si="5"/>
        <v>44955</v>
      </c>
      <c r="K65" t="s">
        <v>647</v>
      </c>
      <c r="L65" t="s">
        <v>654</v>
      </c>
      <c r="M65" t="s">
        <v>691</v>
      </c>
      <c r="N65" t="str">
        <f t="shared" si="6"/>
        <v>Asia - India - Mumbai</v>
      </c>
      <c r="O65" t="s">
        <v>705</v>
      </c>
      <c r="P65" t="s">
        <v>710</v>
      </c>
      <c r="Q65" t="s">
        <v>719</v>
      </c>
      <c r="R65" t="s">
        <v>732</v>
      </c>
      <c r="S65" t="s">
        <v>797</v>
      </c>
      <c r="T65" s="6">
        <v>1233.58</v>
      </c>
      <c r="U65" s="8">
        <v>1912.51</v>
      </c>
      <c r="V65" s="8">
        <f t="shared" si="7"/>
        <v>1912.51</v>
      </c>
      <c r="W65" s="8" t="str">
        <f t="shared" si="8"/>
        <v>High</v>
      </c>
      <c r="X65" s="15">
        <v>0.255</v>
      </c>
      <c r="Y65" s="15">
        <f t="shared" si="16"/>
        <v>0.255</v>
      </c>
      <c r="Z65" t="str">
        <f t="shared" si="9"/>
        <v>Yes</v>
      </c>
      <c r="AA65" s="17">
        <v>51</v>
      </c>
      <c r="AB65" s="8">
        <f t="shared" si="10"/>
        <v>72665.817450000002</v>
      </c>
      <c r="AC65" s="8">
        <f t="shared" si="11"/>
        <v>62912.579999999994</v>
      </c>
      <c r="AD65" s="8">
        <f t="shared" si="12"/>
        <v>9753.2374500000078</v>
      </c>
      <c r="AE65" s="15">
        <f t="shared" si="13"/>
        <v>0.134220432553601</v>
      </c>
      <c r="AF65" s="34">
        <f>MIN(Y65,'Scenario Modeling'!$B$2)</f>
        <v>0.25</v>
      </c>
      <c r="AG65">
        <f>ROUND(AA65 * (1 + 'Scenario Modeling'!$B$4), 0)</f>
        <v>51</v>
      </c>
      <c r="AH65">
        <f>T65 * (1 + 'Scenario Modeling'!$B$3)</f>
        <v>1233.58</v>
      </c>
      <c r="AI65" s="8">
        <f t="shared" si="14"/>
        <v>73153.507499999992</v>
      </c>
      <c r="AJ65" s="8">
        <f t="shared" si="15"/>
        <v>10240.927499999998</v>
      </c>
    </row>
    <row r="66" spans="1:36">
      <c r="A66" t="s">
        <v>79</v>
      </c>
      <c r="B66" s="4">
        <v>44972</v>
      </c>
      <c r="C66" s="28">
        <v>44972</v>
      </c>
      <c r="D66" s="28" t="str">
        <f t="shared" si="1"/>
        <v>Q1-2023</v>
      </c>
      <c r="E66" s="4">
        <v>44983</v>
      </c>
      <c r="F66" s="4">
        <v>44983</v>
      </c>
      <c r="G66" s="17">
        <f t="shared" si="2"/>
        <v>11</v>
      </c>
      <c r="H66" s="17">
        <f t="shared" si="3"/>
        <v>11</v>
      </c>
      <c r="I66" t="str">
        <f t="shared" si="4"/>
        <v>No</v>
      </c>
      <c r="J66" s="2">
        <f t="shared" si="5"/>
        <v>44933</v>
      </c>
      <c r="K66" t="s">
        <v>646</v>
      </c>
      <c r="L66" t="s">
        <v>661</v>
      </c>
      <c r="M66" t="s">
        <v>682</v>
      </c>
      <c r="N66" t="str">
        <f t="shared" si="6"/>
        <v>Africa - South Africa - Johannesburg</v>
      </c>
      <c r="O66" t="s">
        <v>703</v>
      </c>
      <c r="P66" t="s">
        <v>707</v>
      </c>
      <c r="Q66" t="s">
        <v>723</v>
      </c>
      <c r="R66" t="s">
        <v>731</v>
      </c>
      <c r="S66" t="s">
        <v>798</v>
      </c>
      <c r="T66" s="6">
        <v>498.5</v>
      </c>
      <c r="U66" s="8">
        <v>755.87</v>
      </c>
      <c r="V66" s="8">
        <f t="shared" si="7"/>
        <v>755.87</v>
      </c>
      <c r="W66" s="8" t="str">
        <f t="shared" si="8"/>
        <v>Low</v>
      </c>
      <c r="X66" s="15">
        <v>0.13</v>
      </c>
      <c r="Y66" s="15">
        <f t="shared" ref="Y66" si="17">IF(X66&gt;30%,AVERAGEIF($X$2:$X$633,"&lt;30%"),X66)</f>
        <v>0.13</v>
      </c>
      <c r="Z66" t="str">
        <f t="shared" si="9"/>
        <v>No</v>
      </c>
      <c r="AA66" s="17">
        <v>40</v>
      </c>
      <c r="AB66" s="8">
        <f t="shared" si="10"/>
        <v>26304.275999999998</v>
      </c>
      <c r="AC66" s="8">
        <f t="shared" si="11"/>
        <v>19940</v>
      </c>
      <c r="AD66" s="8">
        <f t="shared" si="12"/>
        <v>6364.275999999998</v>
      </c>
      <c r="AE66" s="15">
        <f t="shared" si="13"/>
        <v>0.24194834330357537</v>
      </c>
      <c r="AF66" s="34">
        <f>MIN(Y66,'Scenario Modeling'!$B$2)</f>
        <v>0.13</v>
      </c>
      <c r="AG66">
        <f>ROUND(AA66 * (1 + 'Scenario Modeling'!$B$4), 0)</f>
        <v>40</v>
      </c>
      <c r="AH66">
        <f>T66 * (1 + 'Scenario Modeling'!$B$3)</f>
        <v>498.5</v>
      </c>
      <c r="AI66" s="8">
        <f t="shared" si="14"/>
        <v>26304.275999999998</v>
      </c>
      <c r="AJ66" s="8">
        <f t="shared" si="15"/>
        <v>6364.275999999998</v>
      </c>
    </row>
    <row r="67" spans="1:36">
      <c r="A67" t="s">
        <v>80</v>
      </c>
      <c r="B67" s="4">
        <v>45263</v>
      </c>
      <c r="C67" s="28">
        <v>45263</v>
      </c>
      <c r="D67" s="28" t="str">
        <f t="shared" ref="D67:D130" si="18">"Q"&amp;ROUNDUP(MONTH(B67)/3,0)&amp;"-"&amp;YEAR(B67)</f>
        <v>Q4-2023</v>
      </c>
      <c r="E67" s="4">
        <v>45286</v>
      </c>
      <c r="F67" s="4">
        <v>45286</v>
      </c>
      <c r="G67" s="17">
        <f t="shared" ref="G67:G130" si="19">E67-B67</f>
        <v>23</v>
      </c>
      <c r="H67" s="17">
        <f t="shared" ref="H67:H130" si="20">F67-B67</f>
        <v>23</v>
      </c>
      <c r="I67" t="str">
        <f t="shared" ref="I67:I130" si="21">IF(H67&lt;=7, "Yes", "No")</f>
        <v>No</v>
      </c>
      <c r="J67" s="2">
        <f t="shared" ref="J67:J130" si="22">_xlfn.MINIFS($B$2:$B$633, $L$2:$L$633, L67)</f>
        <v>44955</v>
      </c>
      <c r="K67" t="s">
        <v>648</v>
      </c>
      <c r="L67" t="s">
        <v>655</v>
      </c>
      <c r="M67" t="s">
        <v>692</v>
      </c>
      <c r="N67" t="str">
        <f t="shared" ref="N67:N130" si="23">_xlfn.TEXTJOIN(" - ", TRUE, K67:M67)</f>
        <v>Americas - Brazil - Rio de Janeiro</v>
      </c>
      <c r="O67" t="s">
        <v>702</v>
      </c>
      <c r="P67" t="s">
        <v>707</v>
      </c>
      <c r="Q67" t="s">
        <v>719</v>
      </c>
      <c r="R67" t="s">
        <v>730</v>
      </c>
      <c r="S67" t="s">
        <v>799</v>
      </c>
      <c r="T67" s="6">
        <v>1303.1099999999999</v>
      </c>
      <c r="U67" s="8">
        <v>1145.67</v>
      </c>
      <c r="V67" s="8">
        <f t="shared" ref="V67:V130" si="24">ABS(U67)</f>
        <v>1145.67</v>
      </c>
      <c r="W67" s="8" t="str">
        <f t="shared" ref="W67:W130" si="25">IF(V67 &lt;= _xlfn.PERCENTILE.INC($V$2:$V$633, 0.33), "Low", IF(V67 &lt;= _xlfn.PERCENTILE.INC($V$2:$V$633, 0.67), "Medium", "High"))</f>
        <v>Medium</v>
      </c>
      <c r="X67" s="15">
        <v>0.184</v>
      </c>
      <c r="Y67" s="15">
        <f t="shared" ref="Y67:Y130" si="26">IF(X67&gt;30%,AVERAGEIF($X$2:$X$633,"&lt;30%"),X67)</f>
        <v>0.184</v>
      </c>
      <c r="Z67" t="str">
        <f t="shared" ref="Z67:Z130" si="27">IF(Y67&gt;0.2, "Yes", "No")</f>
        <v>No</v>
      </c>
      <c r="AA67" s="17">
        <v>13</v>
      </c>
      <c r="AB67" s="8">
        <f t="shared" ref="AB67:AB130" si="28">U67*AA67*(1-Y67)</f>
        <v>12153.267360000002</v>
      </c>
      <c r="AC67" s="8">
        <f t="shared" ref="AC67:AC130" si="29">T67*AA67</f>
        <v>16940.43</v>
      </c>
      <c r="AD67" s="8">
        <f t="shared" ref="AD67:AD130" si="30">AB67-AC67</f>
        <v>-4787.1626399999986</v>
      </c>
      <c r="AE67" s="15">
        <f t="shared" ref="AE67:AE130" si="31" xml:space="preserve"> IF(AB67=0, 0, AD67 / AB67)</f>
        <v>-0.39389922875851208</v>
      </c>
      <c r="AF67" s="34">
        <f>MIN(Y67,'Scenario Modeling'!$B$2)</f>
        <v>0.184</v>
      </c>
      <c r="AG67">
        <f>ROUND(AA67 * (1 + 'Scenario Modeling'!$B$4), 0)</f>
        <v>13</v>
      </c>
      <c r="AH67">
        <f>T67 * (1 + 'Scenario Modeling'!$B$3)</f>
        <v>1303.1099999999999</v>
      </c>
      <c r="AI67" s="8">
        <f t="shared" ref="AI67:AI130" si="32">V67 * AG67 * (1 - AF67)</f>
        <v>12153.267360000002</v>
      </c>
      <c r="AJ67" s="8">
        <f t="shared" ref="AJ67:AJ130" si="33">AI67 - (AH67 * AG67)</f>
        <v>-4787.1626399999986</v>
      </c>
    </row>
    <row r="68" spans="1:36">
      <c r="A68" t="s">
        <v>81</v>
      </c>
      <c r="B68" s="4">
        <v>45004</v>
      </c>
      <c r="C68" s="28">
        <v>45004</v>
      </c>
      <c r="D68" s="28" t="str">
        <f t="shared" si="18"/>
        <v>Q1-2023</v>
      </c>
      <c r="E68" s="4">
        <v>45025</v>
      </c>
      <c r="F68" s="4">
        <v>45025</v>
      </c>
      <c r="G68" s="17">
        <f t="shared" si="19"/>
        <v>21</v>
      </c>
      <c r="H68" s="17">
        <f t="shared" si="20"/>
        <v>21</v>
      </c>
      <c r="I68" t="str">
        <f t="shared" si="21"/>
        <v>No</v>
      </c>
      <c r="J68" s="2">
        <f t="shared" si="22"/>
        <v>44945</v>
      </c>
      <c r="K68" t="s">
        <v>649</v>
      </c>
      <c r="L68" t="s">
        <v>658</v>
      </c>
      <c r="M68" t="s">
        <v>693</v>
      </c>
      <c r="N68" t="str">
        <f t="shared" si="23"/>
        <v>Europe - United Kingdom - Manchester</v>
      </c>
      <c r="O68" t="s">
        <v>704</v>
      </c>
      <c r="P68" t="s">
        <v>707</v>
      </c>
      <c r="Q68" t="s">
        <v>716</v>
      </c>
      <c r="R68" t="s">
        <v>733</v>
      </c>
      <c r="S68" t="s">
        <v>800</v>
      </c>
      <c r="T68" s="6">
        <v>1082.17</v>
      </c>
      <c r="U68" s="8">
        <v>1234.0999999999999</v>
      </c>
      <c r="V68" s="8">
        <f t="shared" si="24"/>
        <v>1234.0999999999999</v>
      </c>
      <c r="W68" s="8" t="str">
        <f t="shared" si="25"/>
        <v>Medium</v>
      </c>
      <c r="X68" s="15">
        <v>0.189</v>
      </c>
      <c r="Y68" s="15">
        <f t="shared" si="26"/>
        <v>0.189</v>
      </c>
      <c r="Z68" t="str">
        <f t="shared" si="27"/>
        <v>No</v>
      </c>
      <c r="AA68" s="17">
        <v>16</v>
      </c>
      <c r="AB68" s="8">
        <f t="shared" si="28"/>
        <v>16013.681599999998</v>
      </c>
      <c r="AC68" s="8">
        <f t="shared" si="29"/>
        <v>17314.72</v>
      </c>
      <c r="AD68" s="8">
        <f t="shared" si="30"/>
        <v>-1301.0384000000031</v>
      </c>
      <c r="AE68" s="15">
        <f t="shared" si="31"/>
        <v>-8.124542703534228E-2</v>
      </c>
      <c r="AF68" s="34">
        <f>MIN(Y68,'Scenario Modeling'!$B$2)</f>
        <v>0.189</v>
      </c>
      <c r="AG68">
        <f>ROUND(AA68 * (1 + 'Scenario Modeling'!$B$4), 0)</f>
        <v>16</v>
      </c>
      <c r="AH68">
        <f>T68 * (1 + 'Scenario Modeling'!$B$3)</f>
        <v>1082.17</v>
      </c>
      <c r="AI68" s="8">
        <f t="shared" si="32"/>
        <v>16013.681599999998</v>
      </c>
      <c r="AJ68" s="8">
        <f t="shared" si="33"/>
        <v>-1301.0384000000031</v>
      </c>
    </row>
    <row r="69" spans="1:36">
      <c r="A69" t="s">
        <v>82</v>
      </c>
      <c r="B69" s="4">
        <v>45434</v>
      </c>
      <c r="C69" s="28">
        <v>45434</v>
      </c>
      <c r="D69" s="28" t="str">
        <f t="shared" si="18"/>
        <v>Q2-2024</v>
      </c>
      <c r="E69" s="4">
        <v>45449</v>
      </c>
      <c r="F69" s="4">
        <v>45449</v>
      </c>
      <c r="G69" s="17">
        <f t="shared" si="19"/>
        <v>15</v>
      </c>
      <c r="H69" s="17">
        <f t="shared" si="20"/>
        <v>15</v>
      </c>
      <c r="I69" t="str">
        <f t="shared" si="21"/>
        <v>No</v>
      </c>
      <c r="J69" s="2">
        <f t="shared" si="22"/>
        <v>44988</v>
      </c>
      <c r="K69" t="s">
        <v>647</v>
      </c>
      <c r="L69" t="s">
        <v>652</v>
      </c>
      <c r="M69" t="s">
        <v>694</v>
      </c>
      <c r="N69" t="str">
        <f t="shared" si="23"/>
        <v>Asia - Japan - Nagoya</v>
      </c>
      <c r="O69" t="s">
        <v>701</v>
      </c>
      <c r="P69" t="s">
        <v>710</v>
      </c>
      <c r="Q69" t="s">
        <v>712</v>
      </c>
      <c r="R69" t="s">
        <v>732</v>
      </c>
      <c r="S69" t="s">
        <v>801</v>
      </c>
      <c r="T69" s="6">
        <v>673.88</v>
      </c>
      <c r="U69" s="8">
        <v>1228.01</v>
      </c>
      <c r="V69" s="8">
        <f t="shared" si="24"/>
        <v>1228.01</v>
      </c>
      <c r="W69" s="8" t="str">
        <f t="shared" si="25"/>
        <v>Medium</v>
      </c>
      <c r="X69" s="15">
        <v>0.105</v>
      </c>
      <c r="Y69" s="15">
        <f t="shared" si="26"/>
        <v>0.105</v>
      </c>
      <c r="Z69" t="str">
        <f t="shared" si="27"/>
        <v>No</v>
      </c>
      <c r="AA69" s="17">
        <v>13</v>
      </c>
      <c r="AB69" s="8">
        <f t="shared" si="28"/>
        <v>14287.896349999999</v>
      </c>
      <c r="AC69" s="8">
        <f t="shared" si="29"/>
        <v>8760.44</v>
      </c>
      <c r="AD69" s="8">
        <f t="shared" si="30"/>
        <v>5527.4563499999986</v>
      </c>
      <c r="AE69" s="15">
        <f t="shared" si="31"/>
        <v>0.38686285332689996</v>
      </c>
      <c r="AF69" s="34">
        <f>MIN(Y69,'Scenario Modeling'!$B$2)</f>
        <v>0.105</v>
      </c>
      <c r="AG69">
        <f>ROUND(AA69 * (1 + 'Scenario Modeling'!$B$4), 0)</f>
        <v>13</v>
      </c>
      <c r="AH69">
        <f>T69 * (1 + 'Scenario Modeling'!$B$3)</f>
        <v>673.88</v>
      </c>
      <c r="AI69" s="8">
        <f t="shared" si="32"/>
        <v>14287.896349999999</v>
      </c>
      <c r="AJ69" s="8">
        <f t="shared" si="33"/>
        <v>5527.4563499999986</v>
      </c>
    </row>
    <row r="70" spans="1:36">
      <c r="A70" t="s">
        <v>83</v>
      </c>
      <c r="B70" s="4">
        <v>45157</v>
      </c>
      <c r="C70" s="28">
        <v>45157</v>
      </c>
      <c r="D70" s="28" t="str">
        <f t="shared" si="18"/>
        <v>Q3-2023</v>
      </c>
      <c r="E70" s="4">
        <v>45176</v>
      </c>
      <c r="F70" s="4">
        <v>45176</v>
      </c>
      <c r="G70" s="17">
        <f t="shared" si="19"/>
        <v>19</v>
      </c>
      <c r="H70" s="17">
        <f t="shared" si="20"/>
        <v>19</v>
      </c>
      <c r="I70" t="str">
        <f t="shared" si="21"/>
        <v>No</v>
      </c>
      <c r="J70" s="2">
        <f t="shared" si="22"/>
        <v>44933</v>
      </c>
      <c r="K70" t="s">
        <v>646</v>
      </c>
      <c r="L70" t="s">
        <v>661</v>
      </c>
      <c r="M70" t="s">
        <v>682</v>
      </c>
      <c r="N70" t="str">
        <f t="shared" si="23"/>
        <v>Africa - South Africa - Johannesburg</v>
      </c>
      <c r="O70" t="s">
        <v>706</v>
      </c>
      <c r="P70" t="s">
        <v>707</v>
      </c>
      <c r="Q70" t="s">
        <v>726</v>
      </c>
      <c r="R70" t="s">
        <v>732</v>
      </c>
      <c r="S70" t="s">
        <v>802</v>
      </c>
      <c r="T70" s="6">
        <v>494.61</v>
      </c>
      <c r="U70" s="8">
        <v>605.23</v>
      </c>
      <c r="V70" s="8">
        <f t="shared" si="24"/>
        <v>605.23</v>
      </c>
      <c r="W70" s="8" t="str">
        <f t="shared" si="25"/>
        <v>Low</v>
      </c>
      <c r="X70" s="15">
        <v>0.20399999999999999</v>
      </c>
      <c r="Y70" s="15">
        <f t="shared" si="26"/>
        <v>0.20399999999999999</v>
      </c>
      <c r="Z70" t="str">
        <f t="shared" si="27"/>
        <v>Yes</v>
      </c>
      <c r="AA70" s="17">
        <v>18</v>
      </c>
      <c r="AB70" s="8">
        <f t="shared" si="28"/>
        <v>8671.7354400000004</v>
      </c>
      <c r="AC70" s="8">
        <f t="shared" si="29"/>
        <v>8902.98</v>
      </c>
      <c r="AD70" s="8">
        <f t="shared" si="30"/>
        <v>-231.24455999999918</v>
      </c>
      <c r="AE70" s="15">
        <f t="shared" si="31"/>
        <v>-2.6666468505639647E-2</v>
      </c>
      <c r="AF70" s="34">
        <f>MIN(Y70,'Scenario Modeling'!$B$2)</f>
        <v>0.20399999999999999</v>
      </c>
      <c r="AG70">
        <f>ROUND(AA70 * (1 + 'Scenario Modeling'!$B$4), 0)</f>
        <v>18</v>
      </c>
      <c r="AH70">
        <f>T70 * (1 + 'Scenario Modeling'!$B$3)</f>
        <v>494.61</v>
      </c>
      <c r="AI70" s="8">
        <f t="shared" si="32"/>
        <v>8671.7354400000004</v>
      </c>
      <c r="AJ70" s="8">
        <f t="shared" si="33"/>
        <v>-231.24455999999918</v>
      </c>
    </row>
    <row r="71" spans="1:36">
      <c r="A71" t="s">
        <v>84</v>
      </c>
      <c r="B71" s="4">
        <v>45037</v>
      </c>
      <c r="C71" s="28">
        <v>45037</v>
      </c>
      <c r="D71" s="28" t="str">
        <f t="shared" si="18"/>
        <v>Q2-2023</v>
      </c>
      <c r="E71" s="4">
        <v>45056</v>
      </c>
      <c r="F71" s="4">
        <v>45056</v>
      </c>
      <c r="G71" s="17">
        <f t="shared" si="19"/>
        <v>19</v>
      </c>
      <c r="H71" s="17">
        <f t="shared" si="20"/>
        <v>19</v>
      </c>
      <c r="I71" t="str">
        <f t="shared" si="21"/>
        <v>No</v>
      </c>
      <c r="J71" s="2">
        <f t="shared" si="22"/>
        <v>44938</v>
      </c>
      <c r="K71" t="s">
        <v>647</v>
      </c>
      <c r="L71" t="s">
        <v>659</v>
      </c>
      <c r="M71" t="s">
        <v>685</v>
      </c>
      <c r="N71" t="str">
        <f t="shared" si="23"/>
        <v>Asia - China - Shanghai</v>
      </c>
      <c r="O71" t="s">
        <v>701</v>
      </c>
      <c r="P71" t="s">
        <v>707</v>
      </c>
      <c r="Q71" t="s">
        <v>720</v>
      </c>
      <c r="R71" t="s">
        <v>727</v>
      </c>
      <c r="S71" t="s">
        <v>803</v>
      </c>
      <c r="T71" s="6">
        <v>882.33</v>
      </c>
      <c r="U71" s="8">
        <v>1880.15</v>
      </c>
      <c r="V71" s="8">
        <f t="shared" si="24"/>
        <v>1880.15</v>
      </c>
      <c r="W71" s="8" t="str">
        <f t="shared" si="25"/>
        <v>High</v>
      </c>
      <c r="X71" s="15">
        <v>0.05</v>
      </c>
      <c r="Y71" s="15">
        <f t="shared" si="26"/>
        <v>0.05</v>
      </c>
      <c r="Z71" t="str">
        <f t="shared" si="27"/>
        <v>No</v>
      </c>
      <c r="AA71" s="17">
        <v>5</v>
      </c>
      <c r="AB71" s="8">
        <f t="shared" si="28"/>
        <v>8930.7124999999996</v>
      </c>
      <c r="AC71" s="8">
        <f t="shared" si="29"/>
        <v>4411.6500000000005</v>
      </c>
      <c r="AD71" s="8">
        <f t="shared" si="30"/>
        <v>4519.0624999999991</v>
      </c>
      <c r="AE71" s="15">
        <f t="shared" si="31"/>
        <v>0.50601365792482955</v>
      </c>
      <c r="AF71" s="34">
        <f>MIN(Y71,'Scenario Modeling'!$B$2)</f>
        <v>0.05</v>
      </c>
      <c r="AG71">
        <f>ROUND(AA71 * (1 + 'Scenario Modeling'!$B$4), 0)</f>
        <v>5</v>
      </c>
      <c r="AH71">
        <f>T71 * (1 + 'Scenario Modeling'!$B$3)</f>
        <v>882.33</v>
      </c>
      <c r="AI71" s="8">
        <f t="shared" si="32"/>
        <v>8930.7124999999996</v>
      </c>
      <c r="AJ71" s="8">
        <f t="shared" si="33"/>
        <v>4519.0624999999991</v>
      </c>
    </row>
    <row r="72" spans="1:36">
      <c r="A72" t="s">
        <v>85</v>
      </c>
      <c r="B72" s="4">
        <v>45369</v>
      </c>
      <c r="C72" s="28">
        <v>45369</v>
      </c>
      <c r="D72" s="28" t="str">
        <f t="shared" si="18"/>
        <v>Q1-2024</v>
      </c>
      <c r="E72" s="4">
        <v>45372</v>
      </c>
      <c r="F72" s="4">
        <v>45372</v>
      </c>
      <c r="G72" s="17">
        <f t="shared" si="19"/>
        <v>3</v>
      </c>
      <c r="H72" s="17">
        <f t="shared" si="20"/>
        <v>3</v>
      </c>
      <c r="I72" t="str">
        <f t="shared" si="21"/>
        <v>Yes</v>
      </c>
      <c r="J72" s="2">
        <f t="shared" si="22"/>
        <v>44948</v>
      </c>
      <c r="K72" t="s">
        <v>649</v>
      </c>
      <c r="L72" t="s">
        <v>656</v>
      </c>
      <c r="M72" t="s">
        <v>684</v>
      </c>
      <c r="N72" t="str">
        <f t="shared" si="23"/>
        <v>Europe - Germany - Munich</v>
      </c>
      <c r="O72" t="s">
        <v>705</v>
      </c>
      <c r="P72" t="s">
        <v>708</v>
      </c>
      <c r="Q72" t="s">
        <v>724</v>
      </c>
      <c r="R72" t="s">
        <v>733</v>
      </c>
      <c r="S72" t="s">
        <v>804</v>
      </c>
      <c r="T72" s="6">
        <v>910.63</v>
      </c>
      <c r="U72" s="8">
        <v>1269.4000000000001</v>
      </c>
      <c r="V72" s="8">
        <f t="shared" si="24"/>
        <v>1269.4000000000001</v>
      </c>
      <c r="W72" s="8" t="str">
        <f t="shared" si="25"/>
        <v>Medium</v>
      </c>
      <c r="X72" s="15">
        <v>6.8000000000000005E-2</v>
      </c>
      <c r="Y72" s="15">
        <f t="shared" si="26"/>
        <v>6.8000000000000005E-2</v>
      </c>
      <c r="Z72" t="str">
        <f t="shared" si="27"/>
        <v>No</v>
      </c>
      <c r="AA72" s="17">
        <v>9</v>
      </c>
      <c r="AB72" s="8">
        <f t="shared" si="28"/>
        <v>10647.727199999999</v>
      </c>
      <c r="AC72" s="8">
        <f t="shared" si="29"/>
        <v>8195.67</v>
      </c>
      <c r="AD72" s="8">
        <f t="shared" si="30"/>
        <v>2452.0571999999993</v>
      </c>
      <c r="AE72" s="15">
        <f t="shared" si="31"/>
        <v>0.23028925834989455</v>
      </c>
      <c r="AF72" s="34">
        <f>MIN(Y72,'Scenario Modeling'!$B$2)</f>
        <v>6.8000000000000005E-2</v>
      </c>
      <c r="AG72">
        <f>ROUND(AA72 * (1 + 'Scenario Modeling'!$B$4), 0)</f>
        <v>9</v>
      </c>
      <c r="AH72">
        <f>T72 * (1 + 'Scenario Modeling'!$B$3)</f>
        <v>910.63</v>
      </c>
      <c r="AI72" s="8">
        <f t="shared" si="32"/>
        <v>10647.727199999999</v>
      </c>
      <c r="AJ72" s="8">
        <f t="shared" si="33"/>
        <v>2452.0571999999993</v>
      </c>
    </row>
    <row r="73" spans="1:36">
      <c r="A73" t="s">
        <v>86</v>
      </c>
      <c r="B73" s="4">
        <v>45756</v>
      </c>
      <c r="C73" s="28">
        <v>45756</v>
      </c>
      <c r="D73" s="28" t="str">
        <f t="shared" si="18"/>
        <v>Q2-2025</v>
      </c>
      <c r="E73" s="4">
        <v>45783</v>
      </c>
      <c r="F73" s="4">
        <v>45783</v>
      </c>
      <c r="G73" s="17">
        <f t="shared" si="19"/>
        <v>27</v>
      </c>
      <c r="H73" s="17">
        <f t="shared" si="20"/>
        <v>27</v>
      </c>
      <c r="I73" t="str">
        <f t="shared" si="21"/>
        <v>No</v>
      </c>
      <c r="J73" s="2">
        <f t="shared" si="22"/>
        <v>44955</v>
      </c>
      <c r="K73" t="s">
        <v>648</v>
      </c>
      <c r="L73" t="s">
        <v>655</v>
      </c>
      <c r="M73" t="s">
        <v>672</v>
      </c>
      <c r="N73" t="str">
        <f t="shared" si="23"/>
        <v>Americas - Brazil - Brasília</v>
      </c>
      <c r="O73" t="s">
        <v>706</v>
      </c>
      <c r="P73" t="s">
        <v>709</v>
      </c>
      <c r="Q73" t="s">
        <v>721</v>
      </c>
      <c r="R73" t="s">
        <v>731</v>
      </c>
      <c r="S73" t="s">
        <v>805</v>
      </c>
      <c r="T73" s="6">
        <v>264.19</v>
      </c>
      <c r="U73" s="8">
        <v>620.92999999999995</v>
      </c>
      <c r="V73" s="8">
        <f t="shared" si="24"/>
        <v>620.92999999999995</v>
      </c>
      <c r="W73" s="8" t="str">
        <f t="shared" si="25"/>
        <v>Low</v>
      </c>
      <c r="X73" s="15">
        <v>0.14199999999999999</v>
      </c>
      <c r="Y73" s="15">
        <f t="shared" si="26"/>
        <v>0.14199999999999999</v>
      </c>
      <c r="Z73" t="str">
        <f t="shared" si="27"/>
        <v>No</v>
      </c>
      <c r="AA73" s="17">
        <v>12</v>
      </c>
      <c r="AB73" s="8">
        <f t="shared" si="28"/>
        <v>6393.0952799999995</v>
      </c>
      <c r="AC73" s="8">
        <f t="shared" si="29"/>
        <v>3170.2799999999997</v>
      </c>
      <c r="AD73" s="8">
        <f t="shared" si="30"/>
        <v>3222.8152799999998</v>
      </c>
      <c r="AE73" s="15">
        <f t="shared" si="31"/>
        <v>0.50410875152794532</v>
      </c>
      <c r="AF73" s="34">
        <f>MIN(Y73,'Scenario Modeling'!$B$2)</f>
        <v>0.14199999999999999</v>
      </c>
      <c r="AG73">
        <f>ROUND(AA73 * (1 + 'Scenario Modeling'!$B$4), 0)</f>
        <v>12</v>
      </c>
      <c r="AH73">
        <f>T73 * (1 + 'Scenario Modeling'!$B$3)</f>
        <v>264.19</v>
      </c>
      <c r="AI73" s="8">
        <f t="shared" si="32"/>
        <v>6393.0952799999995</v>
      </c>
      <c r="AJ73" s="8">
        <f t="shared" si="33"/>
        <v>3222.8152799999998</v>
      </c>
    </row>
    <row r="74" spans="1:36">
      <c r="A74" t="s">
        <v>87</v>
      </c>
      <c r="B74" s="4">
        <v>45394</v>
      </c>
      <c r="C74" s="28">
        <v>45394</v>
      </c>
      <c r="D74" s="28" t="str">
        <f t="shared" si="18"/>
        <v>Q2-2024</v>
      </c>
      <c r="E74" s="4">
        <v>45419</v>
      </c>
      <c r="F74" s="4">
        <v>45419</v>
      </c>
      <c r="G74" s="17">
        <f t="shared" si="19"/>
        <v>25</v>
      </c>
      <c r="H74" s="17">
        <f t="shared" si="20"/>
        <v>25</v>
      </c>
      <c r="I74" t="str">
        <f t="shared" si="21"/>
        <v>No</v>
      </c>
      <c r="J74" s="2">
        <f t="shared" si="22"/>
        <v>44933</v>
      </c>
      <c r="K74" t="s">
        <v>646</v>
      </c>
      <c r="L74" t="s">
        <v>661</v>
      </c>
      <c r="M74" t="s">
        <v>682</v>
      </c>
      <c r="N74" t="str">
        <f t="shared" si="23"/>
        <v>Africa - South Africa - Johannesburg</v>
      </c>
      <c r="O74" t="s">
        <v>702</v>
      </c>
      <c r="P74" t="s">
        <v>710</v>
      </c>
      <c r="Q74" t="s">
        <v>720</v>
      </c>
      <c r="R74" t="s">
        <v>731</v>
      </c>
      <c r="S74" t="s">
        <v>806</v>
      </c>
      <c r="T74" s="6">
        <v>1376.51</v>
      </c>
      <c r="U74" s="8">
        <v>1455.91</v>
      </c>
      <c r="V74" s="8">
        <f t="shared" si="24"/>
        <v>1455.91</v>
      </c>
      <c r="W74" s="8" t="str">
        <f t="shared" si="25"/>
        <v>Medium</v>
      </c>
      <c r="X74" s="15">
        <v>0.185</v>
      </c>
      <c r="Y74" s="15">
        <f t="shared" si="26"/>
        <v>0.185</v>
      </c>
      <c r="Z74" t="str">
        <f t="shared" si="27"/>
        <v>No</v>
      </c>
      <c r="AA74" s="17">
        <v>17</v>
      </c>
      <c r="AB74" s="8">
        <f t="shared" si="28"/>
        <v>20171.63305</v>
      </c>
      <c r="AC74" s="8">
        <f t="shared" si="29"/>
        <v>23400.67</v>
      </c>
      <c r="AD74" s="8">
        <f t="shared" si="30"/>
        <v>-3229.0369499999979</v>
      </c>
      <c r="AE74" s="15">
        <f t="shared" si="31"/>
        <v>-0.1600781127634085</v>
      </c>
      <c r="AF74" s="34">
        <f>MIN(Y74,'Scenario Modeling'!$B$2)</f>
        <v>0.185</v>
      </c>
      <c r="AG74">
        <f>ROUND(AA74 * (1 + 'Scenario Modeling'!$B$4), 0)</f>
        <v>17</v>
      </c>
      <c r="AH74">
        <f>T74 * (1 + 'Scenario Modeling'!$B$3)</f>
        <v>1376.51</v>
      </c>
      <c r="AI74" s="8">
        <f t="shared" si="32"/>
        <v>20171.63305</v>
      </c>
      <c r="AJ74" s="8">
        <f t="shared" si="33"/>
        <v>-3229.0369499999979</v>
      </c>
    </row>
    <row r="75" spans="1:36">
      <c r="A75" t="s">
        <v>88</v>
      </c>
      <c r="B75" s="4">
        <v>45641</v>
      </c>
      <c r="C75" s="28">
        <v>45641</v>
      </c>
      <c r="D75" s="28" t="str">
        <f t="shared" si="18"/>
        <v>Q4-2024</v>
      </c>
      <c r="E75" s="4">
        <v>45646</v>
      </c>
      <c r="F75" s="4">
        <v>45646</v>
      </c>
      <c r="G75" s="17">
        <f t="shared" si="19"/>
        <v>5</v>
      </c>
      <c r="H75" s="17">
        <f t="shared" si="20"/>
        <v>5</v>
      </c>
      <c r="I75" t="str">
        <f t="shared" si="21"/>
        <v>Yes</v>
      </c>
      <c r="J75" s="2">
        <f t="shared" si="22"/>
        <v>44938</v>
      </c>
      <c r="K75" t="s">
        <v>647</v>
      </c>
      <c r="L75" t="s">
        <v>659</v>
      </c>
      <c r="M75" t="s">
        <v>676</v>
      </c>
      <c r="N75" t="str">
        <f t="shared" si="23"/>
        <v>Asia - China - Shenzhen</v>
      </c>
      <c r="O75" t="s">
        <v>705</v>
      </c>
      <c r="P75" t="s">
        <v>711</v>
      </c>
      <c r="Q75" t="s">
        <v>713</v>
      </c>
      <c r="R75" t="s">
        <v>729</v>
      </c>
      <c r="S75" t="s">
        <v>807</v>
      </c>
      <c r="T75" s="6">
        <v>717.55</v>
      </c>
      <c r="U75" s="8">
        <v>546.42999999999995</v>
      </c>
      <c r="V75" s="8">
        <f t="shared" si="24"/>
        <v>546.42999999999995</v>
      </c>
      <c r="W75" s="8" t="str">
        <f t="shared" si="25"/>
        <v>Low</v>
      </c>
      <c r="X75" s="15">
        <v>4.7E-2</v>
      </c>
      <c r="Y75" s="15">
        <f t="shared" si="26"/>
        <v>4.7E-2</v>
      </c>
      <c r="Z75" t="str">
        <f t="shared" si="27"/>
        <v>No</v>
      </c>
      <c r="AA75" s="17">
        <v>18</v>
      </c>
      <c r="AB75" s="8">
        <f t="shared" si="28"/>
        <v>9373.460219999999</v>
      </c>
      <c r="AC75" s="8">
        <f t="shared" si="29"/>
        <v>12915.9</v>
      </c>
      <c r="AD75" s="8">
        <f t="shared" si="30"/>
        <v>-3542.4397800000006</v>
      </c>
      <c r="AE75" s="15">
        <f t="shared" si="31"/>
        <v>-0.37792231437026369</v>
      </c>
      <c r="AF75" s="34">
        <f>MIN(Y75,'Scenario Modeling'!$B$2)</f>
        <v>4.7E-2</v>
      </c>
      <c r="AG75">
        <f>ROUND(AA75 * (1 + 'Scenario Modeling'!$B$4), 0)</f>
        <v>18</v>
      </c>
      <c r="AH75">
        <f>T75 * (1 + 'Scenario Modeling'!$B$3)</f>
        <v>717.55</v>
      </c>
      <c r="AI75" s="8">
        <f t="shared" si="32"/>
        <v>9373.460219999999</v>
      </c>
      <c r="AJ75" s="8">
        <f t="shared" si="33"/>
        <v>-3542.4397800000006</v>
      </c>
    </row>
    <row r="76" spans="1:36">
      <c r="A76" t="s">
        <v>89</v>
      </c>
      <c r="B76" s="4">
        <v>45066</v>
      </c>
      <c r="C76" s="28">
        <v>45066</v>
      </c>
      <c r="D76" s="28" t="str">
        <f t="shared" si="18"/>
        <v>Q2-2023</v>
      </c>
      <c r="E76" s="4">
        <v>45064</v>
      </c>
      <c r="F76" s="4">
        <f>B76+11</f>
        <v>45077</v>
      </c>
      <c r="G76" s="17">
        <f t="shared" si="19"/>
        <v>-2</v>
      </c>
      <c r="H76" s="17">
        <f t="shared" si="20"/>
        <v>11</v>
      </c>
      <c r="I76" t="str">
        <f t="shared" si="21"/>
        <v>No</v>
      </c>
      <c r="J76" s="2">
        <f t="shared" si="22"/>
        <v>44933</v>
      </c>
      <c r="K76" t="s">
        <v>646</v>
      </c>
      <c r="L76" t="s">
        <v>661</v>
      </c>
      <c r="M76" t="s">
        <v>687</v>
      </c>
      <c r="N76" t="str">
        <f t="shared" si="23"/>
        <v>Africa - South Africa - Durban</v>
      </c>
      <c r="O76" t="s">
        <v>701</v>
      </c>
      <c r="P76" t="s">
        <v>710</v>
      </c>
      <c r="Q76" t="s">
        <v>720</v>
      </c>
      <c r="R76" t="s">
        <v>727</v>
      </c>
      <c r="S76" t="s">
        <v>808</v>
      </c>
      <c r="T76" s="6">
        <v>917.88</v>
      </c>
      <c r="U76" s="8">
        <v>1347.92</v>
      </c>
      <c r="V76" s="8">
        <f t="shared" si="24"/>
        <v>1347.92</v>
      </c>
      <c r="W76" s="8" t="str">
        <f t="shared" si="25"/>
        <v>Medium</v>
      </c>
      <c r="X76" s="15">
        <v>0.34300000000000003</v>
      </c>
      <c r="Y76" s="15">
        <f t="shared" si="26"/>
        <v>0.11861439999999995</v>
      </c>
      <c r="Z76" t="str">
        <f t="shared" si="27"/>
        <v>No</v>
      </c>
      <c r="AA76" s="17">
        <v>5</v>
      </c>
      <c r="AB76" s="8">
        <f t="shared" si="28"/>
        <v>5940.1863897600006</v>
      </c>
      <c r="AC76" s="8">
        <f t="shared" si="29"/>
        <v>4589.3999999999996</v>
      </c>
      <c r="AD76" s="8">
        <f t="shared" si="30"/>
        <v>1350.7863897600009</v>
      </c>
      <c r="AE76" s="15">
        <f t="shared" si="31"/>
        <v>0.22739798065740094</v>
      </c>
      <c r="AF76" s="34">
        <f>MIN(Y76,'Scenario Modeling'!$B$2)</f>
        <v>0.11861439999999995</v>
      </c>
      <c r="AG76">
        <f>ROUND(AA76 * (1 + 'Scenario Modeling'!$B$4), 0)</f>
        <v>5</v>
      </c>
      <c r="AH76">
        <f>T76 * (1 + 'Scenario Modeling'!$B$3)</f>
        <v>917.88</v>
      </c>
      <c r="AI76" s="8">
        <f t="shared" si="32"/>
        <v>5940.1863897600006</v>
      </c>
      <c r="AJ76" s="8">
        <f t="shared" si="33"/>
        <v>1350.7863897600009</v>
      </c>
    </row>
    <row r="77" spans="1:36">
      <c r="A77" t="s">
        <v>90</v>
      </c>
      <c r="B77" s="4">
        <v>45187</v>
      </c>
      <c r="C77" s="28">
        <v>45187</v>
      </c>
      <c r="D77" s="28" t="str">
        <f t="shared" si="18"/>
        <v>Q3-2023</v>
      </c>
      <c r="E77" s="4">
        <v>45207</v>
      </c>
      <c r="F77" s="4">
        <v>45207</v>
      </c>
      <c r="G77" s="17">
        <f t="shared" si="19"/>
        <v>20</v>
      </c>
      <c r="H77" s="17">
        <f t="shared" si="20"/>
        <v>20</v>
      </c>
      <c r="I77" t="str">
        <f t="shared" si="21"/>
        <v>No</v>
      </c>
      <c r="J77" s="2">
        <f t="shared" si="22"/>
        <v>44955</v>
      </c>
      <c r="K77" t="s">
        <v>647</v>
      </c>
      <c r="L77" t="s">
        <v>654</v>
      </c>
      <c r="M77" t="s">
        <v>680</v>
      </c>
      <c r="N77" t="str">
        <f t="shared" si="23"/>
        <v>Asia - India - Delhi</v>
      </c>
      <c r="O77" t="s">
        <v>705</v>
      </c>
      <c r="P77" t="s">
        <v>711</v>
      </c>
      <c r="Q77" t="s">
        <v>717</v>
      </c>
      <c r="R77" t="s">
        <v>727</v>
      </c>
      <c r="S77" t="s">
        <v>809</v>
      </c>
      <c r="T77" s="6">
        <v>825.64</v>
      </c>
      <c r="U77" s="8">
        <v>1108.43</v>
      </c>
      <c r="V77" s="8">
        <f t="shared" si="24"/>
        <v>1108.43</v>
      </c>
      <c r="W77" s="8" t="str">
        <f t="shared" si="25"/>
        <v>Medium</v>
      </c>
      <c r="X77" s="15">
        <v>0.114</v>
      </c>
      <c r="Y77" s="15">
        <f t="shared" si="26"/>
        <v>0.114</v>
      </c>
      <c r="Z77" t="str">
        <f t="shared" si="27"/>
        <v>No</v>
      </c>
      <c r="AA77" s="17">
        <v>7</v>
      </c>
      <c r="AB77" s="8">
        <f t="shared" si="28"/>
        <v>6874.4828600000001</v>
      </c>
      <c r="AC77" s="8">
        <f t="shared" si="29"/>
        <v>5779.48</v>
      </c>
      <c r="AD77" s="8">
        <f t="shared" si="30"/>
        <v>1095.0028600000005</v>
      </c>
      <c r="AE77" s="15">
        <f t="shared" si="31"/>
        <v>0.15928512475773349</v>
      </c>
      <c r="AF77" s="34">
        <f>MIN(Y77,'Scenario Modeling'!$B$2)</f>
        <v>0.114</v>
      </c>
      <c r="AG77">
        <f>ROUND(AA77 * (1 + 'Scenario Modeling'!$B$4), 0)</f>
        <v>7</v>
      </c>
      <c r="AH77">
        <f>T77 * (1 + 'Scenario Modeling'!$B$3)</f>
        <v>825.64</v>
      </c>
      <c r="AI77" s="8">
        <f t="shared" si="32"/>
        <v>6874.4828600000001</v>
      </c>
      <c r="AJ77" s="8">
        <f t="shared" si="33"/>
        <v>1095.0028600000005</v>
      </c>
    </row>
    <row r="78" spans="1:36">
      <c r="A78" t="s">
        <v>91</v>
      </c>
      <c r="B78" s="4">
        <v>45532</v>
      </c>
      <c r="C78" s="28">
        <v>45532</v>
      </c>
      <c r="D78" s="28" t="str">
        <f t="shared" si="18"/>
        <v>Q3-2024</v>
      </c>
      <c r="E78" s="4">
        <v>45560</v>
      </c>
      <c r="F78" s="4">
        <v>45560</v>
      </c>
      <c r="G78" s="17">
        <f t="shared" si="19"/>
        <v>28</v>
      </c>
      <c r="H78" s="17">
        <f t="shared" si="20"/>
        <v>28</v>
      </c>
      <c r="I78" t="str">
        <f t="shared" si="21"/>
        <v>No</v>
      </c>
      <c r="J78" s="2">
        <f t="shared" si="22"/>
        <v>44955</v>
      </c>
      <c r="K78" t="s">
        <v>648</v>
      </c>
      <c r="L78" t="s">
        <v>655</v>
      </c>
      <c r="M78" t="s">
        <v>692</v>
      </c>
      <c r="N78" t="str">
        <f t="shared" si="23"/>
        <v>Americas - Brazil - Rio de Janeiro</v>
      </c>
      <c r="O78" t="s">
        <v>703</v>
      </c>
      <c r="P78" t="s">
        <v>708</v>
      </c>
      <c r="Q78" t="s">
        <v>724</v>
      </c>
      <c r="R78" t="s">
        <v>733</v>
      </c>
      <c r="S78" t="s">
        <v>810</v>
      </c>
      <c r="T78" s="6">
        <v>1394.65</v>
      </c>
      <c r="U78" s="8">
        <v>3144.1</v>
      </c>
      <c r="V78" s="8">
        <f t="shared" si="24"/>
        <v>3144.1</v>
      </c>
      <c r="W78" s="8" t="str">
        <f t="shared" si="25"/>
        <v>High</v>
      </c>
      <c r="X78" s="15">
        <v>0.13400000000000001</v>
      </c>
      <c r="Y78" s="15">
        <f t="shared" si="26"/>
        <v>0.13400000000000001</v>
      </c>
      <c r="Z78" t="str">
        <f t="shared" si="27"/>
        <v>No</v>
      </c>
      <c r="AA78" s="17">
        <v>13</v>
      </c>
      <c r="AB78" s="8">
        <f t="shared" si="28"/>
        <v>35396.277799999996</v>
      </c>
      <c r="AC78" s="8">
        <f t="shared" si="29"/>
        <v>18130.45</v>
      </c>
      <c r="AD78" s="8">
        <f t="shared" si="30"/>
        <v>17265.827799999995</v>
      </c>
      <c r="AE78" s="15">
        <f t="shared" si="31"/>
        <v>0.4877865378263021</v>
      </c>
      <c r="AF78" s="34">
        <f>MIN(Y78,'Scenario Modeling'!$B$2)</f>
        <v>0.13400000000000001</v>
      </c>
      <c r="AG78">
        <f>ROUND(AA78 * (1 + 'Scenario Modeling'!$B$4), 0)</f>
        <v>13</v>
      </c>
      <c r="AH78">
        <f>T78 * (1 + 'Scenario Modeling'!$B$3)</f>
        <v>1394.65</v>
      </c>
      <c r="AI78" s="8">
        <f t="shared" si="32"/>
        <v>35396.277799999996</v>
      </c>
      <c r="AJ78" s="8">
        <f t="shared" si="33"/>
        <v>17265.827799999995</v>
      </c>
    </row>
    <row r="79" spans="1:36">
      <c r="A79" t="s">
        <v>92</v>
      </c>
      <c r="B79" s="4">
        <v>45473</v>
      </c>
      <c r="C79" s="28">
        <v>45473</v>
      </c>
      <c r="D79" s="28" t="str">
        <f t="shared" si="18"/>
        <v>Q2-2024</v>
      </c>
      <c r="E79" s="4">
        <v>45471</v>
      </c>
      <c r="F79" s="4">
        <f>B79+4</f>
        <v>45477</v>
      </c>
      <c r="G79" s="17">
        <f t="shared" si="19"/>
        <v>-2</v>
      </c>
      <c r="H79" s="17">
        <f t="shared" si="20"/>
        <v>4</v>
      </c>
      <c r="I79" t="str">
        <f t="shared" si="21"/>
        <v>Yes</v>
      </c>
      <c r="J79" s="2">
        <f t="shared" si="22"/>
        <v>44955</v>
      </c>
      <c r="K79" t="s">
        <v>648</v>
      </c>
      <c r="L79" t="s">
        <v>655</v>
      </c>
      <c r="M79" t="s">
        <v>692</v>
      </c>
      <c r="N79" t="str">
        <f t="shared" si="23"/>
        <v>Americas - Brazil - Rio de Janeiro</v>
      </c>
      <c r="O79" t="s">
        <v>705</v>
      </c>
      <c r="P79" t="s">
        <v>711</v>
      </c>
      <c r="Q79" t="s">
        <v>716</v>
      </c>
      <c r="R79" t="s">
        <v>733</v>
      </c>
      <c r="S79" t="s">
        <v>811</v>
      </c>
      <c r="T79" s="6">
        <v>1112.98</v>
      </c>
      <c r="U79" s="8">
        <v>2095.73</v>
      </c>
      <c r="V79" s="8">
        <f t="shared" si="24"/>
        <v>2095.73</v>
      </c>
      <c r="W79" s="8" t="str">
        <f t="shared" si="25"/>
        <v>High</v>
      </c>
      <c r="X79" s="15">
        <v>7.1999999999999995E-2</v>
      </c>
      <c r="Y79" s="15">
        <f t="shared" si="26"/>
        <v>7.1999999999999995E-2</v>
      </c>
      <c r="Z79" t="str">
        <f t="shared" si="27"/>
        <v>No</v>
      </c>
      <c r="AA79" s="17">
        <v>17</v>
      </c>
      <c r="AB79" s="8">
        <f t="shared" si="28"/>
        <v>33062.236480000007</v>
      </c>
      <c r="AC79" s="8">
        <f t="shared" si="29"/>
        <v>18920.66</v>
      </c>
      <c r="AD79" s="8">
        <f t="shared" si="30"/>
        <v>14141.576480000007</v>
      </c>
      <c r="AE79" s="15">
        <f t="shared" si="31"/>
        <v>0.42772594916724777</v>
      </c>
      <c r="AF79" s="34">
        <f>MIN(Y79,'Scenario Modeling'!$B$2)</f>
        <v>7.1999999999999995E-2</v>
      </c>
      <c r="AG79">
        <f>ROUND(AA79 * (1 + 'Scenario Modeling'!$B$4), 0)</f>
        <v>17</v>
      </c>
      <c r="AH79">
        <f>T79 * (1 + 'Scenario Modeling'!$B$3)</f>
        <v>1112.98</v>
      </c>
      <c r="AI79" s="8">
        <f t="shared" si="32"/>
        <v>33062.236480000007</v>
      </c>
      <c r="AJ79" s="8">
        <f t="shared" si="33"/>
        <v>14141.576480000007</v>
      </c>
    </row>
    <row r="80" spans="1:36">
      <c r="A80" t="s">
        <v>93</v>
      </c>
      <c r="B80" s="4">
        <v>45091</v>
      </c>
      <c r="C80" s="28">
        <v>45091</v>
      </c>
      <c r="D80" s="28" t="str">
        <f t="shared" si="18"/>
        <v>Q2-2023</v>
      </c>
      <c r="E80" s="4">
        <v>45093</v>
      </c>
      <c r="F80" s="4">
        <v>45093</v>
      </c>
      <c r="G80" s="17">
        <f t="shared" si="19"/>
        <v>2</v>
      </c>
      <c r="H80" s="17">
        <f t="shared" si="20"/>
        <v>2</v>
      </c>
      <c r="I80" t="str">
        <f t="shared" si="21"/>
        <v>Yes</v>
      </c>
      <c r="J80" s="2">
        <f t="shared" si="22"/>
        <v>44945</v>
      </c>
      <c r="K80" t="s">
        <v>649</v>
      </c>
      <c r="L80" t="s">
        <v>658</v>
      </c>
      <c r="M80" t="s">
        <v>693</v>
      </c>
      <c r="N80" t="str">
        <f t="shared" si="23"/>
        <v>Europe - United Kingdom - Manchester</v>
      </c>
      <c r="O80" t="s">
        <v>703</v>
      </c>
      <c r="P80" t="s">
        <v>711</v>
      </c>
      <c r="Q80" t="s">
        <v>723</v>
      </c>
      <c r="R80" t="s">
        <v>727</v>
      </c>
      <c r="S80" t="s">
        <v>812</v>
      </c>
      <c r="T80" s="6">
        <v>357.36</v>
      </c>
      <c r="U80" s="8">
        <v>703.62</v>
      </c>
      <c r="V80" s="8">
        <f t="shared" si="24"/>
        <v>703.62</v>
      </c>
      <c r="W80" s="8" t="str">
        <f t="shared" si="25"/>
        <v>Low</v>
      </c>
      <c r="X80" s="15">
        <v>0.25700000000000001</v>
      </c>
      <c r="Y80" s="15">
        <f t="shared" si="26"/>
        <v>0.25700000000000001</v>
      </c>
      <c r="Z80" t="str">
        <f t="shared" si="27"/>
        <v>Yes</v>
      </c>
      <c r="AA80" s="17">
        <v>20</v>
      </c>
      <c r="AB80" s="8">
        <f t="shared" si="28"/>
        <v>10455.7932</v>
      </c>
      <c r="AC80" s="8">
        <f t="shared" si="29"/>
        <v>7147.2000000000007</v>
      </c>
      <c r="AD80" s="8">
        <f t="shared" si="30"/>
        <v>3308.5931999999993</v>
      </c>
      <c r="AE80" s="15">
        <f t="shared" si="31"/>
        <v>0.31643636563125593</v>
      </c>
      <c r="AF80" s="34">
        <f>MIN(Y80,'Scenario Modeling'!$B$2)</f>
        <v>0.25</v>
      </c>
      <c r="AG80">
        <f>ROUND(AA80 * (1 + 'Scenario Modeling'!$B$4), 0)</f>
        <v>20</v>
      </c>
      <c r="AH80">
        <f>T80 * (1 + 'Scenario Modeling'!$B$3)</f>
        <v>357.36</v>
      </c>
      <c r="AI80" s="8">
        <f t="shared" si="32"/>
        <v>10554.3</v>
      </c>
      <c r="AJ80" s="8">
        <f t="shared" si="33"/>
        <v>3407.0999999999985</v>
      </c>
    </row>
    <row r="81" spans="1:36">
      <c r="A81" t="s">
        <v>94</v>
      </c>
      <c r="B81" s="4">
        <v>45617</v>
      </c>
      <c r="C81" s="28">
        <v>45617</v>
      </c>
      <c r="D81" s="28" t="str">
        <f t="shared" si="18"/>
        <v>Q4-2024</v>
      </c>
      <c r="E81" s="4">
        <v>45647</v>
      </c>
      <c r="F81" s="4">
        <v>45647</v>
      </c>
      <c r="G81" s="17">
        <f t="shared" si="19"/>
        <v>30</v>
      </c>
      <c r="H81" s="17">
        <f t="shared" si="20"/>
        <v>30</v>
      </c>
      <c r="I81" t="str">
        <f t="shared" si="21"/>
        <v>No</v>
      </c>
      <c r="J81" s="2">
        <f t="shared" si="22"/>
        <v>44936</v>
      </c>
      <c r="K81" t="s">
        <v>649</v>
      </c>
      <c r="L81" t="s">
        <v>657</v>
      </c>
      <c r="M81" t="s">
        <v>673</v>
      </c>
      <c r="N81" t="str">
        <f t="shared" si="23"/>
        <v>Europe - France - Marseille</v>
      </c>
      <c r="O81" t="s">
        <v>705</v>
      </c>
      <c r="P81" t="s">
        <v>711</v>
      </c>
      <c r="Q81" t="s">
        <v>714</v>
      </c>
      <c r="R81" t="s">
        <v>732</v>
      </c>
      <c r="S81" t="s">
        <v>813</v>
      </c>
      <c r="T81" s="6">
        <v>1122.68</v>
      </c>
      <c r="U81" s="8">
        <v>1997.19</v>
      </c>
      <c r="V81" s="8">
        <f t="shared" si="24"/>
        <v>1997.19</v>
      </c>
      <c r="W81" s="8" t="str">
        <f t="shared" si="25"/>
        <v>High</v>
      </c>
      <c r="X81" s="15">
        <v>0.186</v>
      </c>
      <c r="Y81" s="15">
        <f t="shared" si="26"/>
        <v>0.186</v>
      </c>
      <c r="Z81" t="str">
        <f t="shared" si="27"/>
        <v>No</v>
      </c>
      <c r="AA81" s="17">
        <v>3</v>
      </c>
      <c r="AB81" s="8">
        <f t="shared" si="28"/>
        <v>4877.1379800000004</v>
      </c>
      <c r="AC81" s="8">
        <f t="shared" si="29"/>
        <v>3368.04</v>
      </c>
      <c r="AD81" s="8">
        <f t="shared" si="30"/>
        <v>1509.0979800000005</v>
      </c>
      <c r="AE81" s="15">
        <f t="shared" si="31"/>
        <v>0.30942285951073306</v>
      </c>
      <c r="AF81" s="34">
        <f>MIN(Y81,'Scenario Modeling'!$B$2)</f>
        <v>0.186</v>
      </c>
      <c r="AG81">
        <f>ROUND(AA81 * (1 + 'Scenario Modeling'!$B$4), 0)</f>
        <v>3</v>
      </c>
      <c r="AH81">
        <f>T81 * (1 + 'Scenario Modeling'!$B$3)</f>
        <v>1122.68</v>
      </c>
      <c r="AI81" s="8">
        <f t="shared" si="32"/>
        <v>4877.1379800000004</v>
      </c>
      <c r="AJ81" s="8">
        <f t="shared" si="33"/>
        <v>1509.0979800000005</v>
      </c>
    </row>
    <row r="82" spans="1:36">
      <c r="A82" t="s">
        <v>95</v>
      </c>
      <c r="B82" s="4">
        <v>44965</v>
      </c>
      <c r="C82" s="28">
        <v>44965</v>
      </c>
      <c r="D82" s="28" t="str">
        <f t="shared" si="18"/>
        <v>Q1-2023</v>
      </c>
      <c r="E82" s="4">
        <v>44968</v>
      </c>
      <c r="F82" s="4">
        <v>44968</v>
      </c>
      <c r="G82" s="17">
        <f t="shared" si="19"/>
        <v>3</v>
      </c>
      <c r="H82" s="17">
        <f t="shared" si="20"/>
        <v>3</v>
      </c>
      <c r="I82" t="str">
        <f t="shared" si="21"/>
        <v>Yes</v>
      </c>
      <c r="J82" s="2">
        <f t="shared" si="22"/>
        <v>44933</v>
      </c>
      <c r="K82" t="s">
        <v>646</v>
      </c>
      <c r="L82" t="s">
        <v>661</v>
      </c>
      <c r="M82" t="s">
        <v>695</v>
      </c>
      <c r="N82" t="str">
        <f t="shared" si="23"/>
        <v>Africa - South Africa - Cape Town</v>
      </c>
      <c r="O82" t="s">
        <v>701</v>
      </c>
      <c r="P82" t="s">
        <v>711</v>
      </c>
      <c r="Q82" t="s">
        <v>724</v>
      </c>
      <c r="R82" t="s">
        <v>729</v>
      </c>
      <c r="S82" t="s">
        <v>814</v>
      </c>
      <c r="T82" s="6">
        <v>1410.05</v>
      </c>
      <c r="U82" s="8">
        <v>2763.95</v>
      </c>
      <c r="V82" s="8">
        <f t="shared" si="24"/>
        <v>2763.95</v>
      </c>
      <c r="W82" s="8" t="str">
        <f t="shared" si="25"/>
        <v>High</v>
      </c>
      <c r="X82" s="15">
        <v>0.161</v>
      </c>
      <c r="Y82" s="15">
        <f t="shared" si="26"/>
        <v>0.161</v>
      </c>
      <c r="Z82" t="str">
        <f t="shared" si="27"/>
        <v>No</v>
      </c>
      <c r="AA82" s="17">
        <v>26</v>
      </c>
      <c r="AB82" s="8">
        <f t="shared" si="28"/>
        <v>60292.805299999993</v>
      </c>
      <c r="AC82" s="8">
        <f t="shared" si="29"/>
        <v>36661.299999999996</v>
      </c>
      <c r="AD82" s="8">
        <f t="shared" si="30"/>
        <v>23631.505299999997</v>
      </c>
      <c r="AE82" s="15">
        <f t="shared" si="31"/>
        <v>0.39194569206750779</v>
      </c>
      <c r="AF82" s="34">
        <f>MIN(Y82,'Scenario Modeling'!$B$2)</f>
        <v>0.161</v>
      </c>
      <c r="AG82">
        <f>ROUND(AA82 * (1 + 'Scenario Modeling'!$B$4), 0)</f>
        <v>26</v>
      </c>
      <c r="AH82">
        <f>T82 * (1 + 'Scenario Modeling'!$B$3)</f>
        <v>1410.05</v>
      </c>
      <c r="AI82" s="8">
        <f t="shared" si="32"/>
        <v>60292.805299999993</v>
      </c>
      <c r="AJ82" s="8">
        <f t="shared" si="33"/>
        <v>23631.505299999997</v>
      </c>
    </row>
    <row r="83" spans="1:36">
      <c r="A83" t="s">
        <v>96</v>
      </c>
      <c r="B83" s="4">
        <v>45157</v>
      </c>
      <c r="C83" s="28">
        <v>45157</v>
      </c>
      <c r="D83" s="28" t="str">
        <f t="shared" si="18"/>
        <v>Q3-2023</v>
      </c>
      <c r="E83" s="4">
        <v>45181</v>
      </c>
      <c r="F83" s="4">
        <v>45181</v>
      </c>
      <c r="G83" s="17">
        <f t="shared" si="19"/>
        <v>24</v>
      </c>
      <c r="H83" s="17">
        <f t="shared" si="20"/>
        <v>24</v>
      </c>
      <c r="I83" t="str">
        <f t="shared" si="21"/>
        <v>No</v>
      </c>
      <c r="J83" s="2">
        <f t="shared" si="22"/>
        <v>44928</v>
      </c>
      <c r="K83" t="s">
        <v>648</v>
      </c>
      <c r="L83" t="s">
        <v>653</v>
      </c>
      <c r="M83" t="s">
        <v>688</v>
      </c>
      <c r="N83" t="str">
        <f t="shared" si="23"/>
        <v>Americas - Canada - Vancouver</v>
      </c>
      <c r="O83" t="s">
        <v>706</v>
      </c>
      <c r="P83" t="s">
        <v>707</v>
      </c>
      <c r="Q83" t="s">
        <v>714</v>
      </c>
      <c r="R83" t="s">
        <v>728</v>
      </c>
      <c r="S83" t="s">
        <v>815</v>
      </c>
      <c r="T83" s="6">
        <v>1183.95</v>
      </c>
      <c r="U83" s="8">
        <v>1503.53</v>
      </c>
      <c r="V83" s="8">
        <f t="shared" si="24"/>
        <v>1503.53</v>
      </c>
      <c r="W83" s="8" t="str">
        <f t="shared" si="25"/>
        <v>Medium</v>
      </c>
      <c r="X83" s="15">
        <v>0.24099999999999999</v>
      </c>
      <c r="Y83" s="15">
        <f t="shared" si="26"/>
        <v>0.24099999999999999</v>
      </c>
      <c r="Z83" t="str">
        <f t="shared" si="27"/>
        <v>Yes</v>
      </c>
      <c r="AA83" s="17">
        <v>16</v>
      </c>
      <c r="AB83" s="8">
        <f t="shared" si="28"/>
        <v>18258.868320000001</v>
      </c>
      <c r="AC83" s="8">
        <f t="shared" si="29"/>
        <v>18943.2</v>
      </c>
      <c r="AD83" s="8">
        <f t="shared" si="30"/>
        <v>-684.33167999999932</v>
      </c>
      <c r="AE83" s="15">
        <f t="shared" si="31"/>
        <v>-3.7479413729623705E-2</v>
      </c>
      <c r="AF83" s="34">
        <f>MIN(Y83,'Scenario Modeling'!$B$2)</f>
        <v>0.24099999999999999</v>
      </c>
      <c r="AG83">
        <f>ROUND(AA83 * (1 + 'Scenario Modeling'!$B$4), 0)</f>
        <v>16</v>
      </c>
      <c r="AH83">
        <f>T83 * (1 + 'Scenario Modeling'!$B$3)</f>
        <v>1183.95</v>
      </c>
      <c r="AI83" s="8">
        <f t="shared" si="32"/>
        <v>18258.868320000001</v>
      </c>
      <c r="AJ83" s="8">
        <f t="shared" si="33"/>
        <v>-684.33167999999932</v>
      </c>
    </row>
    <row r="84" spans="1:36">
      <c r="A84" t="s">
        <v>97</v>
      </c>
      <c r="B84" s="4">
        <v>45791</v>
      </c>
      <c r="C84" s="28">
        <v>45791</v>
      </c>
      <c r="D84" s="28" t="str">
        <f t="shared" si="18"/>
        <v>Q2-2025</v>
      </c>
      <c r="E84" s="4">
        <v>45801</v>
      </c>
      <c r="F84" s="4">
        <v>45801</v>
      </c>
      <c r="G84" s="17">
        <f t="shared" si="19"/>
        <v>10</v>
      </c>
      <c r="H84" s="17">
        <f t="shared" si="20"/>
        <v>10</v>
      </c>
      <c r="I84" t="str">
        <f t="shared" si="21"/>
        <v>No</v>
      </c>
      <c r="J84" s="2">
        <f t="shared" si="22"/>
        <v>44936</v>
      </c>
      <c r="K84" t="s">
        <v>649</v>
      </c>
      <c r="L84" t="s">
        <v>657</v>
      </c>
      <c r="M84" t="s">
        <v>690</v>
      </c>
      <c r="N84" t="str">
        <f t="shared" si="23"/>
        <v>Europe - France - Paris</v>
      </c>
      <c r="O84" t="s">
        <v>705</v>
      </c>
      <c r="P84" t="s">
        <v>709</v>
      </c>
      <c r="Q84" t="s">
        <v>723</v>
      </c>
      <c r="R84" t="s">
        <v>727</v>
      </c>
      <c r="S84" t="s">
        <v>816</v>
      </c>
      <c r="T84" s="6">
        <v>170.39</v>
      </c>
      <c r="U84" s="8">
        <v>388.04</v>
      </c>
      <c r="V84" s="8">
        <f t="shared" si="24"/>
        <v>388.04</v>
      </c>
      <c r="W84" s="8" t="str">
        <f t="shared" si="25"/>
        <v>Low</v>
      </c>
      <c r="X84" s="15">
        <v>8.4000000000000005E-2</v>
      </c>
      <c r="Y84" s="15">
        <f t="shared" si="26"/>
        <v>8.4000000000000005E-2</v>
      </c>
      <c r="Z84" t="str">
        <f t="shared" si="27"/>
        <v>No</v>
      </c>
      <c r="AA84" s="17">
        <v>15</v>
      </c>
      <c r="AB84" s="8">
        <f t="shared" si="28"/>
        <v>5331.6696000000002</v>
      </c>
      <c r="AC84" s="8">
        <f t="shared" si="29"/>
        <v>2555.85</v>
      </c>
      <c r="AD84" s="8">
        <f t="shared" si="30"/>
        <v>2775.8196000000003</v>
      </c>
      <c r="AE84" s="15">
        <f t="shared" si="31"/>
        <v>0.52062858508711796</v>
      </c>
      <c r="AF84" s="34">
        <f>MIN(Y84,'Scenario Modeling'!$B$2)</f>
        <v>8.4000000000000005E-2</v>
      </c>
      <c r="AG84">
        <f>ROUND(AA84 * (1 + 'Scenario Modeling'!$B$4), 0)</f>
        <v>15</v>
      </c>
      <c r="AH84">
        <f>T84 * (1 + 'Scenario Modeling'!$B$3)</f>
        <v>170.39</v>
      </c>
      <c r="AI84" s="8">
        <f t="shared" si="32"/>
        <v>5331.6696000000002</v>
      </c>
      <c r="AJ84" s="8">
        <f t="shared" si="33"/>
        <v>2775.8196000000003</v>
      </c>
    </row>
    <row r="85" spans="1:36">
      <c r="A85" t="s">
        <v>98</v>
      </c>
      <c r="B85" s="4">
        <v>45770</v>
      </c>
      <c r="C85" s="28">
        <v>45770</v>
      </c>
      <c r="D85" s="28" t="str">
        <f t="shared" si="18"/>
        <v>Q2-2025</v>
      </c>
      <c r="E85" s="4">
        <v>45769</v>
      </c>
      <c r="F85" s="4">
        <f>B85+11</f>
        <v>45781</v>
      </c>
      <c r="G85" s="17">
        <f t="shared" si="19"/>
        <v>-1</v>
      </c>
      <c r="H85" s="17">
        <f t="shared" si="20"/>
        <v>11</v>
      </c>
      <c r="I85" t="str">
        <f t="shared" si="21"/>
        <v>No</v>
      </c>
      <c r="J85" s="2">
        <f t="shared" si="22"/>
        <v>44939</v>
      </c>
      <c r="K85" t="s">
        <v>648</v>
      </c>
      <c r="L85" t="s">
        <v>660</v>
      </c>
      <c r="M85" t="s">
        <v>686</v>
      </c>
      <c r="N85" t="str">
        <f t="shared" si="23"/>
        <v>Americas - USA - San Francisco</v>
      </c>
      <c r="O85" t="s">
        <v>703</v>
      </c>
      <c r="P85" t="s">
        <v>710</v>
      </c>
      <c r="Q85" t="s">
        <v>726</v>
      </c>
      <c r="R85" t="s">
        <v>732</v>
      </c>
      <c r="S85" t="s">
        <v>817</v>
      </c>
      <c r="T85" s="6">
        <v>23.24</v>
      </c>
      <c r="U85" s="8">
        <v>44.57</v>
      </c>
      <c r="V85" s="8">
        <f t="shared" si="24"/>
        <v>44.57</v>
      </c>
      <c r="W85" s="8" t="str">
        <f t="shared" si="25"/>
        <v>Low</v>
      </c>
      <c r="X85" s="15">
        <v>0.215</v>
      </c>
      <c r="Y85" s="15">
        <f t="shared" si="26"/>
        <v>0.215</v>
      </c>
      <c r="Z85" t="str">
        <f t="shared" si="27"/>
        <v>Yes</v>
      </c>
      <c r="AA85" s="17">
        <v>15</v>
      </c>
      <c r="AB85" s="8">
        <f t="shared" si="28"/>
        <v>524.81174999999996</v>
      </c>
      <c r="AC85" s="8">
        <f t="shared" si="29"/>
        <v>348.59999999999997</v>
      </c>
      <c r="AD85" s="8">
        <f t="shared" si="30"/>
        <v>176.21174999999999</v>
      </c>
      <c r="AE85" s="15">
        <f t="shared" si="31"/>
        <v>0.33576182316802167</v>
      </c>
      <c r="AF85" s="34">
        <f>MIN(Y85,'Scenario Modeling'!$B$2)</f>
        <v>0.215</v>
      </c>
      <c r="AG85">
        <f>ROUND(AA85 * (1 + 'Scenario Modeling'!$B$4), 0)</f>
        <v>15</v>
      </c>
      <c r="AH85">
        <f>T85 * (1 + 'Scenario Modeling'!$B$3)</f>
        <v>23.24</v>
      </c>
      <c r="AI85" s="8">
        <f t="shared" si="32"/>
        <v>524.81174999999996</v>
      </c>
      <c r="AJ85" s="8">
        <f t="shared" si="33"/>
        <v>176.21174999999999</v>
      </c>
    </row>
    <row r="86" spans="1:36">
      <c r="A86" t="s">
        <v>99</v>
      </c>
      <c r="B86" s="4">
        <v>45741</v>
      </c>
      <c r="C86" s="28">
        <v>45741</v>
      </c>
      <c r="D86" s="28" t="str">
        <f t="shared" si="18"/>
        <v>Q1-2025</v>
      </c>
      <c r="E86" s="4">
        <v>45764</v>
      </c>
      <c r="F86" s="4">
        <v>45764</v>
      </c>
      <c r="G86" s="17">
        <f t="shared" si="19"/>
        <v>23</v>
      </c>
      <c r="H86" s="17">
        <f t="shared" si="20"/>
        <v>23</v>
      </c>
      <c r="I86" t="str">
        <f t="shared" si="21"/>
        <v>No</v>
      </c>
      <c r="J86" s="2">
        <f t="shared" si="22"/>
        <v>44945</v>
      </c>
      <c r="K86" t="s">
        <v>649</v>
      </c>
      <c r="L86" t="s">
        <v>658</v>
      </c>
      <c r="M86" t="s">
        <v>683</v>
      </c>
      <c r="N86" t="str">
        <f t="shared" si="23"/>
        <v>Europe - United Kingdom - London</v>
      </c>
      <c r="O86" t="s">
        <v>704</v>
      </c>
      <c r="P86" t="s">
        <v>707</v>
      </c>
      <c r="Q86" t="s">
        <v>722</v>
      </c>
      <c r="R86" t="s">
        <v>729</v>
      </c>
      <c r="S86" t="s">
        <v>818</v>
      </c>
      <c r="T86" s="6">
        <v>1421.19</v>
      </c>
      <c r="U86" s="8">
        <v>1808.26</v>
      </c>
      <c r="V86" s="8">
        <f t="shared" si="24"/>
        <v>1808.26</v>
      </c>
      <c r="W86" s="8" t="str">
        <f t="shared" si="25"/>
        <v>High</v>
      </c>
      <c r="X86" s="15">
        <v>0.104</v>
      </c>
      <c r="Y86" s="15">
        <f t="shared" si="26"/>
        <v>0.104</v>
      </c>
      <c r="Z86" t="str">
        <f t="shared" si="27"/>
        <v>No</v>
      </c>
      <c r="AA86" s="17">
        <v>13</v>
      </c>
      <c r="AB86" s="8">
        <f t="shared" si="28"/>
        <v>21062.61248</v>
      </c>
      <c r="AC86" s="8">
        <f t="shared" si="29"/>
        <v>18475.47</v>
      </c>
      <c r="AD86" s="8">
        <f t="shared" si="30"/>
        <v>2587.1424799999986</v>
      </c>
      <c r="AE86" s="15">
        <f t="shared" si="31"/>
        <v>0.12283103449093123</v>
      </c>
      <c r="AF86" s="34">
        <f>MIN(Y86,'Scenario Modeling'!$B$2)</f>
        <v>0.104</v>
      </c>
      <c r="AG86">
        <f>ROUND(AA86 * (1 + 'Scenario Modeling'!$B$4), 0)</f>
        <v>13</v>
      </c>
      <c r="AH86">
        <f>T86 * (1 + 'Scenario Modeling'!$B$3)</f>
        <v>1421.19</v>
      </c>
      <c r="AI86" s="8">
        <f t="shared" si="32"/>
        <v>21062.61248</v>
      </c>
      <c r="AJ86" s="8">
        <f t="shared" si="33"/>
        <v>2587.1424799999986</v>
      </c>
    </row>
    <row r="87" spans="1:36">
      <c r="A87" t="s">
        <v>100</v>
      </c>
      <c r="B87" s="4">
        <v>45282</v>
      </c>
      <c r="C87" s="28">
        <v>45282</v>
      </c>
      <c r="D87" s="28" t="str">
        <f t="shared" si="18"/>
        <v>Q4-2023</v>
      </c>
      <c r="E87" s="4">
        <v>45283</v>
      </c>
      <c r="F87" s="4">
        <v>45283</v>
      </c>
      <c r="G87" s="17">
        <f t="shared" si="19"/>
        <v>1</v>
      </c>
      <c r="H87" s="17">
        <f t="shared" si="20"/>
        <v>1</v>
      </c>
      <c r="I87" t="str">
        <f t="shared" si="21"/>
        <v>Yes</v>
      </c>
      <c r="J87" s="2">
        <f t="shared" si="22"/>
        <v>44933</v>
      </c>
      <c r="K87" t="s">
        <v>646</v>
      </c>
      <c r="L87" t="s">
        <v>661</v>
      </c>
      <c r="M87" t="s">
        <v>695</v>
      </c>
      <c r="N87" t="str">
        <f t="shared" si="23"/>
        <v>Africa - South Africa - Cape Town</v>
      </c>
      <c r="O87" t="s">
        <v>703</v>
      </c>
      <c r="P87" t="s">
        <v>709</v>
      </c>
      <c r="Q87" t="s">
        <v>726</v>
      </c>
      <c r="R87" t="s">
        <v>727</v>
      </c>
      <c r="S87" t="s">
        <v>819</v>
      </c>
      <c r="T87" s="6">
        <v>1186.18</v>
      </c>
      <c r="U87" s="8">
        <v>1285.0899999999999</v>
      </c>
      <c r="V87" s="8">
        <f t="shared" si="24"/>
        <v>1285.0899999999999</v>
      </c>
      <c r="W87" s="8" t="str">
        <f t="shared" si="25"/>
        <v>Medium</v>
      </c>
      <c r="X87" s="15">
        <v>7.0000000000000007E-2</v>
      </c>
      <c r="Y87" s="15">
        <f t="shared" si="26"/>
        <v>7.0000000000000007E-2</v>
      </c>
      <c r="Z87" t="str">
        <f t="shared" si="27"/>
        <v>No</v>
      </c>
      <c r="AA87" s="17">
        <v>11</v>
      </c>
      <c r="AB87" s="8">
        <f t="shared" si="28"/>
        <v>13146.470699999998</v>
      </c>
      <c r="AC87" s="8">
        <f t="shared" si="29"/>
        <v>13047.980000000001</v>
      </c>
      <c r="AD87" s="8">
        <f t="shared" si="30"/>
        <v>98.49069999999665</v>
      </c>
      <c r="AE87" s="15">
        <f t="shared" si="31"/>
        <v>7.4917977796121861E-3</v>
      </c>
      <c r="AF87" s="34">
        <f>MIN(Y87,'Scenario Modeling'!$B$2)</f>
        <v>7.0000000000000007E-2</v>
      </c>
      <c r="AG87">
        <f>ROUND(AA87 * (1 + 'Scenario Modeling'!$B$4), 0)</f>
        <v>11</v>
      </c>
      <c r="AH87">
        <f>T87 * (1 + 'Scenario Modeling'!$B$3)</f>
        <v>1186.18</v>
      </c>
      <c r="AI87" s="8">
        <f t="shared" si="32"/>
        <v>13146.470699999998</v>
      </c>
      <c r="AJ87" s="8">
        <f t="shared" si="33"/>
        <v>98.49069999999665</v>
      </c>
    </row>
    <row r="88" spans="1:36">
      <c r="A88" t="s">
        <v>101</v>
      </c>
      <c r="B88" s="4">
        <v>45388</v>
      </c>
      <c r="C88" s="28">
        <v>45388</v>
      </c>
      <c r="D88" s="28" t="str">
        <f t="shared" si="18"/>
        <v>Q2-2024</v>
      </c>
      <c r="E88" s="4">
        <v>45407</v>
      </c>
      <c r="F88" s="4">
        <v>45407</v>
      </c>
      <c r="G88" s="17">
        <f t="shared" si="19"/>
        <v>19</v>
      </c>
      <c r="H88" s="17">
        <f t="shared" si="20"/>
        <v>19</v>
      </c>
      <c r="I88" t="str">
        <f t="shared" si="21"/>
        <v>No</v>
      </c>
      <c r="J88" s="2">
        <f t="shared" si="22"/>
        <v>44938</v>
      </c>
      <c r="K88" t="s">
        <v>647</v>
      </c>
      <c r="L88" t="s">
        <v>659</v>
      </c>
      <c r="M88" t="s">
        <v>685</v>
      </c>
      <c r="N88" t="str">
        <f t="shared" si="23"/>
        <v>Asia - China - Shanghai</v>
      </c>
      <c r="O88" t="s">
        <v>701</v>
      </c>
      <c r="P88" t="s">
        <v>707</v>
      </c>
      <c r="Q88" t="s">
        <v>723</v>
      </c>
      <c r="R88" t="s">
        <v>727</v>
      </c>
      <c r="S88" t="s">
        <v>820</v>
      </c>
      <c r="T88" s="6">
        <v>1366.48</v>
      </c>
      <c r="U88" s="8">
        <v>1678.14</v>
      </c>
      <c r="V88" s="8">
        <f t="shared" si="24"/>
        <v>1678.14</v>
      </c>
      <c r="W88" s="8" t="str">
        <f t="shared" si="25"/>
        <v>High</v>
      </c>
      <c r="X88" s="15">
        <v>0.154</v>
      </c>
      <c r="Y88" s="15">
        <f t="shared" si="26"/>
        <v>0.154</v>
      </c>
      <c r="Z88" t="str">
        <f t="shared" si="27"/>
        <v>No</v>
      </c>
      <c r="AA88" s="17">
        <v>10</v>
      </c>
      <c r="AB88" s="8">
        <f t="shared" si="28"/>
        <v>14197.064400000001</v>
      </c>
      <c r="AC88" s="8">
        <f t="shared" si="29"/>
        <v>13664.8</v>
      </c>
      <c r="AD88" s="8">
        <f t="shared" si="30"/>
        <v>532.26440000000184</v>
      </c>
      <c r="AE88" s="15">
        <f t="shared" si="31"/>
        <v>3.7491159087790132E-2</v>
      </c>
      <c r="AF88" s="34">
        <f>MIN(Y88,'Scenario Modeling'!$B$2)</f>
        <v>0.154</v>
      </c>
      <c r="AG88">
        <f>ROUND(AA88 * (1 + 'Scenario Modeling'!$B$4), 0)</f>
        <v>10</v>
      </c>
      <c r="AH88">
        <f>T88 * (1 + 'Scenario Modeling'!$B$3)</f>
        <v>1366.48</v>
      </c>
      <c r="AI88" s="8">
        <f t="shared" si="32"/>
        <v>14197.064400000001</v>
      </c>
      <c r="AJ88" s="8">
        <f t="shared" si="33"/>
        <v>532.26440000000184</v>
      </c>
    </row>
    <row r="89" spans="1:36">
      <c r="A89" t="s">
        <v>102</v>
      </c>
      <c r="B89" s="4">
        <v>45876</v>
      </c>
      <c r="C89" s="28">
        <v>45876</v>
      </c>
      <c r="D89" s="28" t="str">
        <f t="shared" si="18"/>
        <v>Q3-2025</v>
      </c>
      <c r="E89" s="4">
        <v>45888</v>
      </c>
      <c r="F89" s="4">
        <v>45888</v>
      </c>
      <c r="G89" s="17">
        <f t="shared" si="19"/>
        <v>12</v>
      </c>
      <c r="H89" s="17">
        <f t="shared" si="20"/>
        <v>12</v>
      </c>
      <c r="I89" t="str">
        <f t="shared" si="21"/>
        <v>No</v>
      </c>
      <c r="J89" s="2">
        <f t="shared" si="22"/>
        <v>44946</v>
      </c>
      <c r="K89" t="s">
        <v>646</v>
      </c>
      <c r="L89" t="s">
        <v>650</v>
      </c>
      <c r="M89" t="s">
        <v>678</v>
      </c>
      <c r="N89" t="str">
        <f t="shared" si="23"/>
        <v>Africa - Kenya - Nakuru</v>
      </c>
      <c r="O89" t="s">
        <v>701</v>
      </c>
      <c r="P89" t="s">
        <v>711</v>
      </c>
      <c r="Q89" t="s">
        <v>724</v>
      </c>
      <c r="R89" t="s">
        <v>727</v>
      </c>
      <c r="S89" t="s">
        <v>821</v>
      </c>
      <c r="T89" s="6">
        <v>601.51</v>
      </c>
      <c r="U89" s="8">
        <v>679.35</v>
      </c>
      <c r="V89" s="8">
        <f t="shared" si="24"/>
        <v>679.35</v>
      </c>
      <c r="W89" s="8" t="str">
        <f t="shared" si="25"/>
        <v>Low</v>
      </c>
      <c r="X89" s="15">
        <v>0.188</v>
      </c>
      <c r="Y89" s="15">
        <f t="shared" si="26"/>
        <v>0.188</v>
      </c>
      <c r="Z89" t="str">
        <f t="shared" si="27"/>
        <v>No</v>
      </c>
      <c r="AA89" s="17">
        <v>3</v>
      </c>
      <c r="AB89" s="8">
        <f t="shared" si="28"/>
        <v>1654.8966000000003</v>
      </c>
      <c r="AC89" s="8">
        <f t="shared" si="29"/>
        <v>1804.53</v>
      </c>
      <c r="AD89" s="8">
        <f t="shared" si="30"/>
        <v>-149.63339999999971</v>
      </c>
      <c r="AE89" s="15">
        <f t="shared" si="31"/>
        <v>-9.0418579626062243E-2</v>
      </c>
      <c r="AF89" s="34">
        <f>MIN(Y89,'Scenario Modeling'!$B$2)</f>
        <v>0.188</v>
      </c>
      <c r="AG89">
        <f>ROUND(AA89 * (1 + 'Scenario Modeling'!$B$4), 0)</f>
        <v>3</v>
      </c>
      <c r="AH89">
        <f>T89 * (1 + 'Scenario Modeling'!$B$3)</f>
        <v>601.51</v>
      </c>
      <c r="AI89" s="8">
        <f t="shared" si="32"/>
        <v>1654.8966000000003</v>
      </c>
      <c r="AJ89" s="8">
        <f t="shared" si="33"/>
        <v>-149.63339999999971</v>
      </c>
    </row>
    <row r="90" spans="1:36">
      <c r="A90" t="s">
        <v>103</v>
      </c>
      <c r="B90" s="4">
        <v>45312</v>
      </c>
      <c r="C90" s="28">
        <v>45312</v>
      </c>
      <c r="D90" s="28" t="str">
        <f t="shared" si="18"/>
        <v>Q1-2024</v>
      </c>
      <c r="E90" s="4">
        <v>45316</v>
      </c>
      <c r="F90" s="4">
        <v>45316</v>
      </c>
      <c r="G90" s="17">
        <f t="shared" si="19"/>
        <v>4</v>
      </c>
      <c r="H90" s="17">
        <f t="shared" si="20"/>
        <v>4</v>
      </c>
      <c r="I90" t="str">
        <f t="shared" si="21"/>
        <v>Yes</v>
      </c>
      <c r="J90" s="2">
        <f t="shared" si="22"/>
        <v>44955</v>
      </c>
      <c r="K90" t="s">
        <v>647</v>
      </c>
      <c r="L90" t="s">
        <v>654</v>
      </c>
      <c r="M90" t="s">
        <v>680</v>
      </c>
      <c r="N90" t="str">
        <f t="shared" si="23"/>
        <v>Asia - India - Delhi</v>
      </c>
      <c r="O90" t="s">
        <v>704</v>
      </c>
      <c r="P90" t="s">
        <v>711</v>
      </c>
      <c r="Q90" t="s">
        <v>712</v>
      </c>
      <c r="R90" t="s">
        <v>732</v>
      </c>
      <c r="S90" t="s">
        <v>822</v>
      </c>
      <c r="T90" s="6">
        <v>523.70000000000005</v>
      </c>
      <c r="U90" s="8">
        <v>1109.92</v>
      </c>
      <c r="V90" s="8">
        <f t="shared" si="24"/>
        <v>1109.92</v>
      </c>
      <c r="W90" s="8" t="str">
        <f t="shared" si="25"/>
        <v>Medium</v>
      </c>
      <c r="X90" s="15">
        <v>0.03</v>
      </c>
      <c r="Y90" s="15">
        <f t="shared" si="26"/>
        <v>0.03</v>
      </c>
      <c r="Z90" t="str">
        <f t="shared" si="27"/>
        <v>No</v>
      </c>
      <c r="AA90" s="17">
        <v>11</v>
      </c>
      <c r="AB90" s="8">
        <f t="shared" si="28"/>
        <v>11842.8464</v>
      </c>
      <c r="AC90" s="8">
        <f t="shared" si="29"/>
        <v>5760.7000000000007</v>
      </c>
      <c r="AD90" s="8">
        <f t="shared" si="30"/>
        <v>6082.1463999999996</v>
      </c>
      <c r="AE90" s="15">
        <f t="shared" si="31"/>
        <v>0.51357133197302973</v>
      </c>
      <c r="AF90" s="34">
        <f>MIN(Y90,'Scenario Modeling'!$B$2)</f>
        <v>0.03</v>
      </c>
      <c r="AG90">
        <f>ROUND(AA90 * (1 + 'Scenario Modeling'!$B$4), 0)</f>
        <v>11</v>
      </c>
      <c r="AH90">
        <f>T90 * (1 + 'Scenario Modeling'!$B$3)</f>
        <v>523.70000000000005</v>
      </c>
      <c r="AI90" s="8">
        <f t="shared" si="32"/>
        <v>11842.8464</v>
      </c>
      <c r="AJ90" s="8">
        <f t="shared" si="33"/>
        <v>6082.1463999999996</v>
      </c>
    </row>
    <row r="91" spans="1:36">
      <c r="A91" t="s">
        <v>104</v>
      </c>
      <c r="B91" s="4">
        <v>45106</v>
      </c>
      <c r="C91" s="28">
        <v>45106</v>
      </c>
      <c r="D91" s="28" t="str">
        <f t="shared" si="18"/>
        <v>Q2-2023</v>
      </c>
      <c r="E91" s="4">
        <v>45109</v>
      </c>
      <c r="F91" s="4">
        <v>45109</v>
      </c>
      <c r="G91" s="17">
        <f t="shared" si="19"/>
        <v>3</v>
      </c>
      <c r="H91" s="17">
        <f t="shared" si="20"/>
        <v>3</v>
      </c>
      <c r="I91" t="str">
        <f t="shared" si="21"/>
        <v>Yes</v>
      </c>
      <c r="J91" s="2">
        <f t="shared" si="22"/>
        <v>44988</v>
      </c>
      <c r="K91" t="s">
        <v>647</v>
      </c>
      <c r="L91" t="s">
        <v>652</v>
      </c>
      <c r="M91" t="s">
        <v>694</v>
      </c>
      <c r="N91" t="str">
        <f t="shared" si="23"/>
        <v>Asia - Japan - Nagoya</v>
      </c>
      <c r="O91" t="s">
        <v>702</v>
      </c>
      <c r="P91" t="s">
        <v>709</v>
      </c>
      <c r="Q91" t="s">
        <v>721</v>
      </c>
      <c r="R91" t="s">
        <v>732</v>
      </c>
      <c r="S91" t="s">
        <v>823</v>
      </c>
      <c r="T91" s="6">
        <v>55.65</v>
      </c>
      <c r="U91" s="8">
        <v>83.57</v>
      </c>
      <c r="V91" s="8">
        <f t="shared" si="24"/>
        <v>83.57</v>
      </c>
      <c r="W91" s="8" t="str">
        <f t="shared" si="25"/>
        <v>Low</v>
      </c>
      <c r="X91" s="15">
        <v>6.6000000000000003E-2</v>
      </c>
      <c r="Y91" s="15">
        <f t="shared" si="26"/>
        <v>6.6000000000000003E-2</v>
      </c>
      <c r="Z91" t="str">
        <f t="shared" si="27"/>
        <v>No</v>
      </c>
      <c r="AA91" s="17">
        <v>8</v>
      </c>
      <c r="AB91" s="8">
        <f t="shared" si="28"/>
        <v>624.43503999999996</v>
      </c>
      <c r="AC91" s="8">
        <f t="shared" si="29"/>
        <v>445.2</v>
      </c>
      <c r="AD91" s="8">
        <f t="shared" si="30"/>
        <v>179.23503999999997</v>
      </c>
      <c r="AE91" s="15">
        <f t="shared" si="31"/>
        <v>0.2870355257449998</v>
      </c>
      <c r="AF91" s="34">
        <f>MIN(Y91,'Scenario Modeling'!$B$2)</f>
        <v>6.6000000000000003E-2</v>
      </c>
      <c r="AG91">
        <f>ROUND(AA91 * (1 + 'Scenario Modeling'!$B$4), 0)</f>
        <v>8</v>
      </c>
      <c r="AH91">
        <f>T91 * (1 + 'Scenario Modeling'!$B$3)</f>
        <v>55.65</v>
      </c>
      <c r="AI91" s="8">
        <f t="shared" si="32"/>
        <v>624.43503999999996</v>
      </c>
      <c r="AJ91" s="8">
        <f t="shared" si="33"/>
        <v>179.23503999999997</v>
      </c>
    </row>
    <row r="92" spans="1:36">
      <c r="A92" t="s">
        <v>105</v>
      </c>
      <c r="B92" s="4">
        <v>45775</v>
      </c>
      <c r="C92" s="28">
        <v>45775</v>
      </c>
      <c r="D92" s="28" t="str">
        <f t="shared" si="18"/>
        <v>Q2-2025</v>
      </c>
      <c r="E92" s="4">
        <v>45792</v>
      </c>
      <c r="F92" s="4">
        <v>45792</v>
      </c>
      <c r="G92" s="17">
        <f t="shared" si="19"/>
        <v>17</v>
      </c>
      <c r="H92" s="17">
        <f t="shared" si="20"/>
        <v>17</v>
      </c>
      <c r="I92" t="str">
        <f t="shared" si="21"/>
        <v>No</v>
      </c>
      <c r="J92" s="2">
        <f t="shared" si="22"/>
        <v>44988</v>
      </c>
      <c r="K92" t="s">
        <v>647</v>
      </c>
      <c r="L92" t="s">
        <v>652</v>
      </c>
      <c r="M92" t="s">
        <v>694</v>
      </c>
      <c r="N92" t="str">
        <f t="shared" si="23"/>
        <v>Asia - Japan - Nagoya</v>
      </c>
      <c r="O92" t="s">
        <v>702</v>
      </c>
      <c r="P92" t="s">
        <v>711</v>
      </c>
      <c r="Q92" t="s">
        <v>725</v>
      </c>
      <c r="R92" t="s">
        <v>729</v>
      </c>
      <c r="S92" t="s">
        <v>824</v>
      </c>
      <c r="T92" s="6">
        <v>691.19</v>
      </c>
      <c r="U92" s="8">
        <v>1284.3</v>
      </c>
      <c r="V92" s="8">
        <f t="shared" si="24"/>
        <v>1284.3</v>
      </c>
      <c r="W92" s="8" t="str">
        <f t="shared" si="25"/>
        <v>Medium</v>
      </c>
      <c r="X92" s="15">
        <v>7.3999999999999996E-2</v>
      </c>
      <c r="Y92" s="15">
        <f t="shared" si="26"/>
        <v>7.3999999999999996E-2</v>
      </c>
      <c r="Z92" t="str">
        <f t="shared" si="27"/>
        <v>No</v>
      </c>
      <c r="AA92" s="17">
        <v>7</v>
      </c>
      <c r="AB92" s="8">
        <f t="shared" si="28"/>
        <v>8324.8326000000015</v>
      </c>
      <c r="AC92" s="8">
        <f t="shared" si="29"/>
        <v>4838.33</v>
      </c>
      <c r="AD92" s="8">
        <f t="shared" si="30"/>
        <v>3486.5026000000016</v>
      </c>
      <c r="AE92" s="15">
        <f t="shared" si="31"/>
        <v>0.41880753253825198</v>
      </c>
      <c r="AF92" s="34">
        <f>MIN(Y92,'Scenario Modeling'!$B$2)</f>
        <v>7.3999999999999996E-2</v>
      </c>
      <c r="AG92">
        <f>ROUND(AA92 * (1 + 'Scenario Modeling'!$B$4), 0)</f>
        <v>7</v>
      </c>
      <c r="AH92">
        <f>T92 * (1 + 'Scenario Modeling'!$B$3)</f>
        <v>691.19</v>
      </c>
      <c r="AI92" s="8">
        <f t="shared" si="32"/>
        <v>8324.8326000000015</v>
      </c>
      <c r="AJ92" s="8">
        <f t="shared" si="33"/>
        <v>3486.5026000000016</v>
      </c>
    </row>
    <row r="93" spans="1:36">
      <c r="A93" t="s">
        <v>106</v>
      </c>
      <c r="B93" s="4">
        <v>45817</v>
      </c>
      <c r="C93" s="28">
        <v>45817</v>
      </c>
      <c r="D93" s="28" t="str">
        <f t="shared" si="18"/>
        <v>Q2-2025</v>
      </c>
      <c r="E93" s="4">
        <v>45833</v>
      </c>
      <c r="F93" s="4">
        <v>45833</v>
      </c>
      <c r="G93" s="17">
        <f t="shared" si="19"/>
        <v>16</v>
      </c>
      <c r="H93" s="17">
        <f t="shared" si="20"/>
        <v>16</v>
      </c>
      <c r="I93" t="str">
        <f t="shared" si="21"/>
        <v>No</v>
      </c>
      <c r="J93" s="2">
        <f t="shared" si="22"/>
        <v>44955</v>
      </c>
      <c r="K93" t="s">
        <v>647</v>
      </c>
      <c r="L93" t="s">
        <v>654</v>
      </c>
      <c r="M93" t="s">
        <v>696</v>
      </c>
      <c r="N93" t="str">
        <f t="shared" si="23"/>
        <v>Asia - India - Hyderabad</v>
      </c>
      <c r="O93" t="s">
        <v>706</v>
      </c>
      <c r="P93" t="s">
        <v>710</v>
      </c>
      <c r="Q93" t="s">
        <v>724</v>
      </c>
      <c r="R93" t="s">
        <v>730</v>
      </c>
      <c r="S93" t="s">
        <v>825</v>
      </c>
      <c r="T93" s="6">
        <v>527.33000000000004</v>
      </c>
      <c r="U93" s="8">
        <v>911.72</v>
      </c>
      <c r="V93" s="8">
        <f t="shared" si="24"/>
        <v>911.72</v>
      </c>
      <c r="W93" s="8" t="str">
        <f t="shared" si="25"/>
        <v>Medium</v>
      </c>
      <c r="X93" s="15">
        <v>0.14399999999999999</v>
      </c>
      <c r="Y93" s="15">
        <f t="shared" si="26"/>
        <v>0.14399999999999999</v>
      </c>
      <c r="Z93" t="str">
        <f t="shared" si="27"/>
        <v>No</v>
      </c>
      <c r="AA93" s="17">
        <v>25</v>
      </c>
      <c r="AB93" s="8">
        <f t="shared" si="28"/>
        <v>19510.808000000001</v>
      </c>
      <c r="AC93" s="8">
        <f t="shared" si="29"/>
        <v>13183.250000000002</v>
      </c>
      <c r="AD93" s="8">
        <f t="shared" si="30"/>
        <v>6327.5579999999991</v>
      </c>
      <c r="AE93" s="15">
        <f t="shared" si="31"/>
        <v>0.32431040272652978</v>
      </c>
      <c r="AF93" s="34">
        <f>MIN(Y93,'Scenario Modeling'!$B$2)</f>
        <v>0.14399999999999999</v>
      </c>
      <c r="AG93">
        <f>ROUND(AA93 * (1 + 'Scenario Modeling'!$B$4), 0)</f>
        <v>25</v>
      </c>
      <c r="AH93">
        <f>T93 * (1 + 'Scenario Modeling'!$B$3)</f>
        <v>527.33000000000004</v>
      </c>
      <c r="AI93" s="8">
        <f t="shared" si="32"/>
        <v>19510.808000000001</v>
      </c>
      <c r="AJ93" s="8">
        <f t="shared" si="33"/>
        <v>6327.5579999999991</v>
      </c>
    </row>
    <row r="94" spans="1:36">
      <c r="A94" t="s">
        <v>107</v>
      </c>
      <c r="B94" s="4">
        <v>45101</v>
      </c>
      <c r="C94" s="28">
        <v>45101</v>
      </c>
      <c r="D94" s="28" t="str">
        <f t="shared" si="18"/>
        <v>Q2-2023</v>
      </c>
      <c r="E94" s="4">
        <v>45100</v>
      </c>
      <c r="F94" s="4">
        <f>B94+13</f>
        <v>45114</v>
      </c>
      <c r="G94" s="17">
        <f t="shared" si="19"/>
        <v>-1</v>
      </c>
      <c r="H94" s="17">
        <f t="shared" si="20"/>
        <v>13</v>
      </c>
      <c r="I94" t="str">
        <f t="shared" si="21"/>
        <v>No</v>
      </c>
      <c r="J94" s="2">
        <f t="shared" si="22"/>
        <v>44955</v>
      </c>
      <c r="K94" t="s">
        <v>648</v>
      </c>
      <c r="L94" t="s">
        <v>655</v>
      </c>
      <c r="M94" t="s">
        <v>692</v>
      </c>
      <c r="N94" t="str">
        <f t="shared" si="23"/>
        <v>Americas - Brazil - Rio de Janeiro</v>
      </c>
      <c r="O94" t="s">
        <v>703</v>
      </c>
      <c r="P94" t="s">
        <v>707</v>
      </c>
      <c r="Q94" t="s">
        <v>718</v>
      </c>
      <c r="R94" t="s">
        <v>728</v>
      </c>
      <c r="S94" t="s">
        <v>826</v>
      </c>
      <c r="T94" s="6">
        <v>804.01</v>
      </c>
      <c r="U94" s="8">
        <v>1405.07</v>
      </c>
      <c r="V94" s="8">
        <f t="shared" si="24"/>
        <v>1405.07</v>
      </c>
      <c r="W94" s="8" t="str">
        <f t="shared" si="25"/>
        <v>Medium</v>
      </c>
      <c r="X94" s="15">
        <v>9.6000000000000002E-2</v>
      </c>
      <c r="Y94" s="15">
        <f t="shared" si="26"/>
        <v>9.6000000000000002E-2</v>
      </c>
      <c r="Z94" t="str">
        <f t="shared" si="27"/>
        <v>No</v>
      </c>
      <c r="AA94" s="17">
        <v>8</v>
      </c>
      <c r="AB94" s="8">
        <f t="shared" si="28"/>
        <v>10161.46624</v>
      </c>
      <c r="AC94" s="8">
        <f t="shared" si="29"/>
        <v>6432.08</v>
      </c>
      <c r="AD94" s="8">
        <f t="shared" si="30"/>
        <v>3729.3862399999998</v>
      </c>
      <c r="AE94" s="15">
        <f t="shared" si="31"/>
        <v>0.36701260939287439</v>
      </c>
      <c r="AF94" s="34">
        <f>MIN(Y94,'Scenario Modeling'!$B$2)</f>
        <v>9.6000000000000002E-2</v>
      </c>
      <c r="AG94">
        <f>ROUND(AA94 * (1 + 'Scenario Modeling'!$B$4), 0)</f>
        <v>8</v>
      </c>
      <c r="AH94">
        <f>T94 * (1 + 'Scenario Modeling'!$B$3)</f>
        <v>804.01</v>
      </c>
      <c r="AI94" s="8">
        <f t="shared" si="32"/>
        <v>10161.46624</v>
      </c>
      <c r="AJ94" s="8">
        <f t="shared" si="33"/>
        <v>3729.3862399999998</v>
      </c>
    </row>
    <row r="95" spans="1:36">
      <c r="A95" t="s">
        <v>108</v>
      </c>
      <c r="B95" s="4">
        <v>45569</v>
      </c>
      <c r="C95" s="28">
        <v>45569</v>
      </c>
      <c r="D95" s="28" t="str">
        <f t="shared" si="18"/>
        <v>Q4-2024</v>
      </c>
      <c r="E95" s="4">
        <v>45598</v>
      </c>
      <c r="F95" s="4">
        <v>45598</v>
      </c>
      <c r="G95" s="17">
        <f t="shared" si="19"/>
        <v>29</v>
      </c>
      <c r="H95" s="17">
        <f t="shared" si="20"/>
        <v>29</v>
      </c>
      <c r="I95" t="str">
        <f t="shared" si="21"/>
        <v>No</v>
      </c>
      <c r="J95" s="2">
        <f t="shared" si="22"/>
        <v>44941</v>
      </c>
      <c r="K95" t="s">
        <v>646</v>
      </c>
      <c r="L95" t="s">
        <v>651</v>
      </c>
      <c r="M95" t="s">
        <v>669</v>
      </c>
      <c r="N95" t="str">
        <f t="shared" si="23"/>
        <v>Africa - Nigeria - Abuja</v>
      </c>
      <c r="O95" t="s">
        <v>701</v>
      </c>
      <c r="P95" t="s">
        <v>710</v>
      </c>
      <c r="Q95" t="s">
        <v>721</v>
      </c>
      <c r="R95" t="s">
        <v>733</v>
      </c>
      <c r="S95" t="s">
        <v>827</v>
      </c>
      <c r="T95" s="6">
        <v>412.09</v>
      </c>
      <c r="U95" s="8">
        <v>968.94</v>
      </c>
      <c r="V95" s="8">
        <f t="shared" si="24"/>
        <v>968.94</v>
      </c>
      <c r="W95" s="8" t="str">
        <f t="shared" si="25"/>
        <v>Medium</v>
      </c>
      <c r="X95" s="15">
        <v>9.9000000000000005E-2</v>
      </c>
      <c r="Y95" s="15">
        <f t="shared" si="26"/>
        <v>9.9000000000000005E-2</v>
      </c>
      <c r="Z95" t="str">
        <f t="shared" si="27"/>
        <v>No</v>
      </c>
      <c r="AA95" s="17">
        <v>23</v>
      </c>
      <c r="AB95" s="8">
        <f t="shared" si="28"/>
        <v>20079.343620000003</v>
      </c>
      <c r="AC95" s="8">
        <f t="shared" si="29"/>
        <v>9478.07</v>
      </c>
      <c r="AD95" s="8">
        <f t="shared" si="30"/>
        <v>10601.273620000004</v>
      </c>
      <c r="AE95" s="15">
        <f t="shared" si="31"/>
        <v>0.52796913189137418</v>
      </c>
      <c r="AF95" s="34">
        <f>MIN(Y95,'Scenario Modeling'!$B$2)</f>
        <v>9.9000000000000005E-2</v>
      </c>
      <c r="AG95">
        <f>ROUND(AA95 * (1 + 'Scenario Modeling'!$B$4), 0)</f>
        <v>23</v>
      </c>
      <c r="AH95">
        <f>T95 * (1 + 'Scenario Modeling'!$B$3)</f>
        <v>412.09</v>
      </c>
      <c r="AI95" s="8">
        <f t="shared" si="32"/>
        <v>20079.343620000003</v>
      </c>
      <c r="AJ95" s="8">
        <f t="shared" si="33"/>
        <v>10601.273620000004</v>
      </c>
    </row>
    <row r="96" spans="1:36">
      <c r="A96" t="s">
        <v>109</v>
      </c>
      <c r="B96" s="4">
        <v>45910</v>
      </c>
      <c r="C96" s="28">
        <v>45910</v>
      </c>
      <c r="D96" s="28" t="str">
        <f t="shared" si="18"/>
        <v>Q3-2025</v>
      </c>
      <c r="E96" s="4">
        <v>45930</v>
      </c>
      <c r="F96" s="4">
        <v>45930</v>
      </c>
      <c r="G96" s="17">
        <f t="shared" si="19"/>
        <v>20</v>
      </c>
      <c r="H96" s="17">
        <f t="shared" si="20"/>
        <v>20</v>
      </c>
      <c r="I96" t="str">
        <f t="shared" si="21"/>
        <v>No</v>
      </c>
      <c r="J96" s="2">
        <f t="shared" si="22"/>
        <v>44946</v>
      </c>
      <c r="K96" t="s">
        <v>646</v>
      </c>
      <c r="L96" t="s">
        <v>650</v>
      </c>
      <c r="M96" t="s">
        <v>675</v>
      </c>
      <c r="N96" t="str">
        <f t="shared" si="23"/>
        <v>Africa - Kenya - Mombasa</v>
      </c>
      <c r="O96" t="s">
        <v>701</v>
      </c>
      <c r="P96" t="s">
        <v>711</v>
      </c>
      <c r="Q96" t="s">
        <v>716</v>
      </c>
      <c r="R96" t="s">
        <v>730</v>
      </c>
      <c r="S96" t="s">
        <v>828</v>
      </c>
      <c r="T96" s="6">
        <v>1009.48</v>
      </c>
      <c r="U96" s="8">
        <v>1088.81</v>
      </c>
      <c r="V96" s="8">
        <f t="shared" si="24"/>
        <v>1088.81</v>
      </c>
      <c r="W96" s="8" t="str">
        <f t="shared" si="25"/>
        <v>Medium</v>
      </c>
      <c r="X96" s="15">
        <v>0.16</v>
      </c>
      <c r="Y96" s="15">
        <f t="shared" si="26"/>
        <v>0.16</v>
      </c>
      <c r="Z96" t="str">
        <f t="shared" si="27"/>
        <v>No</v>
      </c>
      <c r="AA96" s="17">
        <v>6</v>
      </c>
      <c r="AB96" s="8">
        <f t="shared" si="28"/>
        <v>5487.6023999999998</v>
      </c>
      <c r="AC96" s="8">
        <f t="shared" si="29"/>
        <v>6056.88</v>
      </c>
      <c r="AD96" s="8">
        <f t="shared" si="30"/>
        <v>-569.27760000000035</v>
      </c>
      <c r="AE96" s="15">
        <f t="shared" si="31"/>
        <v>-0.10373885688219693</v>
      </c>
      <c r="AF96" s="34">
        <f>MIN(Y96,'Scenario Modeling'!$B$2)</f>
        <v>0.16</v>
      </c>
      <c r="AG96">
        <f>ROUND(AA96 * (1 + 'Scenario Modeling'!$B$4), 0)</f>
        <v>6</v>
      </c>
      <c r="AH96">
        <f>T96 * (1 + 'Scenario Modeling'!$B$3)</f>
        <v>1009.48</v>
      </c>
      <c r="AI96" s="8">
        <f t="shared" si="32"/>
        <v>5487.6023999999998</v>
      </c>
      <c r="AJ96" s="8">
        <f t="shared" si="33"/>
        <v>-569.27760000000035</v>
      </c>
    </row>
    <row r="97" spans="1:36">
      <c r="A97" t="s">
        <v>110</v>
      </c>
      <c r="B97" s="4">
        <v>45022</v>
      </c>
      <c r="C97" s="28">
        <v>45022</v>
      </c>
      <c r="D97" s="28" t="str">
        <f t="shared" si="18"/>
        <v>Q2-2023</v>
      </c>
      <c r="E97" s="4">
        <v>45043</v>
      </c>
      <c r="F97" s="4">
        <v>45043</v>
      </c>
      <c r="G97" s="17">
        <f t="shared" si="19"/>
        <v>21</v>
      </c>
      <c r="H97" s="17">
        <f t="shared" si="20"/>
        <v>21</v>
      </c>
      <c r="I97" t="str">
        <f t="shared" si="21"/>
        <v>No</v>
      </c>
      <c r="J97" s="2">
        <f t="shared" si="22"/>
        <v>44945</v>
      </c>
      <c r="K97" t="s">
        <v>649</v>
      </c>
      <c r="L97" t="s">
        <v>658</v>
      </c>
      <c r="M97" t="s">
        <v>693</v>
      </c>
      <c r="N97" t="str">
        <f t="shared" si="23"/>
        <v>Europe - United Kingdom - Manchester</v>
      </c>
      <c r="O97" t="s">
        <v>706</v>
      </c>
      <c r="P97" t="s">
        <v>710</v>
      </c>
      <c r="Q97" t="s">
        <v>714</v>
      </c>
      <c r="R97" t="s">
        <v>728</v>
      </c>
      <c r="S97" t="s">
        <v>829</v>
      </c>
      <c r="T97" s="6">
        <v>1084.79</v>
      </c>
      <c r="U97" s="8">
        <v>2484.9899999999998</v>
      </c>
      <c r="V97" s="8">
        <f t="shared" si="24"/>
        <v>2484.9899999999998</v>
      </c>
      <c r="W97" s="8" t="str">
        <f t="shared" si="25"/>
        <v>High</v>
      </c>
      <c r="X97" s="15">
        <v>3.4000000000000002E-2</v>
      </c>
      <c r="Y97" s="15">
        <f t="shared" si="26"/>
        <v>3.4000000000000002E-2</v>
      </c>
      <c r="Z97" t="str">
        <f t="shared" si="27"/>
        <v>No</v>
      </c>
      <c r="AA97" s="17">
        <v>18</v>
      </c>
      <c r="AB97" s="8">
        <f t="shared" si="28"/>
        <v>43209.006119999991</v>
      </c>
      <c r="AC97" s="8">
        <f t="shared" si="29"/>
        <v>19526.22</v>
      </c>
      <c r="AD97" s="8">
        <f t="shared" si="30"/>
        <v>23682.78611999999</v>
      </c>
      <c r="AE97" s="15">
        <f t="shared" si="31"/>
        <v>0.54809837685755114</v>
      </c>
      <c r="AF97" s="34">
        <f>MIN(Y97,'Scenario Modeling'!$B$2)</f>
        <v>3.4000000000000002E-2</v>
      </c>
      <c r="AG97">
        <f>ROUND(AA97 * (1 + 'Scenario Modeling'!$B$4), 0)</f>
        <v>18</v>
      </c>
      <c r="AH97">
        <f>T97 * (1 + 'Scenario Modeling'!$B$3)</f>
        <v>1084.79</v>
      </c>
      <c r="AI97" s="8">
        <f t="shared" si="32"/>
        <v>43209.006119999991</v>
      </c>
      <c r="AJ97" s="8">
        <f t="shared" si="33"/>
        <v>23682.78611999999</v>
      </c>
    </row>
    <row r="98" spans="1:36">
      <c r="A98" t="s">
        <v>111</v>
      </c>
      <c r="B98" s="4">
        <v>45870</v>
      </c>
      <c r="C98" s="28">
        <v>45870</v>
      </c>
      <c r="D98" s="28" t="str">
        <f t="shared" si="18"/>
        <v>Q3-2025</v>
      </c>
      <c r="E98" s="4">
        <v>45885</v>
      </c>
      <c r="F98" s="4">
        <v>45885</v>
      </c>
      <c r="G98" s="17">
        <f t="shared" si="19"/>
        <v>15</v>
      </c>
      <c r="H98" s="17">
        <f t="shared" si="20"/>
        <v>15</v>
      </c>
      <c r="I98" t="str">
        <f t="shared" si="21"/>
        <v>No</v>
      </c>
      <c r="J98" s="2">
        <f t="shared" si="22"/>
        <v>44955</v>
      </c>
      <c r="K98" t="s">
        <v>647</v>
      </c>
      <c r="L98" t="s">
        <v>654</v>
      </c>
      <c r="M98" t="s">
        <v>680</v>
      </c>
      <c r="N98" t="str">
        <f t="shared" si="23"/>
        <v>Asia - India - Delhi</v>
      </c>
      <c r="O98" t="s">
        <v>706</v>
      </c>
      <c r="P98" t="s">
        <v>711</v>
      </c>
      <c r="Q98" t="s">
        <v>719</v>
      </c>
      <c r="R98" t="s">
        <v>732</v>
      </c>
      <c r="S98" t="s">
        <v>830</v>
      </c>
      <c r="T98" s="6">
        <v>24.44</v>
      </c>
      <c r="U98" s="8">
        <v>28.69</v>
      </c>
      <c r="V98" s="8">
        <f t="shared" si="24"/>
        <v>28.69</v>
      </c>
      <c r="W98" s="8" t="str">
        <f t="shared" si="25"/>
        <v>Low</v>
      </c>
      <c r="X98" s="15">
        <v>0.14599999999999999</v>
      </c>
      <c r="Y98" s="15">
        <f t="shared" si="26"/>
        <v>0.14599999999999999</v>
      </c>
      <c r="Z98" t="str">
        <f t="shared" si="27"/>
        <v>No</v>
      </c>
      <c r="AA98" s="17">
        <v>6</v>
      </c>
      <c r="AB98" s="8">
        <f t="shared" si="28"/>
        <v>147.00756000000001</v>
      </c>
      <c r="AC98" s="8">
        <f t="shared" si="29"/>
        <v>146.64000000000001</v>
      </c>
      <c r="AD98" s="8">
        <f t="shared" si="30"/>
        <v>0.36755999999999744</v>
      </c>
      <c r="AE98" s="15">
        <f t="shared" si="31"/>
        <v>2.5002795774584476E-3</v>
      </c>
      <c r="AF98" s="34">
        <f>MIN(Y98,'Scenario Modeling'!$B$2)</f>
        <v>0.14599999999999999</v>
      </c>
      <c r="AG98">
        <f>ROUND(AA98 * (1 + 'Scenario Modeling'!$B$4), 0)</f>
        <v>6</v>
      </c>
      <c r="AH98">
        <f>T98 * (1 + 'Scenario Modeling'!$B$3)</f>
        <v>24.44</v>
      </c>
      <c r="AI98" s="8">
        <f t="shared" si="32"/>
        <v>147.00756000000001</v>
      </c>
      <c r="AJ98" s="8">
        <f t="shared" si="33"/>
        <v>0.36755999999999744</v>
      </c>
    </row>
    <row r="99" spans="1:36">
      <c r="A99" t="s">
        <v>112</v>
      </c>
      <c r="B99" s="4">
        <v>45440</v>
      </c>
      <c r="C99" s="28">
        <v>45440</v>
      </c>
      <c r="D99" s="28" t="str">
        <f t="shared" si="18"/>
        <v>Q2-2024</v>
      </c>
      <c r="E99" s="4">
        <v>45438</v>
      </c>
      <c r="F99" s="4">
        <f>B99+3</f>
        <v>45443</v>
      </c>
      <c r="G99" s="17">
        <f t="shared" si="19"/>
        <v>-2</v>
      </c>
      <c r="H99" s="17">
        <f t="shared" si="20"/>
        <v>3</v>
      </c>
      <c r="I99" t="str">
        <f t="shared" si="21"/>
        <v>Yes</v>
      </c>
      <c r="J99" s="2">
        <f t="shared" si="22"/>
        <v>44941</v>
      </c>
      <c r="K99" t="s">
        <v>646</v>
      </c>
      <c r="L99" t="s">
        <v>651</v>
      </c>
      <c r="M99" t="s">
        <v>669</v>
      </c>
      <c r="N99" t="str">
        <f t="shared" si="23"/>
        <v>Africa - Nigeria - Abuja</v>
      </c>
      <c r="O99" t="s">
        <v>706</v>
      </c>
      <c r="P99" t="s">
        <v>708</v>
      </c>
      <c r="Q99" t="s">
        <v>721</v>
      </c>
      <c r="R99" t="s">
        <v>733</v>
      </c>
      <c r="S99" t="s">
        <v>831</v>
      </c>
      <c r="T99" s="6">
        <v>1227.08</v>
      </c>
      <c r="U99" s="8">
        <v>1896.62</v>
      </c>
      <c r="V99" s="8">
        <f t="shared" si="24"/>
        <v>1896.62</v>
      </c>
      <c r="W99" s="8" t="str">
        <f t="shared" si="25"/>
        <v>High</v>
      </c>
      <c r="X99" s="15">
        <v>0</v>
      </c>
      <c r="Y99" s="15">
        <f t="shared" si="26"/>
        <v>0</v>
      </c>
      <c r="Z99" t="str">
        <f t="shared" si="27"/>
        <v>No</v>
      </c>
      <c r="AA99" s="17">
        <v>18</v>
      </c>
      <c r="AB99" s="8">
        <f t="shared" si="28"/>
        <v>34139.159999999996</v>
      </c>
      <c r="AC99" s="8">
        <f t="shared" si="29"/>
        <v>22087.439999999999</v>
      </c>
      <c r="AD99" s="8">
        <f t="shared" si="30"/>
        <v>12051.719999999998</v>
      </c>
      <c r="AE99" s="15">
        <f t="shared" si="31"/>
        <v>0.353017473189147</v>
      </c>
      <c r="AF99" s="34">
        <f>MIN(Y99,'Scenario Modeling'!$B$2)</f>
        <v>0</v>
      </c>
      <c r="AG99">
        <f>ROUND(AA99 * (1 + 'Scenario Modeling'!$B$4), 0)</f>
        <v>18</v>
      </c>
      <c r="AH99">
        <f>T99 * (1 + 'Scenario Modeling'!$B$3)</f>
        <v>1227.08</v>
      </c>
      <c r="AI99" s="8">
        <f t="shared" si="32"/>
        <v>34139.159999999996</v>
      </c>
      <c r="AJ99" s="8">
        <f t="shared" si="33"/>
        <v>12051.719999999998</v>
      </c>
    </row>
    <row r="100" spans="1:36">
      <c r="A100" t="s">
        <v>113</v>
      </c>
      <c r="B100" s="4">
        <v>45860</v>
      </c>
      <c r="C100" s="28">
        <v>45860</v>
      </c>
      <c r="D100" s="28" t="str">
        <f t="shared" si="18"/>
        <v>Q3-2025</v>
      </c>
      <c r="E100" s="4">
        <v>45887</v>
      </c>
      <c r="F100" s="4">
        <v>45887</v>
      </c>
      <c r="G100" s="17">
        <f t="shared" si="19"/>
        <v>27</v>
      </c>
      <c r="H100" s="17">
        <f t="shared" si="20"/>
        <v>27</v>
      </c>
      <c r="I100" t="str">
        <f t="shared" si="21"/>
        <v>No</v>
      </c>
      <c r="J100" s="2">
        <f t="shared" si="22"/>
        <v>44938</v>
      </c>
      <c r="K100" t="s">
        <v>647</v>
      </c>
      <c r="L100" t="s">
        <v>659</v>
      </c>
      <c r="M100" t="s">
        <v>676</v>
      </c>
      <c r="N100" t="str">
        <f t="shared" si="23"/>
        <v>Asia - China - Shenzhen</v>
      </c>
      <c r="O100" t="s">
        <v>703</v>
      </c>
      <c r="P100" t="s">
        <v>709</v>
      </c>
      <c r="Q100" t="s">
        <v>724</v>
      </c>
      <c r="R100" t="s">
        <v>729</v>
      </c>
      <c r="S100" t="s">
        <v>832</v>
      </c>
      <c r="T100" s="6">
        <v>547.32000000000005</v>
      </c>
      <c r="U100" s="8">
        <v>419.17</v>
      </c>
      <c r="V100" s="8">
        <f t="shared" si="24"/>
        <v>419.17</v>
      </c>
      <c r="W100" s="8" t="str">
        <f t="shared" si="25"/>
        <v>Low</v>
      </c>
      <c r="X100" s="15">
        <v>9.1999999999999998E-2</v>
      </c>
      <c r="Y100" s="15">
        <f t="shared" si="26"/>
        <v>9.1999999999999998E-2</v>
      </c>
      <c r="Z100" t="str">
        <f t="shared" si="27"/>
        <v>No</v>
      </c>
      <c r="AA100" s="17">
        <v>14</v>
      </c>
      <c r="AB100" s="8">
        <f t="shared" si="28"/>
        <v>5328.4890400000004</v>
      </c>
      <c r="AC100" s="8">
        <f t="shared" si="29"/>
        <v>7662.4800000000005</v>
      </c>
      <c r="AD100" s="8">
        <f t="shared" si="30"/>
        <v>-2333.9909600000001</v>
      </c>
      <c r="AE100" s="15">
        <f t="shared" si="31"/>
        <v>-0.43802116181137907</v>
      </c>
      <c r="AF100" s="34">
        <f>MIN(Y100,'Scenario Modeling'!$B$2)</f>
        <v>9.1999999999999998E-2</v>
      </c>
      <c r="AG100">
        <f>ROUND(AA100 * (1 + 'Scenario Modeling'!$B$4), 0)</f>
        <v>14</v>
      </c>
      <c r="AH100">
        <f>T100 * (1 + 'Scenario Modeling'!$B$3)</f>
        <v>547.32000000000005</v>
      </c>
      <c r="AI100" s="8">
        <f t="shared" si="32"/>
        <v>5328.4890400000004</v>
      </c>
      <c r="AJ100" s="8">
        <f t="shared" si="33"/>
        <v>-2333.9909600000001</v>
      </c>
    </row>
    <row r="101" spans="1:36">
      <c r="A101" t="s">
        <v>114</v>
      </c>
      <c r="B101" s="4">
        <v>44985</v>
      </c>
      <c r="C101" s="28">
        <v>44985</v>
      </c>
      <c r="D101" s="28" t="str">
        <f t="shared" si="18"/>
        <v>Q1-2023</v>
      </c>
      <c r="E101" s="4">
        <v>45005</v>
      </c>
      <c r="F101" s="4">
        <v>45005</v>
      </c>
      <c r="G101" s="17">
        <f t="shared" si="19"/>
        <v>20</v>
      </c>
      <c r="H101" s="17">
        <f t="shared" si="20"/>
        <v>20</v>
      </c>
      <c r="I101" t="str">
        <f t="shared" si="21"/>
        <v>No</v>
      </c>
      <c r="J101" s="2">
        <f t="shared" si="22"/>
        <v>44948</v>
      </c>
      <c r="K101" t="s">
        <v>649</v>
      </c>
      <c r="L101" t="s">
        <v>656</v>
      </c>
      <c r="M101" t="s">
        <v>671</v>
      </c>
      <c r="N101" t="str">
        <f t="shared" si="23"/>
        <v>Europe - Germany - Berlin</v>
      </c>
      <c r="O101" t="s">
        <v>705</v>
      </c>
      <c r="P101" t="s">
        <v>711</v>
      </c>
      <c r="Q101" t="s">
        <v>722</v>
      </c>
      <c r="R101" t="s">
        <v>731</v>
      </c>
      <c r="S101" t="s">
        <v>833</v>
      </c>
      <c r="T101" s="6">
        <v>1200.78</v>
      </c>
      <c r="U101" s="8">
        <v>2001.17</v>
      </c>
      <c r="V101" s="8">
        <f t="shared" si="24"/>
        <v>2001.17</v>
      </c>
      <c r="W101" s="8" t="str">
        <f t="shared" si="25"/>
        <v>High</v>
      </c>
      <c r="X101" s="15">
        <v>0.29199999999999998</v>
      </c>
      <c r="Y101" s="15">
        <f t="shared" si="26"/>
        <v>0.29199999999999998</v>
      </c>
      <c r="Z101" t="str">
        <f t="shared" si="27"/>
        <v>Yes</v>
      </c>
      <c r="AA101" s="17">
        <v>18</v>
      </c>
      <c r="AB101" s="8">
        <f t="shared" si="28"/>
        <v>25502.910479999999</v>
      </c>
      <c r="AC101" s="8">
        <f t="shared" si="29"/>
        <v>21614.04</v>
      </c>
      <c r="AD101" s="8">
        <f t="shared" si="30"/>
        <v>3888.8704799999978</v>
      </c>
      <c r="AE101" s="15">
        <f t="shared" si="31"/>
        <v>0.15248732034132906</v>
      </c>
      <c r="AF101" s="34">
        <f>MIN(Y101,'Scenario Modeling'!$B$2)</f>
        <v>0.25</v>
      </c>
      <c r="AG101">
        <f>ROUND(AA101 * (1 + 'Scenario Modeling'!$B$4), 0)</f>
        <v>18</v>
      </c>
      <c r="AH101">
        <f>T101 * (1 + 'Scenario Modeling'!$B$3)</f>
        <v>1200.78</v>
      </c>
      <c r="AI101" s="8">
        <f t="shared" si="32"/>
        <v>27015.794999999998</v>
      </c>
      <c r="AJ101" s="8">
        <f t="shared" si="33"/>
        <v>5401.7549999999974</v>
      </c>
    </row>
    <row r="102" spans="1:36">
      <c r="A102" t="s">
        <v>115</v>
      </c>
      <c r="B102" s="4">
        <v>45684</v>
      </c>
      <c r="C102" s="28">
        <v>45684</v>
      </c>
      <c r="D102" s="28" t="str">
        <f t="shared" si="18"/>
        <v>Q1-2025</v>
      </c>
      <c r="E102" s="4">
        <v>45703</v>
      </c>
      <c r="F102" s="4">
        <v>45703</v>
      </c>
      <c r="G102" s="17">
        <f t="shared" si="19"/>
        <v>19</v>
      </c>
      <c r="H102" s="17">
        <f t="shared" si="20"/>
        <v>19</v>
      </c>
      <c r="I102" t="str">
        <f t="shared" si="21"/>
        <v>No</v>
      </c>
      <c r="J102" s="2">
        <f t="shared" si="22"/>
        <v>44938</v>
      </c>
      <c r="K102" t="s">
        <v>647</v>
      </c>
      <c r="L102" t="s">
        <v>659</v>
      </c>
      <c r="M102" t="s">
        <v>676</v>
      </c>
      <c r="N102" t="str">
        <f t="shared" si="23"/>
        <v>Asia - China - Shenzhen</v>
      </c>
      <c r="O102" t="s">
        <v>703</v>
      </c>
      <c r="P102" t="s">
        <v>711</v>
      </c>
      <c r="Q102" t="s">
        <v>716</v>
      </c>
      <c r="R102" t="s">
        <v>730</v>
      </c>
      <c r="S102" t="s">
        <v>834</v>
      </c>
      <c r="T102" s="6">
        <v>1253.22</v>
      </c>
      <c r="U102" s="8">
        <v>3104.71</v>
      </c>
      <c r="V102" s="8">
        <f t="shared" si="24"/>
        <v>3104.71</v>
      </c>
      <c r="W102" s="8" t="str">
        <f t="shared" si="25"/>
        <v>High</v>
      </c>
      <c r="X102" s="15">
        <v>0</v>
      </c>
      <c r="Y102" s="15">
        <f t="shared" si="26"/>
        <v>0</v>
      </c>
      <c r="Z102" t="str">
        <f t="shared" si="27"/>
        <v>No</v>
      </c>
      <c r="AA102" s="17">
        <v>17</v>
      </c>
      <c r="AB102" s="8">
        <f t="shared" si="28"/>
        <v>52780.07</v>
      </c>
      <c r="AC102" s="8">
        <f t="shared" si="29"/>
        <v>21304.74</v>
      </c>
      <c r="AD102" s="8">
        <f t="shared" si="30"/>
        <v>31475.329999999998</v>
      </c>
      <c r="AE102" s="15">
        <f t="shared" si="31"/>
        <v>0.59634877331538205</v>
      </c>
      <c r="AF102" s="34">
        <f>MIN(Y102,'Scenario Modeling'!$B$2)</f>
        <v>0</v>
      </c>
      <c r="AG102">
        <f>ROUND(AA102 * (1 + 'Scenario Modeling'!$B$4), 0)</f>
        <v>17</v>
      </c>
      <c r="AH102">
        <f>T102 * (1 + 'Scenario Modeling'!$B$3)</f>
        <v>1253.22</v>
      </c>
      <c r="AI102" s="8">
        <f t="shared" si="32"/>
        <v>52780.07</v>
      </c>
      <c r="AJ102" s="8">
        <f t="shared" si="33"/>
        <v>31475.329999999998</v>
      </c>
    </row>
    <row r="103" spans="1:36">
      <c r="A103" t="s">
        <v>116</v>
      </c>
      <c r="B103" s="4">
        <v>45304</v>
      </c>
      <c r="C103" s="28">
        <v>45304</v>
      </c>
      <c r="D103" s="28" t="str">
        <f t="shared" si="18"/>
        <v>Q1-2024</v>
      </c>
      <c r="E103" s="4">
        <v>45313</v>
      </c>
      <c r="F103" s="4">
        <v>45313</v>
      </c>
      <c r="G103" s="17">
        <f t="shared" si="19"/>
        <v>9</v>
      </c>
      <c r="H103" s="17">
        <f t="shared" si="20"/>
        <v>9</v>
      </c>
      <c r="I103" t="str">
        <f t="shared" si="21"/>
        <v>No</v>
      </c>
      <c r="J103" s="2">
        <f t="shared" si="22"/>
        <v>44955</v>
      </c>
      <c r="K103" t="s">
        <v>647</v>
      </c>
      <c r="L103" t="s">
        <v>654</v>
      </c>
      <c r="M103" t="s">
        <v>691</v>
      </c>
      <c r="N103" t="str">
        <f t="shared" si="23"/>
        <v>Asia - India - Mumbai</v>
      </c>
      <c r="O103" t="s">
        <v>706</v>
      </c>
      <c r="P103" t="s">
        <v>709</v>
      </c>
      <c r="Q103" t="s">
        <v>713</v>
      </c>
      <c r="R103" t="s">
        <v>727</v>
      </c>
      <c r="S103" t="s">
        <v>835</v>
      </c>
      <c r="T103" s="6">
        <v>313.60000000000002</v>
      </c>
      <c r="U103" s="8">
        <v>334.28</v>
      </c>
      <c r="V103" s="8">
        <f t="shared" si="24"/>
        <v>334.28</v>
      </c>
      <c r="W103" s="8" t="str">
        <f t="shared" si="25"/>
        <v>Low</v>
      </c>
      <c r="X103" s="15">
        <v>0.14000000000000001</v>
      </c>
      <c r="Y103" s="15">
        <f t="shared" si="26"/>
        <v>0.14000000000000001</v>
      </c>
      <c r="Z103" t="str">
        <f t="shared" si="27"/>
        <v>No</v>
      </c>
      <c r="AA103" s="17">
        <v>22</v>
      </c>
      <c r="AB103" s="8">
        <f t="shared" si="28"/>
        <v>6324.5775999999996</v>
      </c>
      <c r="AC103" s="8">
        <f t="shared" si="29"/>
        <v>6899.2000000000007</v>
      </c>
      <c r="AD103" s="8">
        <f t="shared" si="30"/>
        <v>-574.62240000000111</v>
      </c>
      <c r="AE103" s="15">
        <f t="shared" si="31"/>
        <v>-9.0855458868905517E-2</v>
      </c>
      <c r="AF103" s="34">
        <f>MIN(Y103,'Scenario Modeling'!$B$2)</f>
        <v>0.14000000000000001</v>
      </c>
      <c r="AG103">
        <f>ROUND(AA103 * (1 + 'Scenario Modeling'!$B$4), 0)</f>
        <v>22</v>
      </c>
      <c r="AH103">
        <f>T103 * (1 + 'Scenario Modeling'!$B$3)</f>
        <v>313.60000000000002</v>
      </c>
      <c r="AI103" s="8">
        <f t="shared" si="32"/>
        <v>6324.5775999999996</v>
      </c>
      <c r="AJ103" s="8">
        <f t="shared" si="33"/>
        <v>-574.62240000000111</v>
      </c>
    </row>
    <row r="104" spans="1:36">
      <c r="A104" t="s">
        <v>117</v>
      </c>
      <c r="B104" s="4">
        <v>45747</v>
      </c>
      <c r="C104" s="28">
        <v>45747</v>
      </c>
      <c r="D104" s="28" t="str">
        <f t="shared" si="18"/>
        <v>Q1-2025</v>
      </c>
      <c r="E104" s="4">
        <v>45751</v>
      </c>
      <c r="F104" s="4">
        <v>45751</v>
      </c>
      <c r="G104" s="17">
        <f t="shared" si="19"/>
        <v>4</v>
      </c>
      <c r="H104" s="17">
        <f t="shared" si="20"/>
        <v>4</v>
      </c>
      <c r="I104" t="str">
        <f t="shared" si="21"/>
        <v>Yes</v>
      </c>
      <c r="J104" s="2">
        <f t="shared" si="22"/>
        <v>44946</v>
      </c>
      <c r="K104" t="s">
        <v>646</v>
      </c>
      <c r="L104" t="s">
        <v>650</v>
      </c>
      <c r="M104" t="s">
        <v>678</v>
      </c>
      <c r="N104" t="str">
        <f t="shared" si="23"/>
        <v>Africa - Kenya - Nakuru</v>
      </c>
      <c r="O104" t="s">
        <v>701</v>
      </c>
      <c r="P104" t="s">
        <v>711</v>
      </c>
      <c r="Q104" t="s">
        <v>712</v>
      </c>
      <c r="R104" t="s">
        <v>731</v>
      </c>
      <c r="S104" t="s">
        <v>836</v>
      </c>
      <c r="T104" s="6">
        <v>862.08</v>
      </c>
      <c r="U104" s="8">
        <v>1952.83</v>
      </c>
      <c r="V104" s="8">
        <f t="shared" si="24"/>
        <v>1952.83</v>
      </c>
      <c r="W104" s="8" t="str">
        <f t="shared" si="25"/>
        <v>High</v>
      </c>
      <c r="X104" s="15">
        <v>0</v>
      </c>
      <c r="Y104" s="15">
        <f t="shared" si="26"/>
        <v>0</v>
      </c>
      <c r="Z104" t="str">
        <f t="shared" si="27"/>
        <v>No</v>
      </c>
      <c r="AA104" s="17">
        <v>7</v>
      </c>
      <c r="AB104" s="8">
        <f t="shared" si="28"/>
        <v>13669.81</v>
      </c>
      <c r="AC104" s="8">
        <f t="shared" si="29"/>
        <v>6034.56</v>
      </c>
      <c r="AD104" s="8">
        <f t="shared" si="30"/>
        <v>7635.2499999999991</v>
      </c>
      <c r="AE104" s="15">
        <f t="shared" si="31"/>
        <v>0.5585483631447693</v>
      </c>
      <c r="AF104" s="34">
        <f>MIN(Y104,'Scenario Modeling'!$B$2)</f>
        <v>0</v>
      </c>
      <c r="AG104">
        <f>ROUND(AA104 * (1 + 'Scenario Modeling'!$B$4), 0)</f>
        <v>7</v>
      </c>
      <c r="AH104">
        <f>T104 * (1 + 'Scenario Modeling'!$B$3)</f>
        <v>862.08</v>
      </c>
      <c r="AI104" s="8">
        <f t="shared" si="32"/>
        <v>13669.81</v>
      </c>
      <c r="AJ104" s="8">
        <f t="shared" si="33"/>
        <v>7635.2499999999991</v>
      </c>
    </row>
    <row r="105" spans="1:36">
      <c r="A105" t="s">
        <v>118</v>
      </c>
      <c r="B105" s="4">
        <v>45631</v>
      </c>
      <c r="C105" s="28">
        <v>45631</v>
      </c>
      <c r="D105" s="28" t="str">
        <f t="shared" si="18"/>
        <v>Q4-2024</v>
      </c>
      <c r="E105" s="4">
        <v>45654</v>
      </c>
      <c r="F105" s="4">
        <v>45654</v>
      </c>
      <c r="G105" s="17">
        <f t="shared" si="19"/>
        <v>23</v>
      </c>
      <c r="H105" s="17">
        <f t="shared" si="20"/>
        <v>23</v>
      </c>
      <c r="I105" t="str">
        <f t="shared" si="21"/>
        <v>No</v>
      </c>
      <c r="J105" s="2">
        <f t="shared" si="22"/>
        <v>44928</v>
      </c>
      <c r="K105" t="s">
        <v>648</v>
      </c>
      <c r="L105" t="s">
        <v>653</v>
      </c>
      <c r="M105" t="s">
        <v>688</v>
      </c>
      <c r="N105" t="str">
        <f t="shared" si="23"/>
        <v>Americas - Canada - Vancouver</v>
      </c>
      <c r="O105" t="s">
        <v>701</v>
      </c>
      <c r="P105" t="s">
        <v>711</v>
      </c>
      <c r="Q105" t="s">
        <v>721</v>
      </c>
      <c r="R105" t="s">
        <v>733</v>
      </c>
      <c r="S105" t="s">
        <v>837</v>
      </c>
      <c r="T105" s="6">
        <v>107.03</v>
      </c>
      <c r="U105" s="8">
        <v>242.29</v>
      </c>
      <c r="V105" s="8">
        <f t="shared" si="24"/>
        <v>242.29</v>
      </c>
      <c r="W105" s="8" t="str">
        <f t="shared" si="25"/>
        <v>Low</v>
      </c>
      <c r="X105" s="15">
        <v>0.18</v>
      </c>
      <c r="Y105" s="15">
        <f t="shared" si="26"/>
        <v>0.18</v>
      </c>
      <c r="Z105" t="str">
        <f t="shared" si="27"/>
        <v>No</v>
      </c>
      <c r="AA105" s="17">
        <v>30</v>
      </c>
      <c r="AB105" s="8">
        <f t="shared" si="28"/>
        <v>5960.3340000000007</v>
      </c>
      <c r="AC105" s="8">
        <f t="shared" si="29"/>
        <v>3210.9</v>
      </c>
      <c r="AD105" s="8">
        <f t="shared" si="30"/>
        <v>2749.4340000000007</v>
      </c>
      <c r="AE105" s="15">
        <f t="shared" si="31"/>
        <v>0.46128857879440988</v>
      </c>
      <c r="AF105" s="34">
        <f>MIN(Y105,'Scenario Modeling'!$B$2)</f>
        <v>0.18</v>
      </c>
      <c r="AG105">
        <f>ROUND(AA105 * (1 + 'Scenario Modeling'!$B$4), 0)</f>
        <v>30</v>
      </c>
      <c r="AH105">
        <f>T105 * (1 + 'Scenario Modeling'!$B$3)</f>
        <v>107.03</v>
      </c>
      <c r="AI105" s="8">
        <f t="shared" si="32"/>
        <v>5960.3340000000007</v>
      </c>
      <c r="AJ105" s="8">
        <f t="shared" si="33"/>
        <v>2749.4340000000007</v>
      </c>
    </row>
    <row r="106" spans="1:36">
      <c r="A106" t="s">
        <v>119</v>
      </c>
      <c r="B106" s="4">
        <v>45549</v>
      </c>
      <c r="C106" s="28">
        <v>45549</v>
      </c>
      <c r="D106" s="28" t="str">
        <f t="shared" si="18"/>
        <v>Q3-2024</v>
      </c>
      <c r="E106" s="4">
        <v>45570</v>
      </c>
      <c r="F106" s="4">
        <v>45570</v>
      </c>
      <c r="G106" s="17">
        <f t="shared" si="19"/>
        <v>21</v>
      </c>
      <c r="H106" s="17">
        <f t="shared" si="20"/>
        <v>21</v>
      </c>
      <c r="I106" t="str">
        <f t="shared" si="21"/>
        <v>No</v>
      </c>
      <c r="J106" s="2">
        <f t="shared" si="22"/>
        <v>44938</v>
      </c>
      <c r="K106" t="s">
        <v>647</v>
      </c>
      <c r="L106" t="s">
        <v>659</v>
      </c>
      <c r="M106" t="s">
        <v>685</v>
      </c>
      <c r="N106" t="str">
        <f t="shared" si="23"/>
        <v>Asia - China - Shanghai</v>
      </c>
      <c r="O106" t="s">
        <v>705</v>
      </c>
      <c r="P106" t="s">
        <v>708</v>
      </c>
      <c r="Q106" t="s">
        <v>722</v>
      </c>
      <c r="R106" t="s">
        <v>731</v>
      </c>
      <c r="S106" t="s">
        <v>838</v>
      </c>
      <c r="T106" s="6">
        <v>1405.56</v>
      </c>
      <c r="U106" s="8">
        <v>2968.87</v>
      </c>
      <c r="V106" s="8">
        <f t="shared" si="24"/>
        <v>2968.87</v>
      </c>
      <c r="W106" s="8" t="str">
        <f t="shared" si="25"/>
        <v>High</v>
      </c>
      <c r="X106" s="15">
        <v>0.16900000000000001</v>
      </c>
      <c r="Y106" s="15">
        <f t="shared" si="26"/>
        <v>0.16900000000000001</v>
      </c>
      <c r="Z106" t="str">
        <f t="shared" si="27"/>
        <v>No</v>
      </c>
      <c r="AA106" s="17">
        <v>5</v>
      </c>
      <c r="AB106" s="8">
        <f t="shared" si="28"/>
        <v>12335.654849999999</v>
      </c>
      <c r="AC106" s="8">
        <f t="shared" si="29"/>
        <v>7027.7999999999993</v>
      </c>
      <c r="AD106" s="8">
        <f t="shared" si="30"/>
        <v>5307.8548499999997</v>
      </c>
      <c r="AE106" s="15">
        <f t="shared" si="31"/>
        <v>0.4302856163327235</v>
      </c>
      <c r="AF106" s="34">
        <f>MIN(Y106,'Scenario Modeling'!$B$2)</f>
        <v>0.16900000000000001</v>
      </c>
      <c r="AG106">
        <f>ROUND(AA106 * (1 + 'Scenario Modeling'!$B$4), 0)</f>
        <v>5</v>
      </c>
      <c r="AH106">
        <f>T106 * (1 + 'Scenario Modeling'!$B$3)</f>
        <v>1405.56</v>
      </c>
      <c r="AI106" s="8">
        <f t="shared" si="32"/>
        <v>12335.654849999999</v>
      </c>
      <c r="AJ106" s="8">
        <f t="shared" si="33"/>
        <v>5307.8548499999997</v>
      </c>
    </row>
    <row r="107" spans="1:36">
      <c r="A107" t="s">
        <v>120</v>
      </c>
      <c r="B107" s="4">
        <v>45433</v>
      </c>
      <c r="C107" s="28">
        <v>45433</v>
      </c>
      <c r="D107" s="28" t="str">
        <f t="shared" si="18"/>
        <v>Q2-2024</v>
      </c>
      <c r="E107" s="4">
        <v>45439</v>
      </c>
      <c r="F107" s="4">
        <v>45439</v>
      </c>
      <c r="G107" s="17">
        <f t="shared" si="19"/>
        <v>6</v>
      </c>
      <c r="H107" s="17">
        <f t="shared" si="20"/>
        <v>6</v>
      </c>
      <c r="I107" t="str">
        <f t="shared" si="21"/>
        <v>Yes</v>
      </c>
      <c r="J107" s="2">
        <f t="shared" si="22"/>
        <v>44933</v>
      </c>
      <c r="K107" t="s">
        <v>646</v>
      </c>
      <c r="L107" t="s">
        <v>661</v>
      </c>
      <c r="M107" t="s">
        <v>682</v>
      </c>
      <c r="N107" t="str">
        <f t="shared" si="23"/>
        <v>Africa - South Africa - Johannesburg</v>
      </c>
      <c r="O107" t="s">
        <v>703</v>
      </c>
      <c r="P107" t="s">
        <v>708</v>
      </c>
      <c r="Q107" t="s">
        <v>724</v>
      </c>
      <c r="R107" t="s">
        <v>727</v>
      </c>
      <c r="S107" t="s">
        <v>839</v>
      </c>
      <c r="T107" s="6">
        <v>1157.51</v>
      </c>
      <c r="U107" s="8">
        <v>1394.3</v>
      </c>
      <c r="V107" s="8">
        <f t="shared" si="24"/>
        <v>1394.3</v>
      </c>
      <c r="W107" s="8" t="str">
        <f t="shared" si="25"/>
        <v>Medium</v>
      </c>
      <c r="X107" s="15">
        <v>0.27800000000000002</v>
      </c>
      <c r="Y107" s="15">
        <f t="shared" si="26"/>
        <v>0.27800000000000002</v>
      </c>
      <c r="Z107" t="str">
        <f t="shared" si="27"/>
        <v>Yes</v>
      </c>
      <c r="AA107" s="17">
        <v>12</v>
      </c>
      <c r="AB107" s="8">
        <f t="shared" si="28"/>
        <v>12080.215199999999</v>
      </c>
      <c r="AC107" s="8">
        <f t="shared" si="29"/>
        <v>13890.119999999999</v>
      </c>
      <c r="AD107" s="8">
        <f t="shared" si="30"/>
        <v>-1809.9048000000003</v>
      </c>
      <c r="AE107" s="15">
        <f t="shared" si="31"/>
        <v>-0.14982388724333326</v>
      </c>
      <c r="AF107" s="34">
        <f>MIN(Y107,'Scenario Modeling'!$B$2)</f>
        <v>0.25</v>
      </c>
      <c r="AG107">
        <f>ROUND(AA107 * (1 + 'Scenario Modeling'!$B$4), 0)</f>
        <v>12</v>
      </c>
      <c r="AH107">
        <f>T107 * (1 + 'Scenario Modeling'!$B$3)</f>
        <v>1157.51</v>
      </c>
      <c r="AI107" s="8">
        <f t="shared" si="32"/>
        <v>12548.699999999999</v>
      </c>
      <c r="AJ107" s="8">
        <f t="shared" si="33"/>
        <v>-1341.42</v>
      </c>
    </row>
    <row r="108" spans="1:36">
      <c r="A108" t="s">
        <v>121</v>
      </c>
      <c r="B108" s="4">
        <v>45057</v>
      </c>
      <c r="C108" s="28">
        <v>45057</v>
      </c>
      <c r="D108" s="28" t="str">
        <f t="shared" si="18"/>
        <v>Q2-2023</v>
      </c>
      <c r="E108" s="4">
        <v>45084</v>
      </c>
      <c r="F108" s="4">
        <v>45084</v>
      </c>
      <c r="G108" s="17">
        <f t="shared" si="19"/>
        <v>27</v>
      </c>
      <c r="H108" s="17">
        <f t="shared" si="20"/>
        <v>27</v>
      </c>
      <c r="I108" t="str">
        <f t="shared" si="21"/>
        <v>No</v>
      </c>
      <c r="J108" s="2">
        <f t="shared" si="22"/>
        <v>44946</v>
      </c>
      <c r="K108" t="s">
        <v>646</v>
      </c>
      <c r="L108" t="s">
        <v>650</v>
      </c>
      <c r="M108" t="s">
        <v>675</v>
      </c>
      <c r="N108" t="str">
        <f t="shared" si="23"/>
        <v>Africa - Kenya - Mombasa</v>
      </c>
      <c r="O108" t="s">
        <v>701</v>
      </c>
      <c r="P108" t="s">
        <v>708</v>
      </c>
      <c r="Q108" t="s">
        <v>713</v>
      </c>
      <c r="R108" t="s">
        <v>730</v>
      </c>
      <c r="S108" t="s">
        <v>840</v>
      </c>
      <c r="T108" s="6">
        <v>12.85</v>
      </c>
      <c r="U108" s="8">
        <v>15.41</v>
      </c>
      <c r="V108" s="8">
        <f t="shared" si="24"/>
        <v>15.41</v>
      </c>
      <c r="W108" s="8" t="str">
        <f t="shared" si="25"/>
        <v>Low</v>
      </c>
      <c r="X108" s="15">
        <v>0.13700000000000001</v>
      </c>
      <c r="Y108" s="15">
        <f t="shared" si="26"/>
        <v>0.13700000000000001</v>
      </c>
      <c r="Z108" t="str">
        <f t="shared" si="27"/>
        <v>No</v>
      </c>
      <c r="AA108" s="17">
        <v>39</v>
      </c>
      <c r="AB108" s="8">
        <f t="shared" si="28"/>
        <v>518.65436999999997</v>
      </c>
      <c r="AC108" s="8">
        <f t="shared" si="29"/>
        <v>501.15</v>
      </c>
      <c r="AD108" s="8">
        <f t="shared" si="30"/>
        <v>17.504369999999994</v>
      </c>
      <c r="AE108" s="15">
        <f t="shared" si="31"/>
        <v>3.3749585489851353E-2</v>
      </c>
      <c r="AF108" s="34">
        <f>MIN(Y108,'Scenario Modeling'!$B$2)</f>
        <v>0.13700000000000001</v>
      </c>
      <c r="AG108">
        <f>ROUND(AA108 * (1 + 'Scenario Modeling'!$B$4), 0)</f>
        <v>39</v>
      </c>
      <c r="AH108">
        <f>T108 * (1 + 'Scenario Modeling'!$B$3)</f>
        <v>12.85</v>
      </c>
      <c r="AI108" s="8">
        <f t="shared" si="32"/>
        <v>518.65436999999997</v>
      </c>
      <c r="AJ108" s="8">
        <f t="shared" si="33"/>
        <v>17.504369999999994</v>
      </c>
    </row>
    <row r="109" spans="1:36">
      <c r="A109" t="s">
        <v>122</v>
      </c>
      <c r="B109" s="4">
        <v>45518</v>
      </c>
      <c r="C109" s="28">
        <v>45518</v>
      </c>
      <c r="D109" s="28" t="str">
        <f t="shared" si="18"/>
        <v>Q3-2024</v>
      </c>
      <c r="E109" s="4">
        <v>45539</v>
      </c>
      <c r="F109" s="4">
        <v>45539</v>
      </c>
      <c r="G109" s="17">
        <f t="shared" si="19"/>
        <v>21</v>
      </c>
      <c r="H109" s="17">
        <f t="shared" si="20"/>
        <v>21</v>
      </c>
      <c r="I109" t="str">
        <f t="shared" si="21"/>
        <v>No</v>
      </c>
      <c r="J109" s="2">
        <f t="shared" si="22"/>
        <v>44945</v>
      </c>
      <c r="K109" t="s">
        <v>649</v>
      </c>
      <c r="L109" t="s">
        <v>658</v>
      </c>
      <c r="M109" t="s">
        <v>693</v>
      </c>
      <c r="N109" t="str">
        <f t="shared" si="23"/>
        <v>Europe - United Kingdom - Manchester</v>
      </c>
      <c r="O109" t="s">
        <v>703</v>
      </c>
      <c r="P109" t="s">
        <v>708</v>
      </c>
      <c r="Q109" t="s">
        <v>713</v>
      </c>
      <c r="R109" t="s">
        <v>730</v>
      </c>
      <c r="S109" t="s">
        <v>841</v>
      </c>
      <c r="T109" s="6">
        <v>1138.8</v>
      </c>
      <c r="U109" s="8">
        <v>2250.81</v>
      </c>
      <c r="V109" s="8">
        <f t="shared" si="24"/>
        <v>2250.81</v>
      </c>
      <c r="W109" s="8" t="str">
        <f t="shared" si="25"/>
        <v>High</v>
      </c>
      <c r="X109" s="15">
        <v>0.123</v>
      </c>
      <c r="Y109" s="15">
        <f t="shared" si="26"/>
        <v>0.123</v>
      </c>
      <c r="Z109" t="str">
        <f t="shared" si="27"/>
        <v>No</v>
      </c>
      <c r="AA109" s="17">
        <v>12</v>
      </c>
      <c r="AB109" s="8">
        <f t="shared" si="28"/>
        <v>23687.524440000001</v>
      </c>
      <c r="AC109" s="8">
        <f t="shared" si="29"/>
        <v>13665.599999999999</v>
      </c>
      <c r="AD109" s="8">
        <f t="shared" si="30"/>
        <v>10021.924440000003</v>
      </c>
      <c r="AE109" s="15">
        <f t="shared" si="31"/>
        <v>0.42308872188756258</v>
      </c>
      <c r="AF109" s="34">
        <f>MIN(Y109,'Scenario Modeling'!$B$2)</f>
        <v>0.123</v>
      </c>
      <c r="AG109">
        <f>ROUND(AA109 * (1 + 'Scenario Modeling'!$B$4), 0)</f>
        <v>12</v>
      </c>
      <c r="AH109">
        <f>T109 * (1 + 'Scenario Modeling'!$B$3)</f>
        <v>1138.8</v>
      </c>
      <c r="AI109" s="8">
        <f t="shared" si="32"/>
        <v>23687.524440000001</v>
      </c>
      <c r="AJ109" s="8">
        <f t="shared" si="33"/>
        <v>10021.924440000003</v>
      </c>
    </row>
    <row r="110" spans="1:36">
      <c r="A110" t="s">
        <v>123</v>
      </c>
      <c r="B110" s="4">
        <v>45581</v>
      </c>
      <c r="C110" s="28">
        <v>45581</v>
      </c>
      <c r="D110" s="28" t="str">
        <f t="shared" si="18"/>
        <v>Q4-2024</v>
      </c>
      <c r="E110" s="4">
        <v>45604</v>
      </c>
      <c r="F110" s="4">
        <v>45604</v>
      </c>
      <c r="G110" s="17">
        <f t="shared" si="19"/>
        <v>23</v>
      </c>
      <c r="H110" s="17">
        <f t="shared" si="20"/>
        <v>23</v>
      </c>
      <c r="I110" t="str">
        <f t="shared" si="21"/>
        <v>No</v>
      </c>
      <c r="J110" s="2">
        <f t="shared" si="22"/>
        <v>44988</v>
      </c>
      <c r="K110" t="s">
        <v>647</v>
      </c>
      <c r="L110" t="s">
        <v>652</v>
      </c>
      <c r="M110" t="s">
        <v>666</v>
      </c>
      <c r="N110" t="str">
        <f t="shared" si="23"/>
        <v>Asia - Japan - Osaka</v>
      </c>
      <c r="O110" t="s">
        <v>705</v>
      </c>
      <c r="P110" t="s">
        <v>707</v>
      </c>
      <c r="Q110" t="s">
        <v>713</v>
      </c>
      <c r="R110" t="s">
        <v>729</v>
      </c>
      <c r="S110" t="s">
        <v>842</v>
      </c>
      <c r="T110" s="6">
        <v>82.14</v>
      </c>
      <c r="U110" s="8">
        <v>166.04</v>
      </c>
      <c r="V110" s="8">
        <f t="shared" si="24"/>
        <v>166.04</v>
      </c>
      <c r="W110" s="8" t="str">
        <f t="shared" si="25"/>
        <v>Low</v>
      </c>
      <c r="X110" s="15">
        <v>0</v>
      </c>
      <c r="Y110" s="15">
        <f t="shared" si="26"/>
        <v>0</v>
      </c>
      <c r="Z110" t="str">
        <f t="shared" si="27"/>
        <v>No</v>
      </c>
      <c r="AA110" s="17">
        <v>10</v>
      </c>
      <c r="AB110" s="8">
        <f t="shared" si="28"/>
        <v>1660.3999999999999</v>
      </c>
      <c r="AC110" s="8">
        <f t="shared" si="29"/>
        <v>821.4</v>
      </c>
      <c r="AD110" s="8">
        <f t="shared" si="30"/>
        <v>838.99999999999989</v>
      </c>
      <c r="AE110" s="15">
        <f t="shared" si="31"/>
        <v>0.50529992772825827</v>
      </c>
      <c r="AF110" s="34">
        <f>MIN(Y110,'Scenario Modeling'!$B$2)</f>
        <v>0</v>
      </c>
      <c r="AG110">
        <f>ROUND(AA110 * (1 + 'Scenario Modeling'!$B$4), 0)</f>
        <v>10</v>
      </c>
      <c r="AH110">
        <f>T110 * (1 + 'Scenario Modeling'!$B$3)</f>
        <v>82.14</v>
      </c>
      <c r="AI110" s="8">
        <f t="shared" si="32"/>
        <v>1660.3999999999999</v>
      </c>
      <c r="AJ110" s="8">
        <f t="shared" si="33"/>
        <v>838.99999999999989</v>
      </c>
    </row>
    <row r="111" spans="1:36">
      <c r="A111" t="s">
        <v>124</v>
      </c>
      <c r="B111" s="4">
        <v>45445</v>
      </c>
      <c r="C111" s="28">
        <v>45445</v>
      </c>
      <c r="D111" s="28" t="str">
        <f t="shared" si="18"/>
        <v>Q2-2024</v>
      </c>
      <c r="E111" s="4">
        <v>45451</v>
      </c>
      <c r="F111" s="4">
        <v>45451</v>
      </c>
      <c r="G111" s="17">
        <f t="shared" si="19"/>
        <v>6</v>
      </c>
      <c r="H111" s="17">
        <f t="shared" si="20"/>
        <v>6</v>
      </c>
      <c r="I111" t="str">
        <f t="shared" si="21"/>
        <v>Yes</v>
      </c>
      <c r="J111" s="2">
        <f t="shared" si="22"/>
        <v>44946</v>
      </c>
      <c r="K111" t="s">
        <v>646</v>
      </c>
      <c r="L111" t="s">
        <v>650</v>
      </c>
      <c r="M111" t="s">
        <v>662</v>
      </c>
      <c r="N111" t="str">
        <f t="shared" si="23"/>
        <v>Africa - Kenya - Kisumu</v>
      </c>
      <c r="O111" t="s">
        <v>704</v>
      </c>
      <c r="P111" t="s">
        <v>709</v>
      </c>
      <c r="Q111" t="s">
        <v>720</v>
      </c>
      <c r="R111" t="s">
        <v>733</v>
      </c>
      <c r="S111" t="s">
        <v>843</v>
      </c>
      <c r="T111" s="6">
        <v>292.94</v>
      </c>
      <c r="U111" s="8">
        <v>356.55</v>
      </c>
      <c r="V111" s="8">
        <f t="shared" si="24"/>
        <v>356.55</v>
      </c>
      <c r="W111" s="8" t="str">
        <f t="shared" si="25"/>
        <v>Low</v>
      </c>
      <c r="X111" s="15">
        <v>0.22900000000000001</v>
      </c>
      <c r="Y111" s="15">
        <f t="shared" si="26"/>
        <v>0.22900000000000001</v>
      </c>
      <c r="Z111" t="str">
        <f t="shared" si="27"/>
        <v>Yes</v>
      </c>
      <c r="AA111" s="17">
        <v>2</v>
      </c>
      <c r="AB111" s="8">
        <f t="shared" si="28"/>
        <v>549.80010000000004</v>
      </c>
      <c r="AC111" s="8">
        <f t="shared" si="29"/>
        <v>585.88</v>
      </c>
      <c r="AD111" s="8">
        <f t="shared" si="30"/>
        <v>-36.079899999999952</v>
      </c>
      <c r="AE111" s="15">
        <f t="shared" si="31"/>
        <v>-6.5623669402751925E-2</v>
      </c>
      <c r="AF111" s="34">
        <f>MIN(Y111,'Scenario Modeling'!$B$2)</f>
        <v>0.22900000000000001</v>
      </c>
      <c r="AG111">
        <f>ROUND(AA111 * (1 + 'Scenario Modeling'!$B$4), 0)</f>
        <v>2</v>
      </c>
      <c r="AH111">
        <f>T111 * (1 + 'Scenario Modeling'!$B$3)</f>
        <v>292.94</v>
      </c>
      <c r="AI111" s="8">
        <f t="shared" si="32"/>
        <v>549.80010000000004</v>
      </c>
      <c r="AJ111" s="8">
        <f t="shared" si="33"/>
        <v>-36.079899999999952</v>
      </c>
    </row>
    <row r="112" spans="1:36">
      <c r="A112" t="s">
        <v>125</v>
      </c>
      <c r="B112" s="4">
        <v>45452</v>
      </c>
      <c r="C112" s="28">
        <v>45452</v>
      </c>
      <c r="D112" s="28" t="str">
        <f t="shared" si="18"/>
        <v>Q2-2024</v>
      </c>
      <c r="E112" s="4">
        <v>45480</v>
      </c>
      <c r="F112" s="4">
        <v>45480</v>
      </c>
      <c r="G112" s="17">
        <f t="shared" si="19"/>
        <v>28</v>
      </c>
      <c r="H112" s="17">
        <f t="shared" si="20"/>
        <v>28</v>
      </c>
      <c r="I112" t="str">
        <f t="shared" si="21"/>
        <v>No</v>
      </c>
      <c r="J112" s="2">
        <f t="shared" si="22"/>
        <v>44938</v>
      </c>
      <c r="K112" t="s">
        <v>647</v>
      </c>
      <c r="L112" t="s">
        <v>659</v>
      </c>
      <c r="M112" t="s">
        <v>676</v>
      </c>
      <c r="N112" t="str">
        <f t="shared" si="23"/>
        <v>Asia - China - Shenzhen</v>
      </c>
      <c r="O112" t="s">
        <v>701</v>
      </c>
      <c r="P112" t="s">
        <v>708</v>
      </c>
      <c r="Q112" t="s">
        <v>713</v>
      </c>
      <c r="R112" t="s">
        <v>727</v>
      </c>
      <c r="S112" t="s">
        <v>844</v>
      </c>
      <c r="T112" s="6">
        <v>550.22</v>
      </c>
      <c r="U112" s="8">
        <v>1025.05</v>
      </c>
      <c r="V112" s="8">
        <f t="shared" si="24"/>
        <v>1025.05</v>
      </c>
      <c r="W112" s="8" t="str">
        <f t="shared" si="25"/>
        <v>Medium</v>
      </c>
      <c r="X112" s="15">
        <v>0</v>
      </c>
      <c r="Y112" s="15">
        <f t="shared" si="26"/>
        <v>0</v>
      </c>
      <c r="Z112" t="str">
        <f t="shared" si="27"/>
        <v>No</v>
      </c>
      <c r="AA112" s="17">
        <v>27</v>
      </c>
      <c r="AB112" s="8">
        <f t="shared" si="28"/>
        <v>27676.35</v>
      </c>
      <c r="AC112" s="8">
        <f t="shared" si="29"/>
        <v>14855.94</v>
      </c>
      <c r="AD112" s="8">
        <f t="shared" si="30"/>
        <v>12820.409999999998</v>
      </c>
      <c r="AE112" s="15">
        <f t="shared" si="31"/>
        <v>0.46322618408858102</v>
      </c>
      <c r="AF112" s="34">
        <f>MIN(Y112,'Scenario Modeling'!$B$2)</f>
        <v>0</v>
      </c>
      <c r="AG112">
        <f>ROUND(AA112 * (1 + 'Scenario Modeling'!$B$4), 0)</f>
        <v>27</v>
      </c>
      <c r="AH112">
        <f>T112 * (1 + 'Scenario Modeling'!$B$3)</f>
        <v>550.22</v>
      </c>
      <c r="AI112" s="8">
        <f t="shared" si="32"/>
        <v>27676.35</v>
      </c>
      <c r="AJ112" s="8">
        <f t="shared" si="33"/>
        <v>12820.409999999998</v>
      </c>
    </row>
    <row r="113" spans="1:36">
      <c r="A113" t="s">
        <v>126</v>
      </c>
      <c r="B113" s="4">
        <v>45453</v>
      </c>
      <c r="C113" s="28">
        <v>45453</v>
      </c>
      <c r="D113" s="28" t="str">
        <f t="shared" si="18"/>
        <v>Q2-2024</v>
      </c>
      <c r="E113" s="4">
        <v>45454</v>
      </c>
      <c r="F113" s="4">
        <v>45454</v>
      </c>
      <c r="G113" s="17">
        <f t="shared" si="19"/>
        <v>1</v>
      </c>
      <c r="H113" s="17">
        <f t="shared" si="20"/>
        <v>1</v>
      </c>
      <c r="I113" t="str">
        <f t="shared" si="21"/>
        <v>Yes</v>
      </c>
      <c r="J113" s="2">
        <f t="shared" si="22"/>
        <v>44945</v>
      </c>
      <c r="K113" t="s">
        <v>649</v>
      </c>
      <c r="L113" t="s">
        <v>658</v>
      </c>
      <c r="M113" t="s">
        <v>674</v>
      </c>
      <c r="N113" t="str">
        <f t="shared" si="23"/>
        <v>Europe - United Kingdom - Birmingham</v>
      </c>
      <c r="O113" t="s">
        <v>705</v>
      </c>
      <c r="P113" t="s">
        <v>709</v>
      </c>
      <c r="Q113" t="s">
        <v>724</v>
      </c>
      <c r="R113" t="s">
        <v>731</v>
      </c>
      <c r="S113" t="s">
        <v>845</v>
      </c>
      <c r="T113" s="6">
        <v>1187.1300000000001</v>
      </c>
      <c r="U113" s="8">
        <v>1795.17</v>
      </c>
      <c r="V113" s="8">
        <f t="shared" si="24"/>
        <v>1795.17</v>
      </c>
      <c r="W113" s="8" t="str">
        <f t="shared" si="25"/>
        <v>High</v>
      </c>
      <c r="X113" s="15">
        <v>1.2E-2</v>
      </c>
      <c r="Y113" s="15">
        <f t="shared" si="26"/>
        <v>1.2E-2</v>
      </c>
      <c r="Z113" t="str">
        <f t="shared" si="27"/>
        <v>No</v>
      </c>
      <c r="AA113" s="17">
        <v>17</v>
      </c>
      <c r="AB113" s="8">
        <f t="shared" si="28"/>
        <v>30151.675319999998</v>
      </c>
      <c r="AC113" s="8">
        <f t="shared" si="29"/>
        <v>20181.210000000003</v>
      </c>
      <c r="AD113" s="8">
        <f t="shared" si="30"/>
        <v>9970.4653199999957</v>
      </c>
      <c r="AE113" s="15">
        <f t="shared" si="31"/>
        <v>0.33067699271046663</v>
      </c>
      <c r="AF113" s="34">
        <f>MIN(Y113,'Scenario Modeling'!$B$2)</f>
        <v>1.2E-2</v>
      </c>
      <c r="AG113">
        <f>ROUND(AA113 * (1 + 'Scenario Modeling'!$B$4), 0)</f>
        <v>17</v>
      </c>
      <c r="AH113">
        <f>T113 * (1 + 'Scenario Modeling'!$B$3)</f>
        <v>1187.1300000000001</v>
      </c>
      <c r="AI113" s="8">
        <f t="shared" si="32"/>
        <v>30151.675319999998</v>
      </c>
      <c r="AJ113" s="8">
        <f t="shared" si="33"/>
        <v>9970.4653199999957</v>
      </c>
    </row>
    <row r="114" spans="1:36">
      <c r="A114" t="s">
        <v>127</v>
      </c>
      <c r="B114" s="4">
        <v>45472</v>
      </c>
      <c r="C114" s="28">
        <v>45472</v>
      </c>
      <c r="D114" s="28" t="str">
        <f t="shared" si="18"/>
        <v>Q2-2024</v>
      </c>
      <c r="E114" s="4">
        <v>45499</v>
      </c>
      <c r="F114" s="4">
        <v>45499</v>
      </c>
      <c r="G114" s="17">
        <f t="shared" si="19"/>
        <v>27</v>
      </c>
      <c r="H114" s="17">
        <f t="shared" si="20"/>
        <v>27</v>
      </c>
      <c r="I114" t="str">
        <f t="shared" si="21"/>
        <v>No</v>
      </c>
      <c r="J114" s="2">
        <f t="shared" si="22"/>
        <v>44933</v>
      </c>
      <c r="K114" t="s">
        <v>646</v>
      </c>
      <c r="L114" t="s">
        <v>661</v>
      </c>
      <c r="M114" t="s">
        <v>687</v>
      </c>
      <c r="N114" t="str">
        <f t="shared" si="23"/>
        <v>Africa - South Africa - Durban</v>
      </c>
      <c r="O114" t="s">
        <v>706</v>
      </c>
      <c r="P114" t="s">
        <v>710</v>
      </c>
      <c r="Q114" t="s">
        <v>717</v>
      </c>
      <c r="R114" t="s">
        <v>729</v>
      </c>
      <c r="S114" t="s">
        <v>846</v>
      </c>
      <c r="T114" s="6">
        <v>5.36</v>
      </c>
      <c r="U114" s="8">
        <v>4.37</v>
      </c>
      <c r="V114" s="8">
        <f t="shared" si="24"/>
        <v>4.37</v>
      </c>
      <c r="W114" s="8" t="str">
        <f t="shared" si="25"/>
        <v>Low</v>
      </c>
      <c r="X114" s="15">
        <v>0.11799999999999999</v>
      </c>
      <c r="Y114" s="15">
        <f t="shared" si="26"/>
        <v>0.11799999999999999</v>
      </c>
      <c r="Z114" t="str">
        <f t="shared" si="27"/>
        <v>No</v>
      </c>
      <c r="AA114" s="17">
        <v>9</v>
      </c>
      <c r="AB114" s="8">
        <f t="shared" si="28"/>
        <v>34.689059999999998</v>
      </c>
      <c r="AC114" s="8">
        <f t="shared" si="29"/>
        <v>48.24</v>
      </c>
      <c r="AD114" s="8">
        <f t="shared" si="30"/>
        <v>-13.550940000000004</v>
      </c>
      <c r="AE114" s="15">
        <f t="shared" si="31"/>
        <v>-0.39064016148030545</v>
      </c>
      <c r="AF114" s="34">
        <f>MIN(Y114,'Scenario Modeling'!$B$2)</f>
        <v>0.11799999999999999</v>
      </c>
      <c r="AG114">
        <f>ROUND(AA114 * (1 + 'Scenario Modeling'!$B$4), 0)</f>
        <v>9</v>
      </c>
      <c r="AH114">
        <f>T114 * (1 + 'Scenario Modeling'!$B$3)</f>
        <v>5.36</v>
      </c>
      <c r="AI114" s="8">
        <f t="shared" si="32"/>
        <v>34.689059999999998</v>
      </c>
      <c r="AJ114" s="8">
        <f t="shared" si="33"/>
        <v>-13.550940000000004</v>
      </c>
    </row>
    <row r="115" spans="1:36">
      <c r="A115" t="s">
        <v>128</v>
      </c>
      <c r="B115" s="4">
        <v>45674</v>
      </c>
      <c r="C115" s="28">
        <v>45674</v>
      </c>
      <c r="D115" s="28" t="str">
        <f t="shared" si="18"/>
        <v>Q1-2025</v>
      </c>
      <c r="E115" s="4">
        <v>45681</v>
      </c>
      <c r="F115" s="4">
        <v>45681</v>
      </c>
      <c r="G115" s="17">
        <f t="shared" si="19"/>
        <v>7</v>
      </c>
      <c r="H115" s="17">
        <f t="shared" si="20"/>
        <v>7</v>
      </c>
      <c r="I115" t="str">
        <f t="shared" si="21"/>
        <v>Yes</v>
      </c>
      <c r="J115" s="2">
        <f t="shared" si="22"/>
        <v>44939</v>
      </c>
      <c r="K115" t="s">
        <v>648</v>
      </c>
      <c r="L115" t="s">
        <v>660</v>
      </c>
      <c r="M115" t="s">
        <v>697</v>
      </c>
      <c r="N115" t="str">
        <f t="shared" si="23"/>
        <v>Americas - USA - Austin</v>
      </c>
      <c r="O115" t="s">
        <v>706</v>
      </c>
      <c r="P115" t="s">
        <v>708</v>
      </c>
      <c r="Q115" t="s">
        <v>715</v>
      </c>
      <c r="R115" t="s">
        <v>733</v>
      </c>
      <c r="S115" t="s">
        <v>847</v>
      </c>
      <c r="T115" s="6">
        <v>142.09</v>
      </c>
      <c r="U115" s="8">
        <v>218.5</v>
      </c>
      <c r="V115" s="8">
        <f t="shared" si="24"/>
        <v>218.5</v>
      </c>
      <c r="W115" s="8" t="str">
        <f t="shared" si="25"/>
        <v>Low</v>
      </c>
      <c r="X115" s="15">
        <v>0.11899999999999999</v>
      </c>
      <c r="Y115" s="15">
        <f t="shared" si="26"/>
        <v>0.11899999999999999</v>
      </c>
      <c r="Z115" t="str">
        <f t="shared" si="27"/>
        <v>No</v>
      </c>
      <c r="AA115" s="17">
        <v>11</v>
      </c>
      <c r="AB115" s="8">
        <f t="shared" si="28"/>
        <v>2117.4834999999998</v>
      </c>
      <c r="AC115" s="8">
        <f t="shared" si="29"/>
        <v>1562.99</v>
      </c>
      <c r="AD115" s="8">
        <f t="shared" si="30"/>
        <v>554.49349999999981</v>
      </c>
      <c r="AE115" s="15">
        <f t="shared" si="31"/>
        <v>0.26186437816398561</v>
      </c>
      <c r="AF115" s="34">
        <f>MIN(Y115,'Scenario Modeling'!$B$2)</f>
        <v>0.11899999999999999</v>
      </c>
      <c r="AG115">
        <f>ROUND(AA115 * (1 + 'Scenario Modeling'!$B$4), 0)</f>
        <v>11</v>
      </c>
      <c r="AH115">
        <f>T115 * (1 + 'Scenario Modeling'!$B$3)</f>
        <v>142.09</v>
      </c>
      <c r="AI115" s="8">
        <f t="shared" si="32"/>
        <v>2117.4834999999998</v>
      </c>
      <c r="AJ115" s="8">
        <f t="shared" si="33"/>
        <v>554.49349999999981</v>
      </c>
    </row>
    <row r="116" spans="1:36">
      <c r="A116" t="s">
        <v>129</v>
      </c>
      <c r="B116" s="4">
        <v>45250</v>
      </c>
      <c r="C116" s="28">
        <v>45250</v>
      </c>
      <c r="D116" s="28" t="str">
        <f t="shared" si="18"/>
        <v>Q4-2023</v>
      </c>
      <c r="E116" s="4">
        <v>45265</v>
      </c>
      <c r="F116" s="4">
        <v>45265</v>
      </c>
      <c r="G116" s="17">
        <f t="shared" si="19"/>
        <v>15</v>
      </c>
      <c r="H116" s="17">
        <f t="shared" si="20"/>
        <v>15</v>
      </c>
      <c r="I116" t="str">
        <f t="shared" si="21"/>
        <v>No</v>
      </c>
      <c r="J116" s="2">
        <f t="shared" si="22"/>
        <v>44988</v>
      </c>
      <c r="K116" t="s">
        <v>647</v>
      </c>
      <c r="L116" t="s">
        <v>652</v>
      </c>
      <c r="M116" t="s">
        <v>689</v>
      </c>
      <c r="N116" t="str">
        <f t="shared" si="23"/>
        <v>Asia - Japan - Tokyo</v>
      </c>
      <c r="O116" t="s">
        <v>706</v>
      </c>
      <c r="P116" t="s">
        <v>707</v>
      </c>
      <c r="Q116" t="s">
        <v>716</v>
      </c>
      <c r="R116" t="s">
        <v>729</v>
      </c>
      <c r="S116" t="s">
        <v>848</v>
      </c>
      <c r="T116" s="6">
        <v>354.24</v>
      </c>
      <c r="U116" s="8">
        <v>249.87</v>
      </c>
      <c r="V116" s="8">
        <f t="shared" si="24"/>
        <v>249.87</v>
      </c>
      <c r="W116" s="8" t="str">
        <f t="shared" si="25"/>
        <v>Low</v>
      </c>
      <c r="X116" s="15">
        <v>0</v>
      </c>
      <c r="Y116" s="15">
        <f t="shared" si="26"/>
        <v>0</v>
      </c>
      <c r="Z116" t="str">
        <f t="shared" si="27"/>
        <v>No</v>
      </c>
      <c r="AA116" s="17">
        <v>6</v>
      </c>
      <c r="AB116" s="8">
        <f t="shared" si="28"/>
        <v>1499.22</v>
      </c>
      <c r="AC116" s="8">
        <f t="shared" si="29"/>
        <v>2125.44</v>
      </c>
      <c r="AD116" s="8">
        <f t="shared" si="30"/>
        <v>-626.22</v>
      </c>
      <c r="AE116" s="15">
        <f t="shared" si="31"/>
        <v>-0.41769720254532355</v>
      </c>
      <c r="AF116" s="34">
        <f>MIN(Y116,'Scenario Modeling'!$B$2)</f>
        <v>0</v>
      </c>
      <c r="AG116">
        <f>ROUND(AA116 * (1 + 'Scenario Modeling'!$B$4), 0)</f>
        <v>6</v>
      </c>
      <c r="AH116">
        <f>T116 * (1 + 'Scenario Modeling'!$B$3)</f>
        <v>354.24</v>
      </c>
      <c r="AI116" s="8">
        <f t="shared" si="32"/>
        <v>1499.22</v>
      </c>
      <c r="AJ116" s="8">
        <f t="shared" si="33"/>
        <v>-626.22</v>
      </c>
    </row>
    <row r="117" spans="1:36">
      <c r="A117" t="s">
        <v>130</v>
      </c>
      <c r="B117" s="4">
        <v>44987</v>
      </c>
      <c r="C117" s="28">
        <v>44987</v>
      </c>
      <c r="D117" s="28" t="str">
        <f t="shared" si="18"/>
        <v>Q1-2023</v>
      </c>
      <c r="E117" s="4">
        <v>44990</v>
      </c>
      <c r="F117" s="4">
        <v>44990</v>
      </c>
      <c r="G117" s="17">
        <f t="shared" si="19"/>
        <v>3</v>
      </c>
      <c r="H117" s="17">
        <f t="shared" si="20"/>
        <v>3</v>
      </c>
      <c r="I117" t="str">
        <f t="shared" si="21"/>
        <v>Yes</v>
      </c>
      <c r="J117" s="2">
        <f t="shared" si="22"/>
        <v>44955</v>
      </c>
      <c r="K117" t="s">
        <v>648</v>
      </c>
      <c r="L117" t="s">
        <v>655</v>
      </c>
      <c r="M117" t="s">
        <v>672</v>
      </c>
      <c r="N117" t="str">
        <f t="shared" si="23"/>
        <v>Americas - Brazil - Brasília</v>
      </c>
      <c r="O117" t="s">
        <v>706</v>
      </c>
      <c r="P117" t="s">
        <v>711</v>
      </c>
      <c r="Q117" t="s">
        <v>715</v>
      </c>
      <c r="R117" t="s">
        <v>732</v>
      </c>
      <c r="S117" t="s">
        <v>849</v>
      </c>
      <c r="T117" s="6">
        <v>1473.58</v>
      </c>
      <c r="U117" s="8">
        <v>3436.52</v>
      </c>
      <c r="V117" s="8">
        <f t="shared" si="24"/>
        <v>3436.52</v>
      </c>
      <c r="W117" s="8" t="str">
        <f t="shared" si="25"/>
        <v>High</v>
      </c>
      <c r="X117" s="15">
        <v>0.108</v>
      </c>
      <c r="Y117" s="15">
        <f t="shared" si="26"/>
        <v>0.108</v>
      </c>
      <c r="Z117" t="str">
        <f t="shared" si="27"/>
        <v>No</v>
      </c>
      <c r="AA117" s="17">
        <v>8</v>
      </c>
      <c r="AB117" s="8">
        <f t="shared" si="28"/>
        <v>24523.006720000001</v>
      </c>
      <c r="AC117" s="8">
        <f t="shared" si="29"/>
        <v>11788.64</v>
      </c>
      <c r="AD117" s="8">
        <f t="shared" si="30"/>
        <v>12734.366720000002</v>
      </c>
      <c r="AE117" s="15">
        <f t="shared" si="31"/>
        <v>0.51928243813652564</v>
      </c>
      <c r="AF117" s="34">
        <f>MIN(Y117,'Scenario Modeling'!$B$2)</f>
        <v>0.108</v>
      </c>
      <c r="AG117">
        <f>ROUND(AA117 * (1 + 'Scenario Modeling'!$B$4), 0)</f>
        <v>8</v>
      </c>
      <c r="AH117">
        <f>T117 * (1 + 'Scenario Modeling'!$B$3)</f>
        <v>1473.58</v>
      </c>
      <c r="AI117" s="8">
        <f t="shared" si="32"/>
        <v>24523.006720000001</v>
      </c>
      <c r="AJ117" s="8">
        <f t="shared" si="33"/>
        <v>12734.366720000002</v>
      </c>
    </row>
    <row r="118" spans="1:36">
      <c r="A118" t="s">
        <v>131</v>
      </c>
      <c r="B118" s="4">
        <v>45811</v>
      </c>
      <c r="C118" s="28">
        <v>45811</v>
      </c>
      <c r="D118" s="28" t="str">
        <f t="shared" si="18"/>
        <v>Q2-2025</v>
      </c>
      <c r="E118" s="4">
        <v>45818</v>
      </c>
      <c r="F118" s="4">
        <v>45818</v>
      </c>
      <c r="G118" s="17">
        <f t="shared" si="19"/>
        <v>7</v>
      </c>
      <c r="H118" s="17">
        <f t="shared" si="20"/>
        <v>7</v>
      </c>
      <c r="I118" t="str">
        <f t="shared" si="21"/>
        <v>Yes</v>
      </c>
      <c r="J118" s="2">
        <f t="shared" si="22"/>
        <v>44928</v>
      </c>
      <c r="K118" t="s">
        <v>648</v>
      </c>
      <c r="L118" t="s">
        <v>653</v>
      </c>
      <c r="M118" t="s">
        <v>667</v>
      </c>
      <c r="N118" t="str">
        <f t="shared" si="23"/>
        <v>Americas - Canada - Toronto</v>
      </c>
      <c r="O118" t="s">
        <v>704</v>
      </c>
      <c r="P118" t="s">
        <v>710</v>
      </c>
      <c r="Q118" t="s">
        <v>719</v>
      </c>
      <c r="R118" t="s">
        <v>728</v>
      </c>
      <c r="S118" t="s">
        <v>850</v>
      </c>
      <c r="T118" s="6">
        <v>75.180000000000007</v>
      </c>
      <c r="U118" s="8">
        <v>53.45</v>
      </c>
      <c r="V118" s="8">
        <f t="shared" si="24"/>
        <v>53.45</v>
      </c>
      <c r="W118" s="8" t="str">
        <f t="shared" si="25"/>
        <v>Low</v>
      </c>
      <c r="X118" s="15">
        <v>0.157</v>
      </c>
      <c r="Y118" s="15">
        <f t="shared" si="26"/>
        <v>0.157</v>
      </c>
      <c r="Z118" t="str">
        <f t="shared" si="27"/>
        <v>No</v>
      </c>
      <c r="AA118" s="17">
        <v>17</v>
      </c>
      <c r="AB118" s="8">
        <f t="shared" si="28"/>
        <v>765.99195000000009</v>
      </c>
      <c r="AC118" s="8">
        <f t="shared" si="29"/>
        <v>1278.0600000000002</v>
      </c>
      <c r="AD118" s="8">
        <f t="shared" si="30"/>
        <v>-512.06805000000008</v>
      </c>
      <c r="AE118" s="15">
        <f t="shared" si="31"/>
        <v>-0.66850317421743144</v>
      </c>
      <c r="AF118" s="34">
        <f>MIN(Y118,'Scenario Modeling'!$B$2)</f>
        <v>0.157</v>
      </c>
      <c r="AG118">
        <f>ROUND(AA118 * (1 + 'Scenario Modeling'!$B$4), 0)</f>
        <v>17</v>
      </c>
      <c r="AH118">
        <f>T118 * (1 + 'Scenario Modeling'!$B$3)</f>
        <v>75.180000000000007</v>
      </c>
      <c r="AI118" s="8">
        <f t="shared" si="32"/>
        <v>765.99195000000009</v>
      </c>
      <c r="AJ118" s="8">
        <f t="shared" si="33"/>
        <v>-512.06805000000008</v>
      </c>
    </row>
    <row r="119" spans="1:36">
      <c r="A119" t="s">
        <v>132</v>
      </c>
      <c r="B119" s="4">
        <v>45653</v>
      </c>
      <c r="C119" s="28">
        <v>45653</v>
      </c>
      <c r="D119" s="28" t="str">
        <f t="shared" si="18"/>
        <v>Q4-2024</v>
      </c>
      <c r="E119" s="4">
        <v>45659</v>
      </c>
      <c r="F119" s="4">
        <v>45659</v>
      </c>
      <c r="G119" s="17">
        <f t="shared" si="19"/>
        <v>6</v>
      </c>
      <c r="H119" s="17">
        <f t="shared" si="20"/>
        <v>6</v>
      </c>
      <c r="I119" t="str">
        <f t="shared" si="21"/>
        <v>Yes</v>
      </c>
      <c r="J119" s="2">
        <f t="shared" si="22"/>
        <v>44948</v>
      </c>
      <c r="K119" t="s">
        <v>649</v>
      </c>
      <c r="L119" t="s">
        <v>656</v>
      </c>
      <c r="M119" t="s">
        <v>698</v>
      </c>
      <c r="N119" t="str">
        <f t="shared" si="23"/>
        <v>Europe - Germany - Frankfurt</v>
      </c>
      <c r="O119" t="s">
        <v>702</v>
      </c>
      <c r="P119" t="s">
        <v>711</v>
      </c>
      <c r="Q119" t="s">
        <v>721</v>
      </c>
      <c r="R119" t="s">
        <v>731</v>
      </c>
      <c r="S119" t="s">
        <v>851</v>
      </c>
      <c r="T119" s="6">
        <v>1391.99</v>
      </c>
      <c r="U119" s="8">
        <v>3469.7</v>
      </c>
      <c r="V119" s="8">
        <f t="shared" si="24"/>
        <v>3469.7</v>
      </c>
      <c r="W119" s="8" t="str">
        <f t="shared" si="25"/>
        <v>High</v>
      </c>
      <c r="X119" s="15">
        <v>0.184</v>
      </c>
      <c r="Y119" s="15">
        <f t="shared" si="26"/>
        <v>0.184</v>
      </c>
      <c r="Z119" t="str">
        <f t="shared" si="27"/>
        <v>No</v>
      </c>
      <c r="AA119" s="17">
        <v>23</v>
      </c>
      <c r="AB119" s="8">
        <f t="shared" si="28"/>
        <v>65119.329599999997</v>
      </c>
      <c r="AC119" s="8">
        <f t="shared" si="29"/>
        <v>32015.77</v>
      </c>
      <c r="AD119" s="8">
        <f t="shared" si="30"/>
        <v>33103.559599999993</v>
      </c>
      <c r="AE119" s="15">
        <f t="shared" si="31"/>
        <v>0.50835227886006973</v>
      </c>
      <c r="AF119" s="34">
        <f>MIN(Y119,'Scenario Modeling'!$B$2)</f>
        <v>0.184</v>
      </c>
      <c r="AG119">
        <f>ROUND(AA119 * (1 + 'Scenario Modeling'!$B$4), 0)</f>
        <v>23</v>
      </c>
      <c r="AH119">
        <f>T119 * (1 + 'Scenario Modeling'!$B$3)</f>
        <v>1391.99</v>
      </c>
      <c r="AI119" s="8">
        <f t="shared" si="32"/>
        <v>65119.329599999997</v>
      </c>
      <c r="AJ119" s="8">
        <f t="shared" si="33"/>
        <v>33103.559599999993</v>
      </c>
    </row>
    <row r="120" spans="1:36">
      <c r="A120" t="s">
        <v>133</v>
      </c>
      <c r="B120" s="4">
        <v>45086</v>
      </c>
      <c r="C120" s="28">
        <v>45086</v>
      </c>
      <c r="D120" s="28" t="str">
        <f t="shared" si="18"/>
        <v>Q2-2023</v>
      </c>
      <c r="E120" s="4">
        <v>45096</v>
      </c>
      <c r="F120" s="4">
        <v>45096</v>
      </c>
      <c r="G120" s="17">
        <f t="shared" si="19"/>
        <v>10</v>
      </c>
      <c r="H120" s="17">
        <f t="shared" si="20"/>
        <v>10</v>
      </c>
      <c r="I120" t="str">
        <f t="shared" si="21"/>
        <v>No</v>
      </c>
      <c r="J120" s="2">
        <f t="shared" si="22"/>
        <v>44938</v>
      </c>
      <c r="K120" t="s">
        <v>647</v>
      </c>
      <c r="L120" t="s">
        <v>659</v>
      </c>
      <c r="M120" t="s">
        <v>699</v>
      </c>
      <c r="N120" t="str">
        <f t="shared" si="23"/>
        <v>Asia - China - Beijing</v>
      </c>
      <c r="O120" t="s">
        <v>706</v>
      </c>
      <c r="P120" t="s">
        <v>707</v>
      </c>
      <c r="Q120" t="s">
        <v>721</v>
      </c>
      <c r="R120" t="s">
        <v>732</v>
      </c>
      <c r="S120" t="s">
        <v>852</v>
      </c>
      <c r="T120" s="6">
        <v>339.61</v>
      </c>
      <c r="U120" s="8">
        <v>621.02</v>
      </c>
      <c r="V120" s="8">
        <f t="shared" si="24"/>
        <v>621.02</v>
      </c>
      <c r="W120" s="8" t="str">
        <f t="shared" si="25"/>
        <v>Low</v>
      </c>
      <c r="X120" s="15">
        <v>7.0999999999999994E-2</v>
      </c>
      <c r="Y120" s="15">
        <f t="shared" si="26"/>
        <v>7.0999999999999994E-2</v>
      </c>
      <c r="Z120" t="str">
        <f t="shared" si="27"/>
        <v>No</v>
      </c>
      <c r="AA120" s="17">
        <v>10</v>
      </c>
      <c r="AB120" s="8">
        <f t="shared" si="28"/>
        <v>5769.2758000000003</v>
      </c>
      <c r="AC120" s="8">
        <f t="shared" si="29"/>
        <v>3396.1000000000004</v>
      </c>
      <c r="AD120" s="8">
        <f t="shared" si="30"/>
        <v>2373.1758</v>
      </c>
      <c r="AE120" s="15">
        <f t="shared" si="31"/>
        <v>0.41134726129750981</v>
      </c>
      <c r="AF120" s="34">
        <f>MIN(Y120,'Scenario Modeling'!$B$2)</f>
        <v>7.0999999999999994E-2</v>
      </c>
      <c r="AG120">
        <f>ROUND(AA120 * (1 + 'Scenario Modeling'!$B$4), 0)</f>
        <v>10</v>
      </c>
      <c r="AH120">
        <f>T120 * (1 + 'Scenario Modeling'!$B$3)</f>
        <v>339.61</v>
      </c>
      <c r="AI120" s="8">
        <f t="shared" si="32"/>
        <v>5769.2758000000003</v>
      </c>
      <c r="AJ120" s="8">
        <f t="shared" si="33"/>
        <v>2373.1758</v>
      </c>
    </row>
    <row r="121" spans="1:36">
      <c r="A121" t="s">
        <v>134</v>
      </c>
      <c r="B121" s="4">
        <v>45847</v>
      </c>
      <c r="C121" s="28">
        <v>45847</v>
      </c>
      <c r="D121" s="28" t="str">
        <f t="shared" si="18"/>
        <v>Q3-2025</v>
      </c>
      <c r="E121" s="4">
        <v>45856</v>
      </c>
      <c r="F121" s="4">
        <v>45856</v>
      </c>
      <c r="G121" s="17">
        <f t="shared" si="19"/>
        <v>9</v>
      </c>
      <c r="H121" s="17">
        <f t="shared" si="20"/>
        <v>9</v>
      </c>
      <c r="I121" t="str">
        <f t="shared" si="21"/>
        <v>No</v>
      </c>
      <c r="J121" s="2">
        <f t="shared" si="22"/>
        <v>44928</v>
      </c>
      <c r="K121" t="s">
        <v>648</v>
      </c>
      <c r="L121" t="s">
        <v>653</v>
      </c>
      <c r="M121" t="s">
        <v>688</v>
      </c>
      <c r="N121" t="str">
        <f t="shared" si="23"/>
        <v>Americas - Canada - Vancouver</v>
      </c>
      <c r="O121" t="s">
        <v>702</v>
      </c>
      <c r="P121" t="s">
        <v>710</v>
      </c>
      <c r="Q121" t="s">
        <v>714</v>
      </c>
      <c r="R121" t="s">
        <v>731</v>
      </c>
      <c r="S121" t="s">
        <v>853</v>
      </c>
      <c r="T121" s="6">
        <v>57.96</v>
      </c>
      <c r="U121" s="8">
        <v>88.51</v>
      </c>
      <c r="V121" s="8">
        <f t="shared" si="24"/>
        <v>88.51</v>
      </c>
      <c r="W121" s="8" t="str">
        <f t="shared" si="25"/>
        <v>Low</v>
      </c>
      <c r="X121" s="15">
        <v>4.2999999999999997E-2</v>
      </c>
      <c r="Y121" s="15">
        <f t="shared" si="26"/>
        <v>4.2999999999999997E-2</v>
      </c>
      <c r="Z121" t="str">
        <f t="shared" si="27"/>
        <v>No</v>
      </c>
      <c r="AA121" s="17">
        <v>7</v>
      </c>
      <c r="AB121" s="8">
        <f t="shared" si="28"/>
        <v>592.92849000000001</v>
      </c>
      <c r="AC121" s="8">
        <f t="shared" si="29"/>
        <v>405.72</v>
      </c>
      <c r="AD121" s="8">
        <f t="shared" si="30"/>
        <v>187.20848999999998</v>
      </c>
      <c r="AE121" s="15">
        <f t="shared" si="31"/>
        <v>0.3157353595877978</v>
      </c>
      <c r="AF121" s="34">
        <f>MIN(Y121,'Scenario Modeling'!$B$2)</f>
        <v>4.2999999999999997E-2</v>
      </c>
      <c r="AG121">
        <f>ROUND(AA121 * (1 + 'Scenario Modeling'!$B$4), 0)</f>
        <v>7</v>
      </c>
      <c r="AH121">
        <f>T121 * (1 + 'Scenario Modeling'!$B$3)</f>
        <v>57.96</v>
      </c>
      <c r="AI121" s="8">
        <f t="shared" si="32"/>
        <v>592.92849000000001</v>
      </c>
      <c r="AJ121" s="8">
        <f t="shared" si="33"/>
        <v>187.20848999999998</v>
      </c>
    </row>
    <row r="122" spans="1:36">
      <c r="A122" t="s">
        <v>135</v>
      </c>
      <c r="B122" s="4">
        <v>45827</v>
      </c>
      <c r="C122" s="28">
        <v>45827</v>
      </c>
      <c r="D122" s="28" t="str">
        <f t="shared" si="18"/>
        <v>Q2-2025</v>
      </c>
      <c r="E122" s="4">
        <v>45850</v>
      </c>
      <c r="F122" s="4">
        <v>45850</v>
      </c>
      <c r="G122" s="17">
        <f t="shared" si="19"/>
        <v>23</v>
      </c>
      <c r="H122" s="17">
        <f t="shared" si="20"/>
        <v>23</v>
      </c>
      <c r="I122" t="str">
        <f t="shared" si="21"/>
        <v>No</v>
      </c>
      <c r="J122" s="2">
        <f t="shared" si="22"/>
        <v>44945</v>
      </c>
      <c r="K122" t="s">
        <v>649</v>
      </c>
      <c r="L122" t="s">
        <v>658</v>
      </c>
      <c r="M122" t="s">
        <v>683</v>
      </c>
      <c r="N122" t="str">
        <f t="shared" si="23"/>
        <v>Europe - United Kingdom - London</v>
      </c>
      <c r="O122" t="s">
        <v>703</v>
      </c>
      <c r="P122" t="s">
        <v>711</v>
      </c>
      <c r="Q122" t="s">
        <v>726</v>
      </c>
      <c r="R122" t="s">
        <v>729</v>
      </c>
      <c r="S122" t="s">
        <v>854</v>
      </c>
      <c r="T122" s="6">
        <v>801.24</v>
      </c>
      <c r="U122" s="8">
        <v>1959.09</v>
      </c>
      <c r="V122" s="8">
        <f t="shared" si="24"/>
        <v>1959.09</v>
      </c>
      <c r="W122" s="8" t="str">
        <f t="shared" si="25"/>
        <v>High</v>
      </c>
      <c r="X122" s="15">
        <v>0.123</v>
      </c>
      <c r="Y122" s="15">
        <f t="shared" si="26"/>
        <v>0.123</v>
      </c>
      <c r="Z122" t="str">
        <f t="shared" si="27"/>
        <v>No</v>
      </c>
      <c r="AA122" s="17">
        <v>23</v>
      </c>
      <c r="AB122" s="8">
        <f t="shared" si="28"/>
        <v>39516.804389999998</v>
      </c>
      <c r="AC122" s="8">
        <f t="shared" si="29"/>
        <v>18428.52</v>
      </c>
      <c r="AD122" s="8">
        <f t="shared" si="30"/>
        <v>21088.284389999997</v>
      </c>
      <c r="AE122" s="15">
        <f t="shared" si="31"/>
        <v>0.53365358650651762</v>
      </c>
      <c r="AF122" s="34">
        <f>MIN(Y122,'Scenario Modeling'!$B$2)</f>
        <v>0.123</v>
      </c>
      <c r="AG122">
        <f>ROUND(AA122 * (1 + 'Scenario Modeling'!$B$4), 0)</f>
        <v>23</v>
      </c>
      <c r="AH122">
        <f>T122 * (1 + 'Scenario Modeling'!$B$3)</f>
        <v>801.24</v>
      </c>
      <c r="AI122" s="8">
        <f t="shared" si="32"/>
        <v>39516.804389999998</v>
      </c>
      <c r="AJ122" s="8">
        <f t="shared" si="33"/>
        <v>21088.284389999997</v>
      </c>
    </row>
    <row r="123" spans="1:36">
      <c r="A123" t="s">
        <v>136</v>
      </c>
      <c r="B123" s="4">
        <v>45249</v>
      </c>
      <c r="C123" s="28">
        <v>45249</v>
      </c>
      <c r="D123" s="28" t="str">
        <f t="shared" si="18"/>
        <v>Q4-2023</v>
      </c>
      <c r="E123" s="4">
        <v>45273</v>
      </c>
      <c r="F123" s="4">
        <v>45273</v>
      </c>
      <c r="G123" s="17">
        <f t="shared" si="19"/>
        <v>24</v>
      </c>
      <c r="H123" s="17">
        <f t="shared" si="20"/>
        <v>24</v>
      </c>
      <c r="I123" t="str">
        <f t="shared" si="21"/>
        <v>No</v>
      </c>
      <c r="J123" s="2">
        <f t="shared" si="22"/>
        <v>44936</v>
      </c>
      <c r="K123" t="s">
        <v>649</v>
      </c>
      <c r="L123" t="s">
        <v>657</v>
      </c>
      <c r="M123" t="s">
        <v>679</v>
      </c>
      <c r="N123" t="str">
        <f t="shared" si="23"/>
        <v>Europe - France - Lyon</v>
      </c>
      <c r="O123" t="s">
        <v>703</v>
      </c>
      <c r="P123" t="s">
        <v>711</v>
      </c>
      <c r="Q123" t="s">
        <v>722</v>
      </c>
      <c r="R123" t="s">
        <v>732</v>
      </c>
      <c r="S123" t="s">
        <v>855</v>
      </c>
      <c r="T123" s="6">
        <v>1297.42</v>
      </c>
      <c r="U123" s="8">
        <v>2742.97</v>
      </c>
      <c r="V123" s="8">
        <f t="shared" si="24"/>
        <v>2742.97</v>
      </c>
      <c r="W123" s="8" t="str">
        <f t="shared" si="25"/>
        <v>High</v>
      </c>
      <c r="X123" s="15">
        <v>6.9000000000000006E-2</v>
      </c>
      <c r="Y123" s="15">
        <f t="shared" si="26"/>
        <v>6.9000000000000006E-2</v>
      </c>
      <c r="Z123" t="str">
        <f t="shared" si="27"/>
        <v>No</v>
      </c>
      <c r="AA123" s="17">
        <v>9</v>
      </c>
      <c r="AB123" s="8">
        <f t="shared" si="28"/>
        <v>22983.34563</v>
      </c>
      <c r="AC123" s="8">
        <f t="shared" si="29"/>
        <v>11676.78</v>
      </c>
      <c r="AD123" s="8">
        <f t="shared" si="30"/>
        <v>11306.565629999999</v>
      </c>
      <c r="AE123" s="15">
        <f t="shared" si="31"/>
        <v>0.49194602961727291</v>
      </c>
      <c r="AF123" s="34">
        <f>MIN(Y123,'Scenario Modeling'!$B$2)</f>
        <v>6.9000000000000006E-2</v>
      </c>
      <c r="AG123">
        <f>ROUND(AA123 * (1 + 'Scenario Modeling'!$B$4), 0)</f>
        <v>9</v>
      </c>
      <c r="AH123">
        <f>T123 * (1 + 'Scenario Modeling'!$B$3)</f>
        <v>1297.42</v>
      </c>
      <c r="AI123" s="8">
        <f t="shared" si="32"/>
        <v>22983.34563</v>
      </c>
      <c r="AJ123" s="8">
        <f t="shared" si="33"/>
        <v>11306.565629999999</v>
      </c>
    </row>
    <row r="124" spans="1:36">
      <c r="A124" t="s">
        <v>137</v>
      </c>
      <c r="B124" s="4">
        <v>45289</v>
      </c>
      <c r="C124" s="28">
        <v>45289</v>
      </c>
      <c r="D124" s="28" t="str">
        <f t="shared" si="18"/>
        <v>Q4-2023</v>
      </c>
      <c r="E124" s="4">
        <v>45311</v>
      </c>
      <c r="F124" s="4">
        <v>45311</v>
      </c>
      <c r="G124" s="17">
        <f t="shared" si="19"/>
        <v>22</v>
      </c>
      <c r="H124" s="17">
        <f t="shared" si="20"/>
        <v>22</v>
      </c>
      <c r="I124" t="str">
        <f t="shared" si="21"/>
        <v>No</v>
      </c>
      <c r="J124" s="2">
        <f t="shared" si="22"/>
        <v>44946</v>
      </c>
      <c r="K124" t="s">
        <v>646</v>
      </c>
      <c r="L124" t="s">
        <v>650</v>
      </c>
      <c r="M124" t="s">
        <v>662</v>
      </c>
      <c r="N124" t="str">
        <f t="shared" si="23"/>
        <v>Africa - Kenya - Kisumu</v>
      </c>
      <c r="O124" t="s">
        <v>701</v>
      </c>
      <c r="P124" t="s">
        <v>711</v>
      </c>
      <c r="Q124" t="s">
        <v>716</v>
      </c>
      <c r="R124" t="s">
        <v>730</v>
      </c>
      <c r="S124" t="s">
        <v>856</v>
      </c>
      <c r="T124" s="6">
        <v>1395.49</v>
      </c>
      <c r="U124" s="8">
        <v>1679.42</v>
      </c>
      <c r="V124" s="8">
        <f t="shared" si="24"/>
        <v>1679.42</v>
      </c>
      <c r="W124" s="8" t="str">
        <f t="shared" si="25"/>
        <v>High</v>
      </c>
      <c r="X124" s="15">
        <v>0.20300000000000001</v>
      </c>
      <c r="Y124" s="15">
        <f t="shared" si="26"/>
        <v>0.20300000000000001</v>
      </c>
      <c r="Z124" t="str">
        <f t="shared" si="27"/>
        <v>Yes</v>
      </c>
      <c r="AA124" s="17">
        <v>12</v>
      </c>
      <c r="AB124" s="8">
        <f t="shared" si="28"/>
        <v>16061.972879999999</v>
      </c>
      <c r="AC124" s="8">
        <f t="shared" si="29"/>
        <v>16745.88</v>
      </c>
      <c r="AD124" s="8">
        <f t="shared" si="30"/>
        <v>-683.90712000000167</v>
      </c>
      <c r="AE124" s="15">
        <f t="shared" si="31"/>
        <v>-4.2579272490964493E-2</v>
      </c>
      <c r="AF124" s="34">
        <f>MIN(Y124,'Scenario Modeling'!$B$2)</f>
        <v>0.20300000000000001</v>
      </c>
      <c r="AG124">
        <f>ROUND(AA124 * (1 + 'Scenario Modeling'!$B$4), 0)</f>
        <v>12</v>
      </c>
      <c r="AH124">
        <f>T124 * (1 + 'Scenario Modeling'!$B$3)</f>
        <v>1395.49</v>
      </c>
      <c r="AI124" s="8">
        <f t="shared" si="32"/>
        <v>16061.972879999999</v>
      </c>
      <c r="AJ124" s="8">
        <f t="shared" si="33"/>
        <v>-683.90712000000167</v>
      </c>
    </row>
    <row r="125" spans="1:36">
      <c r="A125" t="s">
        <v>138</v>
      </c>
      <c r="B125" s="4">
        <v>45598</v>
      </c>
      <c r="C125" s="28">
        <v>45598</v>
      </c>
      <c r="D125" s="28" t="str">
        <f t="shared" si="18"/>
        <v>Q4-2024</v>
      </c>
      <c r="E125" s="4">
        <v>45625</v>
      </c>
      <c r="F125" s="4">
        <v>45625</v>
      </c>
      <c r="G125" s="17">
        <f t="shared" si="19"/>
        <v>27</v>
      </c>
      <c r="H125" s="17">
        <f t="shared" si="20"/>
        <v>27</v>
      </c>
      <c r="I125" t="str">
        <f t="shared" si="21"/>
        <v>No</v>
      </c>
      <c r="J125" s="2">
        <f t="shared" si="22"/>
        <v>44955</v>
      </c>
      <c r="K125" t="s">
        <v>648</v>
      </c>
      <c r="L125" t="s">
        <v>655</v>
      </c>
      <c r="M125" t="s">
        <v>672</v>
      </c>
      <c r="N125" t="str">
        <f t="shared" si="23"/>
        <v>Americas - Brazil - Brasília</v>
      </c>
      <c r="O125" t="s">
        <v>705</v>
      </c>
      <c r="P125" t="s">
        <v>711</v>
      </c>
      <c r="Q125" t="s">
        <v>714</v>
      </c>
      <c r="R125" t="s">
        <v>729</v>
      </c>
      <c r="S125" t="s">
        <v>857</v>
      </c>
      <c r="T125" s="6">
        <v>1363.51</v>
      </c>
      <c r="U125" s="8">
        <v>1433.9</v>
      </c>
      <c r="V125" s="8">
        <f t="shared" si="24"/>
        <v>1433.9</v>
      </c>
      <c r="W125" s="8" t="str">
        <f t="shared" si="25"/>
        <v>Medium</v>
      </c>
      <c r="X125" s="15">
        <v>5.7000000000000002E-2</v>
      </c>
      <c r="Y125" s="15">
        <f t="shared" si="26"/>
        <v>5.7000000000000002E-2</v>
      </c>
      <c r="Z125" t="str">
        <f t="shared" si="27"/>
        <v>No</v>
      </c>
      <c r="AA125" s="17">
        <v>8</v>
      </c>
      <c r="AB125" s="8">
        <f t="shared" si="28"/>
        <v>10817.3416</v>
      </c>
      <c r="AC125" s="8">
        <f t="shared" si="29"/>
        <v>10908.08</v>
      </c>
      <c r="AD125" s="8">
        <f t="shared" si="30"/>
        <v>-90.738400000000183</v>
      </c>
      <c r="AE125" s="15">
        <f t="shared" si="31"/>
        <v>-8.3882346842037592E-3</v>
      </c>
      <c r="AF125" s="34">
        <f>MIN(Y125,'Scenario Modeling'!$B$2)</f>
        <v>5.7000000000000002E-2</v>
      </c>
      <c r="AG125">
        <f>ROUND(AA125 * (1 + 'Scenario Modeling'!$B$4), 0)</f>
        <v>8</v>
      </c>
      <c r="AH125">
        <f>T125 * (1 + 'Scenario Modeling'!$B$3)</f>
        <v>1363.51</v>
      </c>
      <c r="AI125" s="8">
        <f t="shared" si="32"/>
        <v>10817.3416</v>
      </c>
      <c r="AJ125" s="8">
        <f t="shared" si="33"/>
        <v>-90.738400000000183</v>
      </c>
    </row>
    <row r="126" spans="1:36">
      <c r="A126" t="s">
        <v>139</v>
      </c>
      <c r="B126" s="4">
        <v>45159</v>
      </c>
      <c r="C126" s="28">
        <v>45159</v>
      </c>
      <c r="D126" s="28" t="str">
        <f t="shared" si="18"/>
        <v>Q3-2023</v>
      </c>
      <c r="E126" s="4">
        <v>45173</v>
      </c>
      <c r="F126" s="4">
        <v>45173</v>
      </c>
      <c r="G126" s="17">
        <f t="shared" si="19"/>
        <v>14</v>
      </c>
      <c r="H126" s="17">
        <f t="shared" si="20"/>
        <v>14</v>
      </c>
      <c r="I126" t="str">
        <f t="shared" si="21"/>
        <v>No</v>
      </c>
      <c r="J126" s="2">
        <f t="shared" si="22"/>
        <v>44928</v>
      </c>
      <c r="K126" t="s">
        <v>648</v>
      </c>
      <c r="L126" t="s">
        <v>653</v>
      </c>
      <c r="M126" t="s">
        <v>681</v>
      </c>
      <c r="N126" t="str">
        <f t="shared" si="23"/>
        <v>Americas - Canada - Montreal</v>
      </c>
      <c r="O126" t="s">
        <v>702</v>
      </c>
      <c r="P126" t="s">
        <v>710</v>
      </c>
      <c r="Q126" t="s">
        <v>721</v>
      </c>
      <c r="R126" t="s">
        <v>727</v>
      </c>
      <c r="S126" t="s">
        <v>858</v>
      </c>
      <c r="T126" s="6">
        <v>178.19</v>
      </c>
      <c r="U126" s="8">
        <v>284.43</v>
      </c>
      <c r="V126" s="8">
        <f t="shared" si="24"/>
        <v>284.43</v>
      </c>
      <c r="W126" s="8" t="str">
        <f t="shared" si="25"/>
        <v>Low</v>
      </c>
      <c r="X126" s="15">
        <v>8.8999999999999996E-2</v>
      </c>
      <c r="Y126" s="15">
        <f t="shared" si="26"/>
        <v>8.8999999999999996E-2</v>
      </c>
      <c r="Z126" t="str">
        <f t="shared" si="27"/>
        <v>No</v>
      </c>
      <c r="AA126" s="17">
        <v>8</v>
      </c>
      <c r="AB126" s="8">
        <f t="shared" si="28"/>
        <v>2072.9258400000003</v>
      </c>
      <c r="AC126" s="8">
        <f t="shared" si="29"/>
        <v>1425.52</v>
      </c>
      <c r="AD126" s="8">
        <f t="shared" si="30"/>
        <v>647.40584000000035</v>
      </c>
      <c r="AE126" s="15">
        <f t="shared" si="31"/>
        <v>0.31231500302972742</v>
      </c>
      <c r="AF126" s="34">
        <f>MIN(Y126,'Scenario Modeling'!$B$2)</f>
        <v>8.8999999999999996E-2</v>
      </c>
      <c r="AG126">
        <f>ROUND(AA126 * (1 + 'Scenario Modeling'!$B$4), 0)</f>
        <v>8</v>
      </c>
      <c r="AH126">
        <f>T126 * (1 + 'Scenario Modeling'!$B$3)</f>
        <v>178.19</v>
      </c>
      <c r="AI126" s="8">
        <f t="shared" si="32"/>
        <v>2072.9258400000003</v>
      </c>
      <c r="AJ126" s="8">
        <f t="shared" si="33"/>
        <v>647.40584000000035</v>
      </c>
    </row>
    <row r="127" spans="1:36">
      <c r="A127" t="s">
        <v>140</v>
      </c>
      <c r="B127" s="4">
        <v>45150</v>
      </c>
      <c r="C127" s="28">
        <v>45150</v>
      </c>
      <c r="D127" s="28" t="str">
        <f t="shared" si="18"/>
        <v>Q3-2023</v>
      </c>
      <c r="E127" s="4">
        <v>45175</v>
      </c>
      <c r="F127" s="4">
        <v>45175</v>
      </c>
      <c r="G127" s="17">
        <f t="shared" si="19"/>
        <v>25</v>
      </c>
      <c r="H127" s="17">
        <f t="shared" si="20"/>
        <v>25</v>
      </c>
      <c r="I127" t="str">
        <f t="shared" si="21"/>
        <v>No</v>
      </c>
      <c r="J127" s="2">
        <f t="shared" si="22"/>
        <v>44938</v>
      </c>
      <c r="K127" t="s">
        <v>647</v>
      </c>
      <c r="L127" t="s">
        <v>659</v>
      </c>
      <c r="M127" t="s">
        <v>685</v>
      </c>
      <c r="N127" t="str">
        <f t="shared" si="23"/>
        <v>Asia - China - Shanghai</v>
      </c>
      <c r="O127" t="s">
        <v>705</v>
      </c>
      <c r="P127" t="s">
        <v>707</v>
      </c>
      <c r="Q127" t="s">
        <v>717</v>
      </c>
      <c r="R127" t="s">
        <v>727</v>
      </c>
      <c r="S127" t="s">
        <v>859</v>
      </c>
      <c r="T127" s="6">
        <v>950.77</v>
      </c>
      <c r="U127" s="8">
        <v>694.78</v>
      </c>
      <c r="V127" s="8">
        <f t="shared" si="24"/>
        <v>694.78</v>
      </c>
      <c r="W127" s="8" t="str">
        <f t="shared" si="25"/>
        <v>Low</v>
      </c>
      <c r="X127" s="15">
        <v>8.4000000000000005E-2</v>
      </c>
      <c r="Y127" s="15">
        <f t="shared" si="26"/>
        <v>8.4000000000000005E-2</v>
      </c>
      <c r="Z127" t="str">
        <f t="shared" si="27"/>
        <v>No</v>
      </c>
      <c r="AA127" s="17">
        <v>14</v>
      </c>
      <c r="AB127" s="8">
        <f t="shared" si="28"/>
        <v>8909.8587200000002</v>
      </c>
      <c r="AC127" s="8">
        <f t="shared" si="29"/>
        <v>13310.779999999999</v>
      </c>
      <c r="AD127" s="8">
        <f t="shared" si="30"/>
        <v>-4400.9212799999987</v>
      </c>
      <c r="AE127" s="15">
        <f t="shared" si="31"/>
        <v>-0.49393839097821279</v>
      </c>
      <c r="AF127" s="34">
        <f>MIN(Y127,'Scenario Modeling'!$B$2)</f>
        <v>8.4000000000000005E-2</v>
      </c>
      <c r="AG127">
        <f>ROUND(AA127 * (1 + 'Scenario Modeling'!$B$4), 0)</f>
        <v>14</v>
      </c>
      <c r="AH127">
        <f>T127 * (1 + 'Scenario Modeling'!$B$3)</f>
        <v>950.77</v>
      </c>
      <c r="AI127" s="8">
        <f t="shared" si="32"/>
        <v>8909.8587200000002</v>
      </c>
      <c r="AJ127" s="8">
        <f t="shared" si="33"/>
        <v>-4400.9212799999987</v>
      </c>
    </row>
    <row r="128" spans="1:36">
      <c r="A128" t="s">
        <v>141</v>
      </c>
      <c r="B128" s="4">
        <v>45450</v>
      </c>
      <c r="C128" s="28">
        <v>45450</v>
      </c>
      <c r="D128" s="28" t="str">
        <f t="shared" si="18"/>
        <v>Q2-2024</v>
      </c>
      <c r="E128" s="4">
        <v>45469</v>
      </c>
      <c r="F128" s="4">
        <v>45469</v>
      </c>
      <c r="G128" s="17">
        <f t="shared" si="19"/>
        <v>19</v>
      </c>
      <c r="H128" s="17">
        <f t="shared" si="20"/>
        <v>19</v>
      </c>
      <c r="I128" t="str">
        <f t="shared" si="21"/>
        <v>No</v>
      </c>
      <c r="J128" s="2">
        <f t="shared" si="22"/>
        <v>44948</v>
      </c>
      <c r="K128" t="s">
        <v>649</v>
      </c>
      <c r="L128" t="s">
        <v>656</v>
      </c>
      <c r="M128" t="s">
        <v>671</v>
      </c>
      <c r="N128" t="str">
        <f t="shared" si="23"/>
        <v>Europe - Germany - Berlin</v>
      </c>
      <c r="O128" t="s">
        <v>703</v>
      </c>
      <c r="P128" t="s">
        <v>709</v>
      </c>
      <c r="Q128" t="s">
        <v>724</v>
      </c>
      <c r="R128" t="s">
        <v>727</v>
      </c>
      <c r="S128" t="s">
        <v>860</v>
      </c>
      <c r="T128" s="6">
        <v>1064.32</v>
      </c>
      <c r="U128" s="8">
        <v>1848.39</v>
      </c>
      <c r="V128" s="8">
        <f t="shared" si="24"/>
        <v>1848.39</v>
      </c>
      <c r="W128" s="8" t="str">
        <f t="shared" si="25"/>
        <v>High</v>
      </c>
      <c r="X128" s="15">
        <v>7.2999999999999995E-2</v>
      </c>
      <c r="Y128" s="15">
        <f t="shared" si="26"/>
        <v>7.2999999999999995E-2</v>
      </c>
      <c r="Z128" t="str">
        <f t="shared" si="27"/>
        <v>No</v>
      </c>
      <c r="AA128" s="17">
        <v>38</v>
      </c>
      <c r="AB128" s="8">
        <f t="shared" si="28"/>
        <v>65111.38614000001</v>
      </c>
      <c r="AC128" s="8">
        <f t="shared" si="29"/>
        <v>40444.159999999996</v>
      </c>
      <c r="AD128" s="8">
        <f t="shared" si="30"/>
        <v>24667.226140000013</v>
      </c>
      <c r="AE128" s="15">
        <f t="shared" si="31"/>
        <v>0.3788465827921631</v>
      </c>
      <c r="AF128" s="34">
        <f>MIN(Y128,'Scenario Modeling'!$B$2)</f>
        <v>7.2999999999999995E-2</v>
      </c>
      <c r="AG128">
        <f>ROUND(AA128 * (1 + 'Scenario Modeling'!$B$4), 0)</f>
        <v>38</v>
      </c>
      <c r="AH128">
        <f>T128 * (1 + 'Scenario Modeling'!$B$3)</f>
        <v>1064.32</v>
      </c>
      <c r="AI128" s="8">
        <f t="shared" si="32"/>
        <v>65111.38614000001</v>
      </c>
      <c r="AJ128" s="8">
        <f t="shared" si="33"/>
        <v>24667.226140000013</v>
      </c>
    </row>
    <row r="129" spans="1:36">
      <c r="A129" t="s">
        <v>142</v>
      </c>
      <c r="B129" s="4">
        <v>45874</v>
      </c>
      <c r="C129" s="28">
        <v>45874</v>
      </c>
      <c r="D129" s="28" t="str">
        <f t="shared" si="18"/>
        <v>Q3-2025</v>
      </c>
      <c r="E129" s="4">
        <v>45883</v>
      </c>
      <c r="F129" s="4">
        <v>45883</v>
      </c>
      <c r="G129" s="17">
        <f t="shared" si="19"/>
        <v>9</v>
      </c>
      <c r="H129" s="17">
        <f t="shared" si="20"/>
        <v>9</v>
      </c>
      <c r="I129" t="str">
        <f t="shared" si="21"/>
        <v>No</v>
      </c>
      <c r="J129" s="2">
        <f t="shared" si="22"/>
        <v>44945</v>
      </c>
      <c r="K129" t="s">
        <v>649</v>
      </c>
      <c r="L129" t="s">
        <v>658</v>
      </c>
      <c r="M129" t="s">
        <v>683</v>
      </c>
      <c r="N129" t="str">
        <f t="shared" si="23"/>
        <v>Europe - United Kingdom - London</v>
      </c>
      <c r="O129" t="s">
        <v>703</v>
      </c>
      <c r="P129" t="s">
        <v>711</v>
      </c>
      <c r="Q129" t="s">
        <v>718</v>
      </c>
      <c r="R129" t="s">
        <v>727</v>
      </c>
      <c r="S129" t="s">
        <v>861</v>
      </c>
      <c r="T129" s="6">
        <v>41.76</v>
      </c>
      <c r="U129" s="8">
        <v>45.19</v>
      </c>
      <c r="V129" s="8">
        <f t="shared" si="24"/>
        <v>45.19</v>
      </c>
      <c r="W129" s="8" t="str">
        <f t="shared" si="25"/>
        <v>Low</v>
      </c>
      <c r="X129" s="15">
        <v>0.17899999999999999</v>
      </c>
      <c r="Y129" s="15">
        <f t="shared" si="26"/>
        <v>0.17899999999999999</v>
      </c>
      <c r="Z129" t="str">
        <f t="shared" si="27"/>
        <v>No</v>
      </c>
      <c r="AA129" s="17">
        <v>23</v>
      </c>
      <c r="AB129" s="8">
        <f t="shared" si="28"/>
        <v>853.32276999999988</v>
      </c>
      <c r="AC129" s="8">
        <f t="shared" si="29"/>
        <v>960.4799999999999</v>
      </c>
      <c r="AD129" s="8">
        <f t="shared" si="30"/>
        <v>-107.15723000000003</v>
      </c>
      <c r="AE129" s="15">
        <f t="shared" si="31"/>
        <v>-0.12557643340514638</v>
      </c>
      <c r="AF129" s="34">
        <f>MIN(Y129,'Scenario Modeling'!$B$2)</f>
        <v>0.17899999999999999</v>
      </c>
      <c r="AG129">
        <f>ROUND(AA129 * (1 + 'Scenario Modeling'!$B$4), 0)</f>
        <v>23</v>
      </c>
      <c r="AH129">
        <f>T129 * (1 + 'Scenario Modeling'!$B$3)</f>
        <v>41.76</v>
      </c>
      <c r="AI129" s="8">
        <f t="shared" si="32"/>
        <v>853.32276999999988</v>
      </c>
      <c r="AJ129" s="8">
        <f t="shared" si="33"/>
        <v>-107.15723000000003</v>
      </c>
    </row>
    <row r="130" spans="1:36">
      <c r="A130" t="s">
        <v>143</v>
      </c>
      <c r="B130" s="4">
        <v>45442</v>
      </c>
      <c r="C130" s="28">
        <v>45442</v>
      </c>
      <c r="D130" s="28" t="str">
        <f t="shared" si="18"/>
        <v>Q2-2024</v>
      </c>
      <c r="E130" s="4">
        <v>45456</v>
      </c>
      <c r="F130" s="4">
        <v>45456</v>
      </c>
      <c r="G130" s="17">
        <f t="shared" si="19"/>
        <v>14</v>
      </c>
      <c r="H130" s="17">
        <f t="shared" si="20"/>
        <v>14</v>
      </c>
      <c r="I130" t="str">
        <f t="shared" si="21"/>
        <v>No</v>
      </c>
      <c r="J130" s="2">
        <f t="shared" si="22"/>
        <v>44939</v>
      </c>
      <c r="K130" t="s">
        <v>648</v>
      </c>
      <c r="L130" t="s">
        <v>660</v>
      </c>
      <c r="M130" t="s">
        <v>686</v>
      </c>
      <c r="N130" t="str">
        <f t="shared" si="23"/>
        <v>Americas - USA - San Francisco</v>
      </c>
      <c r="O130" t="s">
        <v>705</v>
      </c>
      <c r="P130" t="s">
        <v>707</v>
      </c>
      <c r="Q130" t="s">
        <v>721</v>
      </c>
      <c r="R130" t="s">
        <v>730</v>
      </c>
      <c r="S130" t="s">
        <v>862</v>
      </c>
      <c r="T130" s="6">
        <v>157.78</v>
      </c>
      <c r="U130" s="8">
        <v>361.1</v>
      </c>
      <c r="V130" s="8">
        <f t="shared" si="24"/>
        <v>361.1</v>
      </c>
      <c r="W130" s="8" t="str">
        <f t="shared" si="25"/>
        <v>Low</v>
      </c>
      <c r="X130" s="15">
        <v>0.187</v>
      </c>
      <c r="Y130" s="15">
        <f t="shared" si="26"/>
        <v>0.187</v>
      </c>
      <c r="Z130" t="str">
        <f t="shared" si="27"/>
        <v>No</v>
      </c>
      <c r="AA130" s="17">
        <v>9</v>
      </c>
      <c r="AB130" s="8">
        <f t="shared" si="28"/>
        <v>2642.1686999999997</v>
      </c>
      <c r="AC130" s="8">
        <f t="shared" si="29"/>
        <v>1420.02</v>
      </c>
      <c r="AD130" s="8">
        <f t="shared" si="30"/>
        <v>1222.1486999999997</v>
      </c>
      <c r="AE130" s="15">
        <f t="shared" si="31"/>
        <v>0.46255513510549112</v>
      </c>
      <c r="AF130" s="34">
        <f>MIN(Y130,'Scenario Modeling'!$B$2)</f>
        <v>0.187</v>
      </c>
      <c r="AG130">
        <f>ROUND(AA130 * (1 + 'Scenario Modeling'!$B$4), 0)</f>
        <v>9</v>
      </c>
      <c r="AH130">
        <f>T130 * (1 + 'Scenario Modeling'!$B$3)</f>
        <v>157.78</v>
      </c>
      <c r="AI130" s="8">
        <f t="shared" si="32"/>
        <v>2642.1686999999997</v>
      </c>
      <c r="AJ130" s="8">
        <f t="shared" si="33"/>
        <v>1222.1486999999997</v>
      </c>
    </row>
    <row r="131" spans="1:36">
      <c r="A131" t="s">
        <v>144</v>
      </c>
      <c r="B131" s="4">
        <v>44948</v>
      </c>
      <c r="C131" s="28">
        <v>44948</v>
      </c>
      <c r="D131" s="28" t="str">
        <f t="shared" ref="D131:D194" si="34">"Q"&amp;ROUNDUP(MONTH(B131)/3,0)&amp;"-"&amp;YEAR(B131)</f>
        <v>Q1-2023</v>
      </c>
      <c r="E131" s="4">
        <v>44956</v>
      </c>
      <c r="F131" s="4">
        <v>44956</v>
      </c>
      <c r="G131" s="17">
        <f t="shared" ref="G131:G194" si="35">E131-B131</f>
        <v>8</v>
      </c>
      <c r="H131" s="17">
        <f t="shared" ref="H131:H194" si="36">F131-B131</f>
        <v>8</v>
      </c>
      <c r="I131" t="str">
        <f t="shared" ref="I131:I194" si="37">IF(H131&lt;=7, "Yes", "No")</f>
        <v>No</v>
      </c>
      <c r="J131" s="2">
        <f t="shared" ref="J131:J194" si="38">_xlfn.MINIFS($B$2:$B$633, $L$2:$L$633, L131)</f>
        <v>44939</v>
      </c>
      <c r="K131" t="s">
        <v>648</v>
      </c>
      <c r="L131" t="s">
        <v>660</v>
      </c>
      <c r="M131" t="s">
        <v>686</v>
      </c>
      <c r="N131" t="str">
        <f t="shared" ref="N131:N194" si="39">_xlfn.TEXTJOIN(" - ", TRUE, K131:M131)</f>
        <v>Americas - USA - San Francisco</v>
      </c>
      <c r="O131" t="s">
        <v>705</v>
      </c>
      <c r="P131" t="s">
        <v>708</v>
      </c>
      <c r="Q131" t="s">
        <v>720</v>
      </c>
      <c r="R131" t="s">
        <v>729</v>
      </c>
      <c r="S131" t="s">
        <v>863</v>
      </c>
      <c r="T131" s="6">
        <v>413.52</v>
      </c>
      <c r="U131" s="8">
        <v>1004.34</v>
      </c>
      <c r="V131" s="8">
        <f t="shared" ref="V131:V194" si="40">ABS(U131)</f>
        <v>1004.34</v>
      </c>
      <c r="W131" s="8" t="str">
        <f t="shared" ref="W131:W194" si="41">IF(V131 &lt;= _xlfn.PERCENTILE.INC($V$2:$V$633, 0.33), "Low", IF(V131 &lt;= _xlfn.PERCENTILE.INC($V$2:$V$633, 0.67), "Medium", "High"))</f>
        <v>Medium</v>
      </c>
      <c r="X131" s="15">
        <v>0.111</v>
      </c>
      <c r="Y131" s="15">
        <f t="shared" ref="Y131:Y194" si="42">IF(X131&gt;30%,AVERAGEIF($X$2:$X$633,"&lt;30%"),X131)</f>
        <v>0.111</v>
      </c>
      <c r="Z131" t="str">
        <f t="shared" ref="Z131:Z194" si="43">IF(Y131&gt;0.2, "Yes", "No")</f>
        <v>No</v>
      </c>
      <c r="AA131" s="17">
        <v>18</v>
      </c>
      <c r="AB131" s="8">
        <f t="shared" ref="AB131:AB194" si="44">U131*AA131*(1-Y131)</f>
        <v>16071.44868</v>
      </c>
      <c r="AC131" s="8">
        <f t="shared" ref="AC131:AC194" si="45">T131*AA131</f>
        <v>7443.36</v>
      </c>
      <c r="AD131" s="8">
        <f t="shared" ref="AD131:AD194" si="46">AB131-AC131</f>
        <v>8628.0886800000007</v>
      </c>
      <c r="AE131" s="15">
        <f t="shared" ref="AE131:AE194" si="47" xml:space="preserve"> IF(AB131=0, 0, AD131 / AB131)</f>
        <v>0.53685817948304593</v>
      </c>
      <c r="AF131" s="34">
        <f>MIN(Y131,'Scenario Modeling'!$B$2)</f>
        <v>0.111</v>
      </c>
      <c r="AG131">
        <f>ROUND(AA131 * (1 + 'Scenario Modeling'!$B$4), 0)</f>
        <v>18</v>
      </c>
      <c r="AH131">
        <f>T131 * (1 + 'Scenario Modeling'!$B$3)</f>
        <v>413.52</v>
      </c>
      <c r="AI131" s="8">
        <f t="shared" ref="AI131:AI194" si="48">V131 * AG131 * (1 - AF131)</f>
        <v>16071.44868</v>
      </c>
      <c r="AJ131" s="8">
        <f t="shared" ref="AJ131:AJ194" si="49">AI131 - (AH131 * AG131)</f>
        <v>8628.0886800000007</v>
      </c>
    </row>
    <row r="132" spans="1:36">
      <c r="A132" t="s">
        <v>145</v>
      </c>
      <c r="B132" s="4">
        <v>45700</v>
      </c>
      <c r="C132" s="28">
        <v>45700</v>
      </c>
      <c r="D132" s="28" t="str">
        <f t="shared" si="34"/>
        <v>Q1-2025</v>
      </c>
      <c r="E132" s="4">
        <v>45716</v>
      </c>
      <c r="F132" s="4">
        <v>45716</v>
      </c>
      <c r="G132" s="17">
        <f t="shared" si="35"/>
        <v>16</v>
      </c>
      <c r="H132" s="17">
        <f t="shared" si="36"/>
        <v>16</v>
      </c>
      <c r="I132" t="str">
        <f t="shared" si="37"/>
        <v>No</v>
      </c>
      <c r="J132" s="2">
        <f t="shared" si="38"/>
        <v>44955</v>
      </c>
      <c r="K132" t="s">
        <v>648</v>
      </c>
      <c r="L132" t="s">
        <v>655</v>
      </c>
      <c r="M132" t="s">
        <v>670</v>
      </c>
      <c r="N132" t="str">
        <f t="shared" si="39"/>
        <v>Americas - Brazil - São Paulo</v>
      </c>
      <c r="O132" t="s">
        <v>703</v>
      </c>
      <c r="P132" t="s">
        <v>711</v>
      </c>
      <c r="Q132" t="s">
        <v>717</v>
      </c>
      <c r="R132" t="s">
        <v>732</v>
      </c>
      <c r="S132" t="s">
        <v>864</v>
      </c>
      <c r="T132" s="6">
        <v>414.95</v>
      </c>
      <c r="U132" s="8">
        <v>1027.73</v>
      </c>
      <c r="V132" s="8">
        <f t="shared" si="40"/>
        <v>1027.73</v>
      </c>
      <c r="W132" s="8" t="str">
        <f t="shared" si="41"/>
        <v>Medium</v>
      </c>
      <c r="X132" s="15">
        <v>6.3E-2</v>
      </c>
      <c r="Y132" s="15">
        <f t="shared" si="42"/>
        <v>6.3E-2</v>
      </c>
      <c r="Z132" t="str">
        <f t="shared" si="43"/>
        <v>No</v>
      </c>
      <c r="AA132" s="17">
        <v>8</v>
      </c>
      <c r="AB132" s="8">
        <f t="shared" si="44"/>
        <v>7703.8640800000003</v>
      </c>
      <c r="AC132" s="8">
        <f t="shared" si="45"/>
        <v>3319.6</v>
      </c>
      <c r="AD132" s="8">
        <f t="shared" si="46"/>
        <v>4384.2640800000008</v>
      </c>
      <c r="AE132" s="15">
        <f t="shared" si="47"/>
        <v>0.56909935513815568</v>
      </c>
      <c r="AF132" s="34">
        <f>MIN(Y132,'Scenario Modeling'!$B$2)</f>
        <v>6.3E-2</v>
      </c>
      <c r="AG132">
        <f>ROUND(AA132 * (1 + 'Scenario Modeling'!$B$4), 0)</f>
        <v>8</v>
      </c>
      <c r="AH132">
        <f>T132 * (1 + 'Scenario Modeling'!$B$3)</f>
        <v>414.95</v>
      </c>
      <c r="AI132" s="8">
        <f t="shared" si="48"/>
        <v>7703.8640800000003</v>
      </c>
      <c r="AJ132" s="8">
        <f t="shared" si="49"/>
        <v>4384.2640800000008</v>
      </c>
    </row>
    <row r="133" spans="1:36">
      <c r="A133" t="s">
        <v>146</v>
      </c>
      <c r="B133" s="4">
        <v>45719</v>
      </c>
      <c r="C133" s="28">
        <v>45719</v>
      </c>
      <c r="D133" s="28" t="str">
        <f t="shared" si="34"/>
        <v>Q1-2025</v>
      </c>
      <c r="E133" s="4">
        <v>45740</v>
      </c>
      <c r="F133" s="4">
        <v>45740</v>
      </c>
      <c r="G133" s="17">
        <f t="shared" si="35"/>
        <v>21</v>
      </c>
      <c r="H133" s="17">
        <f t="shared" si="36"/>
        <v>21</v>
      </c>
      <c r="I133" t="str">
        <f t="shared" si="37"/>
        <v>No</v>
      </c>
      <c r="J133" s="2">
        <f t="shared" si="38"/>
        <v>44941</v>
      </c>
      <c r="K133" t="s">
        <v>646</v>
      </c>
      <c r="L133" t="s">
        <v>651</v>
      </c>
      <c r="M133" t="s">
        <v>669</v>
      </c>
      <c r="N133" t="str">
        <f t="shared" si="39"/>
        <v>Africa - Nigeria - Abuja</v>
      </c>
      <c r="O133" t="s">
        <v>706</v>
      </c>
      <c r="P133" t="s">
        <v>711</v>
      </c>
      <c r="Q133" t="s">
        <v>722</v>
      </c>
      <c r="R133" t="s">
        <v>733</v>
      </c>
      <c r="S133" t="s">
        <v>865</v>
      </c>
      <c r="T133" s="6">
        <v>555.95000000000005</v>
      </c>
      <c r="U133" s="8">
        <v>468.09</v>
      </c>
      <c r="V133" s="8">
        <f t="shared" si="40"/>
        <v>468.09</v>
      </c>
      <c r="W133" s="8" t="str">
        <f t="shared" si="41"/>
        <v>Low</v>
      </c>
      <c r="X133" s="15">
        <v>0.14199999999999999</v>
      </c>
      <c r="Y133" s="15">
        <f t="shared" si="42"/>
        <v>0.14199999999999999</v>
      </c>
      <c r="Z133" t="str">
        <f t="shared" si="43"/>
        <v>No</v>
      </c>
      <c r="AA133" s="17">
        <v>11</v>
      </c>
      <c r="AB133" s="8">
        <f t="shared" si="44"/>
        <v>4417.8334199999999</v>
      </c>
      <c r="AC133" s="8">
        <f t="shared" si="45"/>
        <v>6115.4500000000007</v>
      </c>
      <c r="AD133" s="8">
        <f t="shared" si="46"/>
        <v>-1697.6165800000008</v>
      </c>
      <c r="AE133" s="15">
        <f t="shared" si="47"/>
        <v>-0.38426450674095375</v>
      </c>
      <c r="AF133" s="34">
        <f>MIN(Y133,'Scenario Modeling'!$B$2)</f>
        <v>0.14199999999999999</v>
      </c>
      <c r="AG133">
        <f>ROUND(AA133 * (1 + 'Scenario Modeling'!$B$4), 0)</f>
        <v>11</v>
      </c>
      <c r="AH133">
        <f>T133 * (1 + 'Scenario Modeling'!$B$3)</f>
        <v>555.95000000000005</v>
      </c>
      <c r="AI133" s="8">
        <f t="shared" si="48"/>
        <v>4417.8334199999999</v>
      </c>
      <c r="AJ133" s="8">
        <f t="shared" si="49"/>
        <v>-1697.6165800000008</v>
      </c>
    </row>
    <row r="134" spans="1:36">
      <c r="A134" t="s">
        <v>147</v>
      </c>
      <c r="B134" s="4">
        <v>44953</v>
      </c>
      <c r="C134" s="28">
        <v>44953</v>
      </c>
      <c r="D134" s="28" t="str">
        <f t="shared" si="34"/>
        <v>Q1-2023</v>
      </c>
      <c r="E134" s="4">
        <v>44957</v>
      </c>
      <c r="F134" s="4">
        <v>44957</v>
      </c>
      <c r="G134" s="17">
        <f t="shared" si="35"/>
        <v>4</v>
      </c>
      <c r="H134" s="17">
        <f t="shared" si="36"/>
        <v>4</v>
      </c>
      <c r="I134" t="str">
        <f t="shared" si="37"/>
        <v>Yes</v>
      </c>
      <c r="J134" s="2">
        <f t="shared" si="38"/>
        <v>44945</v>
      </c>
      <c r="K134" t="s">
        <v>649</v>
      </c>
      <c r="L134" t="s">
        <v>658</v>
      </c>
      <c r="M134" t="s">
        <v>693</v>
      </c>
      <c r="N134" t="str">
        <f t="shared" si="39"/>
        <v>Europe - United Kingdom - Manchester</v>
      </c>
      <c r="O134" t="s">
        <v>706</v>
      </c>
      <c r="P134" t="s">
        <v>708</v>
      </c>
      <c r="Q134" t="s">
        <v>725</v>
      </c>
      <c r="R134" t="s">
        <v>731</v>
      </c>
      <c r="S134" t="s">
        <v>866</v>
      </c>
      <c r="T134" s="6">
        <v>941.2</v>
      </c>
      <c r="U134" s="8">
        <v>668.02</v>
      </c>
      <c r="V134" s="8">
        <f t="shared" si="40"/>
        <v>668.02</v>
      </c>
      <c r="W134" s="8" t="str">
        <f t="shared" si="41"/>
        <v>Low</v>
      </c>
      <c r="X134" s="15">
        <v>0.22</v>
      </c>
      <c r="Y134" s="15">
        <f t="shared" si="42"/>
        <v>0.22</v>
      </c>
      <c r="Z134" t="str">
        <f t="shared" si="43"/>
        <v>Yes</v>
      </c>
      <c r="AA134" s="17">
        <v>16</v>
      </c>
      <c r="AB134" s="8">
        <f t="shared" si="44"/>
        <v>8336.8896000000004</v>
      </c>
      <c r="AC134" s="8">
        <f t="shared" si="45"/>
        <v>15059.2</v>
      </c>
      <c r="AD134" s="8">
        <f t="shared" si="46"/>
        <v>-6722.3104000000003</v>
      </c>
      <c r="AE134" s="15">
        <f t="shared" si="47"/>
        <v>-0.80633314371825193</v>
      </c>
      <c r="AF134" s="34">
        <f>MIN(Y134,'Scenario Modeling'!$B$2)</f>
        <v>0.22</v>
      </c>
      <c r="AG134">
        <f>ROUND(AA134 * (1 + 'Scenario Modeling'!$B$4), 0)</f>
        <v>16</v>
      </c>
      <c r="AH134">
        <f>T134 * (1 + 'Scenario Modeling'!$B$3)</f>
        <v>941.2</v>
      </c>
      <c r="AI134" s="8">
        <f t="shared" si="48"/>
        <v>8336.8896000000004</v>
      </c>
      <c r="AJ134" s="8">
        <f t="shared" si="49"/>
        <v>-6722.3104000000003</v>
      </c>
    </row>
    <row r="135" spans="1:36">
      <c r="A135" t="s">
        <v>148</v>
      </c>
      <c r="B135" s="4">
        <v>45666</v>
      </c>
      <c r="C135" s="28">
        <v>45666</v>
      </c>
      <c r="D135" s="28" t="str">
        <f t="shared" si="34"/>
        <v>Q1-2025</v>
      </c>
      <c r="E135" s="4">
        <v>45672</v>
      </c>
      <c r="F135" s="4">
        <v>45672</v>
      </c>
      <c r="G135" s="17">
        <f t="shared" si="35"/>
        <v>6</v>
      </c>
      <c r="H135" s="17">
        <f t="shared" si="36"/>
        <v>6</v>
      </c>
      <c r="I135" t="str">
        <f t="shared" si="37"/>
        <v>Yes</v>
      </c>
      <c r="J135" s="2">
        <f t="shared" si="38"/>
        <v>44938</v>
      </c>
      <c r="K135" t="s">
        <v>647</v>
      </c>
      <c r="L135" t="s">
        <v>659</v>
      </c>
      <c r="M135" t="s">
        <v>699</v>
      </c>
      <c r="N135" t="str">
        <f t="shared" si="39"/>
        <v>Asia - China - Beijing</v>
      </c>
      <c r="O135" t="s">
        <v>702</v>
      </c>
      <c r="P135" t="s">
        <v>708</v>
      </c>
      <c r="Q135" t="s">
        <v>712</v>
      </c>
      <c r="R135" t="s">
        <v>730</v>
      </c>
      <c r="S135" t="s">
        <v>867</v>
      </c>
      <c r="T135" s="6">
        <v>304.77999999999997</v>
      </c>
      <c r="U135" s="8">
        <v>537.27</v>
      </c>
      <c r="V135" s="8">
        <f t="shared" si="40"/>
        <v>537.27</v>
      </c>
      <c r="W135" s="8" t="str">
        <f t="shared" si="41"/>
        <v>Low</v>
      </c>
      <c r="X135" s="15">
        <v>0.187</v>
      </c>
      <c r="Y135" s="15">
        <f t="shared" si="42"/>
        <v>0.187</v>
      </c>
      <c r="Z135" t="str">
        <f t="shared" si="43"/>
        <v>No</v>
      </c>
      <c r="AA135" s="17">
        <v>8</v>
      </c>
      <c r="AB135" s="8">
        <f t="shared" si="44"/>
        <v>3494.4040799999998</v>
      </c>
      <c r="AC135" s="8">
        <f t="shared" si="45"/>
        <v>2438.2399999999998</v>
      </c>
      <c r="AD135" s="8">
        <f t="shared" si="46"/>
        <v>1056.16408</v>
      </c>
      <c r="AE135" s="15">
        <f t="shared" si="47"/>
        <v>0.3022444044307549</v>
      </c>
      <c r="AF135" s="34">
        <f>MIN(Y135,'Scenario Modeling'!$B$2)</f>
        <v>0.187</v>
      </c>
      <c r="AG135">
        <f>ROUND(AA135 * (1 + 'Scenario Modeling'!$B$4), 0)</f>
        <v>8</v>
      </c>
      <c r="AH135">
        <f>T135 * (1 + 'Scenario Modeling'!$B$3)</f>
        <v>304.77999999999997</v>
      </c>
      <c r="AI135" s="8">
        <f t="shared" si="48"/>
        <v>3494.4040799999998</v>
      </c>
      <c r="AJ135" s="8">
        <f t="shared" si="49"/>
        <v>1056.16408</v>
      </c>
    </row>
    <row r="136" spans="1:36">
      <c r="A136" t="s">
        <v>149</v>
      </c>
      <c r="B136" s="4">
        <v>45647</v>
      </c>
      <c r="C136" s="28">
        <v>45647</v>
      </c>
      <c r="D136" s="28" t="str">
        <f t="shared" si="34"/>
        <v>Q4-2024</v>
      </c>
      <c r="E136" s="4">
        <v>45652</v>
      </c>
      <c r="F136" s="4">
        <v>45652</v>
      </c>
      <c r="G136" s="17">
        <f t="shared" si="35"/>
        <v>5</v>
      </c>
      <c r="H136" s="17">
        <f t="shared" si="36"/>
        <v>5</v>
      </c>
      <c r="I136" t="str">
        <f t="shared" si="37"/>
        <v>Yes</v>
      </c>
      <c r="J136" s="2">
        <f t="shared" si="38"/>
        <v>44939</v>
      </c>
      <c r="K136" t="s">
        <v>648</v>
      </c>
      <c r="L136" t="s">
        <v>660</v>
      </c>
      <c r="M136" t="s">
        <v>686</v>
      </c>
      <c r="N136" t="str">
        <f t="shared" si="39"/>
        <v>Americas - USA - San Francisco</v>
      </c>
      <c r="O136" t="s">
        <v>704</v>
      </c>
      <c r="P136" t="s">
        <v>709</v>
      </c>
      <c r="Q136" t="s">
        <v>724</v>
      </c>
      <c r="R136" t="s">
        <v>728</v>
      </c>
      <c r="S136" t="s">
        <v>868</v>
      </c>
      <c r="T136" s="6">
        <v>699.57</v>
      </c>
      <c r="U136" s="8">
        <v>572.71</v>
      </c>
      <c r="V136" s="8">
        <f t="shared" si="40"/>
        <v>572.71</v>
      </c>
      <c r="W136" s="8" t="str">
        <f t="shared" si="41"/>
        <v>Low</v>
      </c>
      <c r="X136" s="15">
        <v>0.192</v>
      </c>
      <c r="Y136" s="15">
        <f t="shared" si="42"/>
        <v>0.192</v>
      </c>
      <c r="Z136" t="str">
        <f t="shared" si="43"/>
        <v>No</v>
      </c>
      <c r="AA136" s="17">
        <v>26</v>
      </c>
      <c r="AB136" s="8">
        <f t="shared" si="44"/>
        <v>12031.491680000001</v>
      </c>
      <c r="AC136" s="8">
        <f t="shared" si="45"/>
        <v>18188.82</v>
      </c>
      <c r="AD136" s="8">
        <f t="shared" si="46"/>
        <v>-6157.3283199999987</v>
      </c>
      <c r="AE136" s="15">
        <f t="shared" si="47"/>
        <v>-0.51176765805651114</v>
      </c>
      <c r="AF136" s="34">
        <f>MIN(Y136,'Scenario Modeling'!$B$2)</f>
        <v>0.192</v>
      </c>
      <c r="AG136">
        <f>ROUND(AA136 * (1 + 'Scenario Modeling'!$B$4), 0)</f>
        <v>26</v>
      </c>
      <c r="AH136">
        <f>T136 * (1 + 'Scenario Modeling'!$B$3)</f>
        <v>699.57</v>
      </c>
      <c r="AI136" s="8">
        <f t="shared" si="48"/>
        <v>12031.491680000001</v>
      </c>
      <c r="AJ136" s="8">
        <f t="shared" si="49"/>
        <v>-6157.3283199999987</v>
      </c>
    </row>
    <row r="137" spans="1:36">
      <c r="A137" t="s">
        <v>150</v>
      </c>
      <c r="B137" s="4">
        <v>45028</v>
      </c>
      <c r="C137" s="28">
        <v>45028</v>
      </c>
      <c r="D137" s="28" t="str">
        <f t="shared" si="34"/>
        <v>Q2-2023</v>
      </c>
      <c r="E137" s="4">
        <v>45033</v>
      </c>
      <c r="F137" s="4">
        <v>45033</v>
      </c>
      <c r="G137" s="17">
        <f t="shared" si="35"/>
        <v>5</v>
      </c>
      <c r="H137" s="17">
        <f t="shared" si="36"/>
        <v>5</v>
      </c>
      <c r="I137" t="str">
        <f t="shared" si="37"/>
        <v>Yes</v>
      </c>
      <c r="J137" s="2">
        <f t="shared" si="38"/>
        <v>44936</v>
      </c>
      <c r="K137" t="s">
        <v>649</v>
      </c>
      <c r="L137" t="s">
        <v>657</v>
      </c>
      <c r="M137" t="s">
        <v>679</v>
      </c>
      <c r="N137" t="str">
        <f t="shared" si="39"/>
        <v>Europe - France - Lyon</v>
      </c>
      <c r="O137" t="s">
        <v>706</v>
      </c>
      <c r="P137" t="s">
        <v>711</v>
      </c>
      <c r="Q137" t="s">
        <v>718</v>
      </c>
      <c r="R137" t="s">
        <v>732</v>
      </c>
      <c r="S137" t="s">
        <v>869</v>
      </c>
      <c r="T137" s="6">
        <v>1087.81</v>
      </c>
      <c r="U137" s="8">
        <v>2323.87</v>
      </c>
      <c r="V137" s="8">
        <f t="shared" si="40"/>
        <v>2323.87</v>
      </c>
      <c r="W137" s="8" t="str">
        <f t="shared" si="41"/>
        <v>High</v>
      </c>
      <c r="X137" s="15">
        <v>9.4E-2</v>
      </c>
      <c r="Y137" s="15">
        <f t="shared" si="42"/>
        <v>9.4E-2</v>
      </c>
      <c r="Z137" t="str">
        <f t="shared" si="43"/>
        <v>No</v>
      </c>
      <c r="AA137" s="17">
        <v>13</v>
      </c>
      <c r="AB137" s="8">
        <f t="shared" si="44"/>
        <v>27370.540859999997</v>
      </c>
      <c r="AC137" s="8">
        <f t="shared" si="45"/>
        <v>14141.529999999999</v>
      </c>
      <c r="AD137" s="8">
        <f t="shared" si="46"/>
        <v>13229.010859999999</v>
      </c>
      <c r="AE137" s="15">
        <f t="shared" si="47"/>
        <v>0.48333026839572651</v>
      </c>
      <c r="AF137" s="34">
        <f>MIN(Y137,'Scenario Modeling'!$B$2)</f>
        <v>9.4E-2</v>
      </c>
      <c r="AG137">
        <f>ROUND(AA137 * (1 + 'Scenario Modeling'!$B$4), 0)</f>
        <v>13</v>
      </c>
      <c r="AH137">
        <f>T137 * (1 + 'Scenario Modeling'!$B$3)</f>
        <v>1087.81</v>
      </c>
      <c r="AI137" s="8">
        <f t="shared" si="48"/>
        <v>27370.540859999997</v>
      </c>
      <c r="AJ137" s="8">
        <f t="shared" si="49"/>
        <v>13229.010859999999</v>
      </c>
    </row>
    <row r="138" spans="1:36">
      <c r="A138" t="s">
        <v>151</v>
      </c>
      <c r="B138" s="4">
        <v>45640</v>
      </c>
      <c r="C138" s="28">
        <v>45640</v>
      </c>
      <c r="D138" s="28" t="str">
        <f t="shared" si="34"/>
        <v>Q4-2024</v>
      </c>
      <c r="E138" s="4">
        <v>45669</v>
      </c>
      <c r="F138" s="4">
        <v>45669</v>
      </c>
      <c r="G138" s="17">
        <f t="shared" si="35"/>
        <v>29</v>
      </c>
      <c r="H138" s="17">
        <f t="shared" si="36"/>
        <v>29</v>
      </c>
      <c r="I138" t="str">
        <f t="shared" si="37"/>
        <v>No</v>
      </c>
      <c r="J138" s="2">
        <f t="shared" si="38"/>
        <v>44938</v>
      </c>
      <c r="K138" t="s">
        <v>647</v>
      </c>
      <c r="L138" t="s">
        <v>659</v>
      </c>
      <c r="M138" t="s">
        <v>676</v>
      </c>
      <c r="N138" t="str">
        <f t="shared" si="39"/>
        <v>Asia - China - Shenzhen</v>
      </c>
      <c r="O138" t="s">
        <v>702</v>
      </c>
      <c r="P138" t="s">
        <v>708</v>
      </c>
      <c r="Q138" t="s">
        <v>713</v>
      </c>
      <c r="R138" t="s">
        <v>727</v>
      </c>
      <c r="S138" t="s">
        <v>870</v>
      </c>
      <c r="T138" s="6">
        <v>1412.15</v>
      </c>
      <c r="U138" s="8">
        <v>1631.04</v>
      </c>
      <c r="V138" s="8">
        <f t="shared" si="40"/>
        <v>1631.04</v>
      </c>
      <c r="W138" s="8" t="str">
        <f t="shared" si="41"/>
        <v>Medium</v>
      </c>
      <c r="X138" s="15">
        <v>8.9999999999999993E-3</v>
      </c>
      <c r="Y138" s="15">
        <f t="shared" si="42"/>
        <v>8.9999999999999993E-3</v>
      </c>
      <c r="Z138" t="str">
        <f t="shared" si="43"/>
        <v>No</v>
      </c>
      <c r="AA138" s="17">
        <v>6</v>
      </c>
      <c r="AB138" s="8">
        <f t="shared" si="44"/>
        <v>9698.1638399999993</v>
      </c>
      <c r="AC138" s="8">
        <f t="shared" si="45"/>
        <v>8472.9000000000015</v>
      </c>
      <c r="AD138" s="8">
        <f t="shared" si="46"/>
        <v>1225.2638399999978</v>
      </c>
      <c r="AE138" s="15">
        <f t="shared" si="47"/>
        <v>0.12633977526203535</v>
      </c>
      <c r="AF138" s="34">
        <f>MIN(Y138,'Scenario Modeling'!$B$2)</f>
        <v>8.9999999999999993E-3</v>
      </c>
      <c r="AG138">
        <f>ROUND(AA138 * (1 + 'Scenario Modeling'!$B$4), 0)</f>
        <v>6</v>
      </c>
      <c r="AH138">
        <f>T138 * (1 + 'Scenario Modeling'!$B$3)</f>
        <v>1412.15</v>
      </c>
      <c r="AI138" s="8">
        <f t="shared" si="48"/>
        <v>9698.1638399999993</v>
      </c>
      <c r="AJ138" s="8">
        <f t="shared" si="49"/>
        <v>1225.2638399999978</v>
      </c>
    </row>
    <row r="139" spans="1:36">
      <c r="A139" t="s">
        <v>152</v>
      </c>
      <c r="B139" s="4">
        <v>45016</v>
      </c>
      <c r="C139" s="28">
        <v>45016</v>
      </c>
      <c r="D139" s="28" t="str">
        <f t="shared" si="34"/>
        <v>Q1-2023</v>
      </c>
      <c r="E139" s="4">
        <v>45028</v>
      </c>
      <c r="F139" s="4">
        <v>45028</v>
      </c>
      <c r="G139" s="17">
        <f t="shared" si="35"/>
        <v>12</v>
      </c>
      <c r="H139" s="17">
        <f t="shared" si="36"/>
        <v>12</v>
      </c>
      <c r="I139" t="str">
        <f t="shared" si="37"/>
        <v>No</v>
      </c>
      <c r="J139" s="2">
        <f t="shared" si="38"/>
        <v>44946</v>
      </c>
      <c r="K139" t="s">
        <v>646</v>
      </c>
      <c r="L139" t="s">
        <v>650</v>
      </c>
      <c r="M139" t="s">
        <v>675</v>
      </c>
      <c r="N139" t="str">
        <f t="shared" si="39"/>
        <v>Africa - Kenya - Mombasa</v>
      </c>
      <c r="O139" t="s">
        <v>705</v>
      </c>
      <c r="P139" t="s">
        <v>708</v>
      </c>
      <c r="Q139" t="s">
        <v>712</v>
      </c>
      <c r="R139" t="s">
        <v>730</v>
      </c>
      <c r="S139" t="s">
        <v>871</v>
      </c>
      <c r="T139" s="6">
        <v>304.22000000000003</v>
      </c>
      <c r="U139" s="8">
        <v>393.31</v>
      </c>
      <c r="V139" s="8">
        <f t="shared" si="40"/>
        <v>393.31</v>
      </c>
      <c r="W139" s="8" t="str">
        <f t="shared" si="41"/>
        <v>Low</v>
      </c>
      <c r="X139" s="15">
        <v>0.26500000000000001</v>
      </c>
      <c r="Y139" s="15">
        <f t="shared" si="42"/>
        <v>0.26500000000000001</v>
      </c>
      <c r="Z139" t="str">
        <f t="shared" si="43"/>
        <v>Yes</v>
      </c>
      <c r="AA139" s="17">
        <v>15</v>
      </c>
      <c r="AB139" s="8">
        <f t="shared" si="44"/>
        <v>4336.2427499999994</v>
      </c>
      <c r="AC139" s="8">
        <f t="shared" si="45"/>
        <v>4563.3</v>
      </c>
      <c r="AD139" s="8">
        <f t="shared" si="46"/>
        <v>-227.05725000000075</v>
      </c>
      <c r="AE139" s="15">
        <f t="shared" si="47"/>
        <v>-5.2362670424759034E-2</v>
      </c>
      <c r="AF139" s="34">
        <f>MIN(Y139,'Scenario Modeling'!$B$2)</f>
        <v>0.25</v>
      </c>
      <c r="AG139">
        <f>ROUND(AA139 * (1 + 'Scenario Modeling'!$B$4), 0)</f>
        <v>15</v>
      </c>
      <c r="AH139">
        <f>T139 * (1 + 'Scenario Modeling'!$B$3)</f>
        <v>304.22000000000003</v>
      </c>
      <c r="AI139" s="8">
        <f t="shared" si="48"/>
        <v>4424.7374999999993</v>
      </c>
      <c r="AJ139" s="8">
        <f t="shared" si="49"/>
        <v>-138.56250000000091</v>
      </c>
    </row>
    <row r="140" spans="1:36">
      <c r="A140" t="s">
        <v>153</v>
      </c>
      <c r="B140" s="4">
        <v>45616</v>
      </c>
      <c r="C140" s="28">
        <v>45616</v>
      </c>
      <c r="D140" s="28" t="str">
        <f t="shared" si="34"/>
        <v>Q4-2024</v>
      </c>
      <c r="E140" s="4">
        <v>45641</v>
      </c>
      <c r="F140" s="4">
        <v>45641</v>
      </c>
      <c r="G140" s="17">
        <f t="shared" si="35"/>
        <v>25</v>
      </c>
      <c r="H140" s="17">
        <f t="shared" si="36"/>
        <v>25</v>
      </c>
      <c r="I140" t="str">
        <f t="shared" si="37"/>
        <v>No</v>
      </c>
      <c r="J140" s="2">
        <f t="shared" si="38"/>
        <v>44936</v>
      </c>
      <c r="K140" t="s">
        <v>649</v>
      </c>
      <c r="L140" t="s">
        <v>657</v>
      </c>
      <c r="M140" t="s">
        <v>690</v>
      </c>
      <c r="N140" t="str">
        <f t="shared" si="39"/>
        <v>Europe - France - Paris</v>
      </c>
      <c r="O140" t="s">
        <v>701</v>
      </c>
      <c r="P140" t="s">
        <v>708</v>
      </c>
      <c r="Q140" t="s">
        <v>715</v>
      </c>
      <c r="R140" t="s">
        <v>728</v>
      </c>
      <c r="S140" t="s">
        <v>872</v>
      </c>
      <c r="T140" s="6">
        <v>1203.58</v>
      </c>
      <c r="U140" s="8">
        <v>1856.16</v>
      </c>
      <c r="V140" s="8">
        <f t="shared" si="40"/>
        <v>1856.16</v>
      </c>
      <c r="W140" s="8" t="str">
        <f t="shared" si="41"/>
        <v>High</v>
      </c>
      <c r="X140" s="15">
        <v>0.129</v>
      </c>
      <c r="Y140" s="15">
        <f t="shared" si="42"/>
        <v>0.129</v>
      </c>
      <c r="Z140" t="str">
        <f t="shared" si="43"/>
        <v>No</v>
      </c>
      <c r="AA140" s="17">
        <v>22</v>
      </c>
      <c r="AB140" s="8">
        <f t="shared" si="44"/>
        <v>35567.737920000007</v>
      </c>
      <c r="AC140" s="8">
        <f t="shared" si="45"/>
        <v>26478.76</v>
      </c>
      <c r="AD140" s="8">
        <f t="shared" si="46"/>
        <v>9088.9779200000085</v>
      </c>
      <c r="AE140" s="15">
        <f t="shared" si="47"/>
        <v>0.25553994860295032</v>
      </c>
      <c r="AF140" s="34">
        <f>MIN(Y140,'Scenario Modeling'!$B$2)</f>
        <v>0.129</v>
      </c>
      <c r="AG140">
        <f>ROUND(AA140 * (1 + 'Scenario Modeling'!$B$4), 0)</f>
        <v>22</v>
      </c>
      <c r="AH140">
        <f>T140 * (1 + 'Scenario Modeling'!$B$3)</f>
        <v>1203.58</v>
      </c>
      <c r="AI140" s="8">
        <f t="shared" si="48"/>
        <v>35567.737920000007</v>
      </c>
      <c r="AJ140" s="8">
        <f t="shared" si="49"/>
        <v>9088.9779200000085</v>
      </c>
    </row>
    <row r="141" spans="1:36">
      <c r="A141" t="s">
        <v>154</v>
      </c>
      <c r="B141" s="4">
        <v>45336</v>
      </c>
      <c r="C141" s="28">
        <v>45336</v>
      </c>
      <c r="D141" s="28" t="str">
        <f t="shared" si="34"/>
        <v>Q1-2024</v>
      </c>
      <c r="E141" s="4">
        <v>45336</v>
      </c>
      <c r="F141" s="4">
        <v>45336</v>
      </c>
      <c r="G141" s="17">
        <f t="shared" si="35"/>
        <v>0</v>
      </c>
      <c r="H141" s="17">
        <f t="shared" si="36"/>
        <v>0</v>
      </c>
      <c r="I141" t="str">
        <f t="shared" si="37"/>
        <v>Yes</v>
      </c>
      <c r="J141" s="2">
        <f t="shared" si="38"/>
        <v>44938</v>
      </c>
      <c r="K141" t="s">
        <v>647</v>
      </c>
      <c r="L141" t="s">
        <v>659</v>
      </c>
      <c r="M141" t="s">
        <v>699</v>
      </c>
      <c r="N141" t="str">
        <f t="shared" si="39"/>
        <v>Asia - China - Beijing</v>
      </c>
      <c r="O141" t="s">
        <v>701</v>
      </c>
      <c r="P141" t="s">
        <v>710</v>
      </c>
      <c r="Q141" t="s">
        <v>716</v>
      </c>
      <c r="R141" t="s">
        <v>733</v>
      </c>
      <c r="S141" t="s">
        <v>873</v>
      </c>
      <c r="T141" s="6">
        <v>65.930000000000007</v>
      </c>
      <c r="U141" s="8">
        <v>84.9</v>
      </c>
      <c r="V141" s="8">
        <f t="shared" si="40"/>
        <v>84.9</v>
      </c>
      <c r="W141" s="8" t="str">
        <f t="shared" si="41"/>
        <v>Low</v>
      </c>
      <c r="X141" s="15">
        <v>0.25900000000000001</v>
      </c>
      <c r="Y141" s="15">
        <f t="shared" si="42"/>
        <v>0.25900000000000001</v>
      </c>
      <c r="Z141" t="str">
        <f t="shared" si="43"/>
        <v>Yes</v>
      </c>
      <c r="AA141" s="17">
        <v>23</v>
      </c>
      <c r="AB141" s="8">
        <f t="shared" si="44"/>
        <v>1446.9507000000001</v>
      </c>
      <c r="AC141" s="8">
        <f t="shared" si="45"/>
        <v>1516.39</v>
      </c>
      <c r="AD141" s="8">
        <f t="shared" si="46"/>
        <v>-69.439300000000003</v>
      </c>
      <c r="AE141" s="15">
        <f t="shared" si="47"/>
        <v>-4.7990093926489688E-2</v>
      </c>
      <c r="AF141" s="34">
        <f>MIN(Y141,'Scenario Modeling'!$B$2)</f>
        <v>0.25</v>
      </c>
      <c r="AG141">
        <f>ROUND(AA141 * (1 + 'Scenario Modeling'!$B$4), 0)</f>
        <v>23</v>
      </c>
      <c r="AH141">
        <f>T141 * (1 + 'Scenario Modeling'!$B$3)</f>
        <v>65.930000000000007</v>
      </c>
      <c r="AI141" s="8">
        <f t="shared" si="48"/>
        <v>1464.5250000000001</v>
      </c>
      <c r="AJ141" s="8">
        <f t="shared" si="49"/>
        <v>-51.865000000000009</v>
      </c>
    </row>
    <row r="142" spans="1:36">
      <c r="A142" t="s">
        <v>155</v>
      </c>
      <c r="B142" s="4">
        <v>45048</v>
      </c>
      <c r="C142" s="28">
        <v>45048</v>
      </c>
      <c r="D142" s="28" t="str">
        <f t="shared" si="34"/>
        <v>Q2-2023</v>
      </c>
      <c r="E142" s="4">
        <v>45064</v>
      </c>
      <c r="F142" s="4">
        <v>45064</v>
      </c>
      <c r="G142" s="17">
        <f t="shared" si="35"/>
        <v>16</v>
      </c>
      <c r="H142" s="17">
        <f t="shared" si="36"/>
        <v>16</v>
      </c>
      <c r="I142" t="str">
        <f t="shared" si="37"/>
        <v>No</v>
      </c>
      <c r="J142" s="2">
        <f t="shared" si="38"/>
        <v>44955</v>
      </c>
      <c r="K142" t="s">
        <v>647</v>
      </c>
      <c r="L142" t="s">
        <v>654</v>
      </c>
      <c r="M142" t="s">
        <v>680</v>
      </c>
      <c r="N142" t="str">
        <f t="shared" si="39"/>
        <v>Asia - India - Delhi</v>
      </c>
      <c r="O142" t="s">
        <v>705</v>
      </c>
      <c r="P142" t="s">
        <v>709</v>
      </c>
      <c r="Q142" t="s">
        <v>723</v>
      </c>
      <c r="R142" t="s">
        <v>732</v>
      </c>
      <c r="S142" t="s">
        <v>874</v>
      </c>
      <c r="T142" s="6">
        <v>1463.92</v>
      </c>
      <c r="U142" s="8">
        <v>2252.2399999999998</v>
      </c>
      <c r="V142" s="8">
        <f t="shared" si="40"/>
        <v>2252.2399999999998</v>
      </c>
      <c r="W142" s="8" t="str">
        <f t="shared" si="41"/>
        <v>High</v>
      </c>
      <c r="X142" s="15">
        <v>0.11799999999999999</v>
      </c>
      <c r="Y142" s="15">
        <f t="shared" si="42"/>
        <v>0.11799999999999999</v>
      </c>
      <c r="Z142" t="str">
        <f t="shared" si="43"/>
        <v>No</v>
      </c>
      <c r="AA142" s="17">
        <v>44</v>
      </c>
      <c r="AB142" s="8">
        <f t="shared" si="44"/>
        <v>87404.929919999995</v>
      </c>
      <c r="AC142" s="8">
        <f t="shared" si="45"/>
        <v>64412.480000000003</v>
      </c>
      <c r="AD142" s="8">
        <f t="shared" si="46"/>
        <v>22992.449919999992</v>
      </c>
      <c r="AE142" s="15">
        <f t="shared" si="47"/>
        <v>0.26305667130040061</v>
      </c>
      <c r="AF142" s="34">
        <f>MIN(Y142,'Scenario Modeling'!$B$2)</f>
        <v>0.11799999999999999</v>
      </c>
      <c r="AG142">
        <f>ROUND(AA142 * (1 + 'Scenario Modeling'!$B$4), 0)</f>
        <v>44</v>
      </c>
      <c r="AH142">
        <f>T142 * (1 + 'Scenario Modeling'!$B$3)</f>
        <v>1463.92</v>
      </c>
      <c r="AI142" s="8">
        <f t="shared" si="48"/>
        <v>87404.929919999995</v>
      </c>
      <c r="AJ142" s="8">
        <f t="shared" si="49"/>
        <v>22992.449919999992</v>
      </c>
    </row>
    <row r="143" spans="1:36">
      <c r="A143" t="s">
        <v>156</v>
      </c>
      <c r="B143" s="4">
        <v>45649</v>
      </c>
      <c r="C143" s="28">
        <v>45649</v>
      </c>
      <c r="D143" s="28" t="str">
        <f t="shared" si="34"/>
        <v>Q4-2024</v>
      </c>
      <c r="E143" s="4">
        <v>45668</v>
      </c>
      <c r="F143" s="4">
        <v>45668</v>
      </c>
      <c r="G143" s="17">
        <f t="shared" si="35"/>
        <v>19</v>
      </c>
      <c r="H143" s="17">
        <f t="shared" si="36"/>
        <v>19</v>
      </c>
      <c r="I143" t="str">
        <f t="shared" si="37"/>
        <v>No</v>
      </c>
      <c r="J143" s="2">
        <f t="shared" si="38"/>
        <v>44948</v>
      </c>
      <c r="K143" t="s">
        <v>649</v>
      </c>
      <c r="L143" t="s">
        <v>656</v>
      </c>
      <c r="M143" t="s">
        <v>671</v>
      </c>
      <c r="N143" t="str">
        <f t="shared" si="39"/>
        <v>Europe - Germany - Berlin</v>
      </c>
      <c r="O143" t="s">
        <v>702</v>
      </c>
      <c r="P143" t="s">
        <v>707</v>
      </c>
      <c r="Q143" t="s">
        <v>723</v>
      </c>
      <c r="R143" t="s">
        <v>730</v>
      </c>
      <c r="S143" t="s">
        <v>875</v>
      </c>
      <c r="T143" s="6">
        <v>501.81</v>
      </c>
      <c r="U143" s="8">
        <v>921.62</v>
      </c>
      <c r="V143" s="8">
        <f t="shared" si="40"/>
        <v>921.62</v>
      </c>
      <c r="W143" s="8" t="str">
        <f t="shared" si="41"/>
        <v>Medium</v>
      </c>
      <c r="X143" s="15">
        <v>0.01</v>
      </c>
      <c r="Y143" s="15">
        <f t="shared" si="42"/>
        <v>0.01</v>
      </c>
      <c r="Z143" t="str">
        <f t="shared" si="43"/>
        <v>No</v>
      </c>
      <c r="AA143" s="17">
        <v>9</v>
      </c>
      <c r="AB143" s="8">
        <f t="shared" si="44"/>
        <v>8211.6342000000004</v>
      </c>
      <c r="AC143" s="8">
        <f t="shared" si="45"/>
        <v>4516.29</v>
      </c>
      <c r="AD143" s="8">
        <f t="shared" si="46"/>
        <v>3695.3442000000005</v>
      </c>
      <c r="AE143" s="15">
        <f t="shared" si="47"/>
        <v>0.45001325071202031</v>
      </c>
      <c r="AF143" s="34">
        <f>MIN(Y143,'Scenario Modeling'!$B$2)</f>
        <v>0.01</v>
      </c>
      <c r="AG143">
        <f>ROUND(AA143 * (1 + 'Scenario Modeling'!$B$4), 0)</f>
        <v>9</v>
      </c>
      <c r="AH143">
        <f>T143 * (1 + 'Scenario Modeling'!$B$3)</f>
        <v>501.81</v>
      </c>
      <c r="AI143" s="8">
        <f t="shared" si="48"/>
        <v>8211.6342000000004</v>
      </c>
      <c r="AJ143" s="8">
        <f t="shared" si="49"/>
        <v>3695.3442000000005</v>
      </c>
    </row>
    <row r="144" spans="1:36">
      <c r="A144" t="s">
        <v>157</v>
      </c>
      <c r="B144" s="4">
        <v>45133</v>
      </c>
      <c r="C144" s="28">
        <v>45133</v>
      </c>
      <c r="D144" s="28" t="str">
        <f t="shared" si="34"/>
        <v>Q3-2023</v>
      </c>
      <c r="E144" s="4">
        <v>45163</v>
      </c>
      <c r="F144" s="4">
        <v>45163</v>
      </c>
      <c r="G144" s="17">
        <f t="shared" si="35"/>
        <v>30</v>
      </c>
      <c r="H144" s="17">
        <f t="shared" si="36"/>
        <v>30</v>
      </c>
      <c r="I144" t="str">
        <f t="shared" si="37"/>
        <v>No</v>
      </c>
      <c r="J144" s="2">
        <f t="shared" si="38"/>
        <v>44939</v>
      </c>
      <c r="K144" t="s">
        <v>648</v>
      </c>
      <c r="L144" t="s">
        <v>660</v>
      </c>
      <c r="M144" t="s">
        <v>700</v>
      </c>
      <c r="N144" t="str">
        <f t="shared" si="39"/>
        <v>Americas - USA - New York</v>
      </c>
      <c r="O144" t="s">
        <v>704</v>
      </c>
      <c r="P144" t="s">
        <v>707</v>
      </c>
      <c r="Q144" t="s">
        <v>724</v>
      </c>
      <c r="R144" t="s">
        <v>733</v>
      </c>
      <c r="S144" t="s">
        <v>876</v>
      </c>
      <c r="T144" s="6">
        <v>1261.48</v>
      </c>
      <c r="U144" s="8">
        <v>1643.18</v>
      </c>
      <c r="V144" s="8">
        <f t="shared" si="40"/>
        <v>1643.18</v>
      </c>
      <c r="W144" s="8" t="str">
        <f t="shared" si="41"/>
        <v>High</v>
      </c>
      <c r="X144" s="15">
        <v>0.151</v>
      </c>
      <c r="Y144" s="15">
        <f t="shared" si="42"/>
        <v>0.151</v>
      </c>
      <c r="Z144" t="str">
        <f t="shared" si="43"/>
        <v>No</v>
      </c>
      <c r="AA144" s="17">
        <v>23</v>
      </c>
      <c r="AB144" s="8">
        <f t="shared" si="44"/>
        <v>32086.37586</v>
      </c>
      <c r="AC144" s="8">
        <f t="shared" si="45"/>
        <v>29014.04</v>
      </c>
      <c r="AD144" s="8">
        <f t="shared" si="46"/>
        <v>3072.3358599999992</v>
      </c>
      <c r="AE144" s="15">
        <f t="shared" si="47"/>
        <v>9.5752037357079045E-2</v>
      </c>
      <c r="AF144" s="34">
        <f>MIN(Y144,'Scenario Modeling'!$B$2)</f>
        <v>0.151</v>
      </c>
      <c r="AG144">
        <f>ROUND(AA144 * (1 + 'Scenario Modeling'!$B$4), 0)</f>
        <v>23</v>
      </c>
      <c r="AH144">
        <f>T144 * (1 + 'Scenario Modeling'!$B$3)</f>
        <v>1261.48</v>
      </c>
      <c r="AI144" s="8">
        <f t="shared" si="48"/>
        <v>32086.37586</v>
      </c>
      <c r="AJ144" s="8">
        <f t="shared" si="49"/>
        <v>3072.3358599999992</v>
      </c>
    </row>
    <row r="145" spans="1:36">
      <c r="A145" t="s">
        <v>158</v>
      </c>
      <c r="B145" s="4">
        <v>45458</v>
      </c>
      <c r="C145" s="28">
        <v>45458</v>
      </c>
      <c r="D145" s="28" t="str">
        <f t="shared" si="34"/>
        <v>Q2-2024</v>
      </c>
      <c r="E145" s="4">
        <v>45479</v>
      </c>
      <c r="F145" s="4">
        <v>45479</v>
      </c>
      <c r="G145" s="17">
        <f t="shared" si="35"/>
        <v>21</v>
      </c>
      <c r="H145" s="17">
        <f t="shared" si="36"/>
        <v>21</v>
      </c>
      <c r="I145" t="str">
        <f t="shared" si="37"/>
        <v>No</v>
      </c>
      <c r="J145" s="2">
        <f t="shared" si="38"/>
        <v>44928</v>
      </c>
      <c r="K145" t="s">
        <v>648</v>
      </c>
      <c r="L145" t="s">
        <v>653</v>
      </c>
      <c r="M145" t="s">
        <v>667</v>
      </c>
      <c r="N145" t="str">
        <f t="shared" si="39"/>
        <v>Americas - Canada - Toronto</v>
      </c>
      <c r="O145" t="s">
        <v>706</v>
      </c>
      <c r="P145" t="s">
        <v>710</v>
      </c>
      <c r="Q145" t="s">
        <v>716</v>
      </c>
      <c r="R145" t="s">
        <v>728</v>
      </c>
      <c r="S145" t="s">
        <v>877</v>
      </c>
      <c r="T145" s="6">
        <v>817.23</v>
      </c>
      <c r="U145" s="8">
        <v>1467.17</v>
      </c>
      <c r="V145" s="8">
        <f t="shared" si="40"/>
        <v>1467.17</v>
      </c>
      <c r="W145" s="8" t="str">
        <f t="shared" si="41"/>
        <v>Medium</v>
      </c>
      <c r="X145" s="15">
        <v>0.245</v>
      </c>
      <c r="Y145" s="15">
        <f t="shared" si="42"/>
        <v>0.245</v>
      </c>
      <c r="Z145" t="str">
        <f t="shared" si="43"/>
        <v>Yes</v>
      </c>
      <c r="AA145" s="17">
        <v>9</v>
      </c>
      <c r="AB145" s="8">
        <f t="shared" si="44"/>
        <v>9969.4201499999999</v>
      </c>
      <c r="AC145" s="8">
        <f t="shared" si="45"/>
        <v>7355.07</v>
      </c>
      <c r="AD145" s="8">
        <f t="shared" si="46"/>
        <v>2614.3501500000002</v>
      </c>
      <c r="AE145" s="15">
        <f t="shared" si="47"/>
        <v>0.26223693160328893</v>
      </c>
      <c r="AF145" s="34">
        <f>MIN(Y145,'Scenario Modeling'!$B$2)</f>
        <v>0.245</v>
      </c>
      <c r="AG145">
        <f>ROUND(AA145 * (1 + 'Scenario Modeling'!$B$4), 0)</f>
        <v>9</v>
      </c>
      <c r="AH145">
        <f>T145 * (1 + 'Scenario Modeling'!$B$3)</f>
        <v>817.23</v>
      </c>
      <c r="AI145" s="8">
        <f t="shared" si="48"/>
        <v>9969.4201499999999</v>
      </c>
      <c r="AJ145" s="8">
        <f t="shared" si="49"/>
        <v>2614.3501500000002</v>
      </c>
    </row>
    <row r="146" spans="1:36">
      <c r="A146" t="s">
        <v>159</v>
      </c>
      <c r="B146" s="4">
        <v>45112</v>
      </c>
      <c r="C146" s="28">
        <v>45112</v>
      </c>
      <c r="D146" s="28" t="str">
        <f t="shared" si="34"/>
        <v>Q3-2023</v>
      </c>
      <c r="E146" s="4">
        <v>45121</v>
      </c>
      <c r="F146" s="4">
        <v>45121</v>
      </c>
      <c r="G146" s="17">
        <f t="shared" si="35"/>
        <v>9</v>
      </c>
      <c r="H146" s="17">
        <f t="shared" si="36"/>
        <v>9</v>
      </c>
      <c r="I146" t="str">
        <f t="shared" si="37"/>
        <v>No</v>
      </c>
      <c r="J146" s="2">
        <f t="shared" si="38"/>
        <v>44955</v>
      </c>
      <c r="K146" t="s">
        <v>648</v>
      </c>
      <c r="L146" t="s">
        <v>655</v>
      </c>
      <c r="M146" t="s">
        <v>672</v>
      </c>
      <c r="N146" t="str">
        <f t="shared" si="39"/>
        <v>Americas - Brazil - Brasília</v>
      </c>
      <c r="O146" t="s">
        <v>706</v>
      </c>
      <c r="P146" t="s">
        <v>711</v>
      </c>
      <c r="Q146" t="s">
        <v>717</v>
      </c>
      <c r="R146" t="s">
        <v>729</v>
      </c>
      <c r="S146" t="s">
        <v>878</v>
      </c>
      <c r="T146" s="6">
        <v>578.85</v>
      </c>
      <c r="U146" s="8">
        <v>998.76</v>
      </c>
      <c r="V146" s="8">
        <f t="shared" si="40"/>
        <v>998.76</v>
      </c>
      <c r="W146" s="8" t="str">
        <f t="shared" si="41"/>
        <v>Medium</v>
      </c>
      <c r="X146" s="15">
        <v>8.2000000000000003E-2</v>
      </c>
      <c r="Y146" s="15">
        <f t="shared" si="42"/>
        <v>8.2000000000000003E-2</v>
      </c>
      <c r="Z146" t="str">
        <f t="shared" si="43"/>
        <v>No</v>
      </c>
      <c r="AA146" s="17">
        <v>28</v>
      </c>
      <c r="AB146" s="8">
        <f t="shared" si="44"/>
        <v>25672.127039999999</v>
      </c>
      <c r="AC146" s="8">
        <f t="shared" si="45"/>
        <v>16207.800000000001</v>
      </c>
      <c r="AD146" s="8">
        <f t="shared" si="46"/>
        <v>9464.3270399999983</v>
      </c>
      <c r="AE146" s="15">
        <f t="shared" si="47"/>
        <v>0.36866158480960831</v>
      </c>
      <c r="AF146" s="34">
        <f>MIN(Y146,'Scenario Modeling'!$B$2)</f>
        <v>8.2000000000000003E-2</v>
      </c>
      <c r="AG146">
        <f>ROUND(AA146 * (1 + 'Scenario Modeling'!$B$4), 0)</f>
        <v>28</v>
      </c>
      <c r="AH146">
        <f>T146 * (1 + 'Scenario Modeling'!$B$3)</f>
        <v>578.85</v>
      </c>
      <c r="AI146" s="8">
        <f t="shared" si="48"/>
        <v>25672.127039999999</v>
      </c>
      <c r="AJ146" s="8">
        <f t="shared" si="49"/>
        <v>9464.3270399999983</v>
      </c>
    </row>
    <row r="147" spans="1:36">
      <c r="A147" t="s">
        <v>160</v>
      </c>
      <c r="B147" s="4">
        <v>45260</v>
      </c>
      <c r="C147" s="28">
        <v>45260</v>
      </c>
      <c r="D147" s="28" t="str">
        <f t="shared" si="34"/>
        <v>Q4-2023</v>
      </c>
      <c r="E147" s="4">
        <v>45259</v>
      </c>
      <c r="F147" s="4">
        <f>B147+17</f>
        <v>45277</v>
      </c>
      <c r="G147" s="17">
        <f t="shared" si="35"/>
        <v>-1</v>
      </c>
      <c r="H147" s="17">
        <f t="shared" si="36"/>
        <v>17</v>
      </c>
      <c r="I147" t="str">
        <f t="shared" si="37"/>
        <v>No</v>
      </c>
      <c r="J147" s="2">
        <f t="shared" si="38"/>
        <v>44933</v>
      </c>
      <c r="K147" t="s">
        <v>646</v>
      </c>
      <c r="L147" t="s">
        <v>661</v>
      </c>
      <c r="M147" t="s">
        <v>687</v>
      </c>
      <c r="N147" t="str">
        <f t="shared" si="39"/>
        <v>Africa - South Africa - Durban</v>
      </c>
      <c r="O147" t="s">
        <v>705</v>
      </c>
      <c r="P147" t="s">
        <v>709</v>
      </c>
      <c r="Q147" t="s">
        <v>718</v>
      </c>
      <c r="R147" t="s">
        <v>731</v>
      </c>
      <c r="S147" t="s">
        <v>879</v>
      </c>
      <c r="T147" s="6">
        <v>275.56</v>
      </c>
      <c r="U147" s="8">
        <v>630.72</v>
      </c>
      <c r="V147" s="8">
        <f t="shared" si="40"/>
        <v>630.72</v>
      </c>
      <c r="W147" s="8" t="str">
        <f t="shared" si="41"/>
        <v>Low</v>
      </c>
      <c r="X147" s="15">
        <v>0.107</v>
      </c>
      <c r="Y147" s="15">
        <f t="shared" si="42"/>
        <v>0.107</v>
      </c>
      <c r="Z147" t="str">
        <f t="shared" si="43"/>
        <v>No</v>
      </c>
      <c r="AA147" s="17">
        <v>23</v>
      </c>
      <c r="AB147" s="8">
        <f t="shared" si="44"/>
        <v>12954.358080000002</v>
      </c>
      <c r="AC147" s="8">
        <f t="shared" si="45"/>
        <v>6337.88</v>
      </c>
      <c r="AD147" s="8">
        <f t="shared" si="46"/>
        <v>6616.4780800000017</v>
      </c>
      <c r="AE147" s="15">
        <f t="shared" si="47"/>
        <v>0.5107530638831933</v>
      </c>
      <c r="AF147" s="34">
        <f>MIN(Y147,'Scenario Modeling'!$B$2)</f>
        <v>0.107</v>
      </c>
      <c r="AG147">
        <f>ROUND(AA147 * (1 + 'Scenario Modeling'!$B$4), 0)</f>
        <v>23</v>
      </c>
      <c r="AH147">
        <f>T147 * (1 + 'Scenario Modeling'!$B$3)</f>
        <v>275.56</v>
      </c>
      <c r="AI147" s="8">
        <f t="shared" si="48"/>
        <v>12954.358080000002</v>
      </c>
      <c r="AJ147" s="8">
        <f t="shared" si="49"/>
        <v>6616.4780800000017</v>
      </c>
    </row>
    <row r="148" spans="1:36">
      <c r="A148" t="s">
        <v>161</v>
      </c>
      <c r="B148" s="4">
        <v>45911</v>
      </c>
      <c r="C148" s="28">
        <v>45911</v>
      </c>
      <c r="D148" s="28" t="str">
        <f t="shared" si="34"/>
        <v>Q3-2025</v>
      </c>
      <c r="E148" s="4">
        <v>45928</v>
      </c>
      <c r="F148" s="4">
        <v>45928</v>
      </c>
      <c r="G148" s="17">
        <f t="shared" si="35"/>
        <v>17</v>
      </c>
      <c r="H148" s="17">
        <f t="shared" si="36"/>
        <v>17</v>
      </c>
      <c r="I148" t="str">
        <f t="shared" si="37"/>
        <v>No</v>
      </c>
      <c r="J148" s="2">
        <f t="shared" si="38"/>
        <v>44946</v>
      </c>
      <c r="K148" t="s">
        <v>646</v>
      </c>
      <c r="L148" t="s">
        <v>650</v>
      </c>
      <c r="M148" t="s">
        <v>664</v>
      </c>
      <c r="N148" t="str">
        <f t="shared" si="39"/>
        <v>Africa - Kenya - Nairobi</v>
      </c>
      <c r="O148" t="s">
        <v>703</v>
      </c>
      <c r="P148" t="s">
        <v>710</v>
      </c>
      <c r="Q148" t="s">
        <v>713</v>
      </c>
      <c r="R148" t="s">
        <v>731</v>
      </c>
      <c r="S148" t="s">
        <v>880</v>
      </c>
      <c r="T148" s="6">
        <v>891.46</v>
      </c>
      <c r="U148" s="8">
        <v>728.61</v>
      </c>
      <c r="V148" s="8">
        <f t="shared" si="40"/>
        <v>728.61</v>
      </c>
      <c r="W148" s="8" t="str">
        <f t="shared" si="41"/>
        <v>Low</v>
      </c>
      <c r="X148" s="15">
        <v>0.185</v>
      </c>
      <c r="Y148" s="15">
        <f t="shared" si="42"/>
        <v>0.185</v>
      </c>
      <c r="Z148" t="str">
        <f t="shared" si="43"/>
        <v>No</v>
      </c>
      <c r="AA148" s="17">
        <v>6</v>
      </c>
      <c r="AB148" s="8">
        <f t="shared" si="44"/>
        <v>3562.9028999999996</v>
      </c>
      <c r="AC148" s="8">
        <f t="shared" si="45"/>
        <v>5348.76</v>
      </c>
      <c r="AD148" s="8">
        <f t="shared" si="46"/>
        <v>-1785.8571000000006</v>
      </c>
      <c r="AE148" s="15">
        <f t="shared" si="47"/>
        <v>-0.50123653383874167</v>
      </c>
      <c r="AF148" s="34">
        <f>MIN(Y148,'Scenario Modeling'!$B$2)</f>
        <v>0.185</v>
      </c>
      <c r="AG148">
        <f>ROUND(AA148 * (1 + 'Scenario Modeling'!$B$4), 0)</f>
        <v>6</v>
      </c>
      <c r="AH148">
        <f>T148 * (1 + 'Scenario Modeling'!$B$3)</f>
        <v>891.46</v>
      </c>
      <c r="AI148" s="8">
        <f t="shared" si="48"/>
        <v>3562.9028999999996</v>
      </c>
      <c r="AJ148" s="8">
        <f t="shared" si="49"/>
        <v>-1785.8571000000006</v>
      </c>
    </row>
    <row r="149" spans="1:36">
      <c r="A149" t="s">
        <v>162</v>
      </c>
      <c r="B149" s="4">
        <v>45386</v>
      </c>
      <c r="C149" s="28">
        <v>45386</v>
      </c>
      <c r="D149" s="28" t="str">
        <f t="shared" si="34"/>
        <v>Q2-2024</v>
      </c>
      <c r="E149" s="4">
        <v>45406</v>
      </c>
      <c r="F149" s="4">
        <v>45406</v>
      </c>
      <c r="G149" s="17">
        <f t="shared" si="35"/>
        <v>20</v>
      </c>
      <c r="H149" s="17">
        <f t="shared" si="36"/>
        <v>20</v>
      </c>
      <c r="I149" t="str">
        <f t="shared" si="37"/>
        <v>No</v>
      </c>
      <c r="J149" s="2">
        <f t="shared" si="38"/>
        <v>44948</v>
      </c>
      <c r="K149" t="s">
        <v>649</v>
      </c>
      <c r="L149" t="s">
        <v>656</v>
      </c>
      <c r="M149" t="s">
        <v>698</v>
      </c>
      <c r="N149" t="str">
        <f t="shared" si="39"/>
        <v>Europe - Germany - Frankfurt</v>
      </c>
      <c r="O149" t="s">
        <v>703</v>
      </c>
      <c r="P149" t="s">
        <v>711</v>
      </c>
      <c r="Q149" t="s">
        <v>719</v>
      </c>
      <c r="R149" t="s">
        <v>733</v>
      </c>
      <c r="S149" t="s">
        <v>881</v>
      </c>
      <c r="T149" s="6">
        <v>683.42</v>
      </c>
      <c r="U149" s="8">
        <v>951.51</v>
      </c>
      <c r="V149" s="8">
        <f t="shared" si="40"/>
        <v>951.51</v>
      </c>
      <c r="W149" s="8" t="str">
        <f t="shared" si="41"/>
        <v>Medium</v>
      </c>
      <c r="X149" s="15">
        <v>0</v>
      </c>
      <c r="Y149" s="15">
        <f t="shared" si="42"/>
        <v>0</v>
      </c>
      <c r="Z149" t="str">
        <f t="shared" si="43"/>
        <v>No</v>
      </c>
      <c r="AA149" s="17">
        <v>14</v>
      </c>
      <c r="AB149" s="8">
        <f t="shared" si="44"/>
        <v>13321.14</v>
      </c>
      <c r="AC149" s="8">
        <f t="shared" si="45"/>
        <v>9567.8799999999992</v>
      </c>
      <c r="AD149" s="8">
        <f t="shared" si="46"/>
        <v>3753.26</v>
      </c>
      <c r="AE149" s="15">
        <f t="shared" si="47"/>
        <v>0.28175216235247136</v>
      </c>
      <c r="AF149" s="34">
        <f>MIN(Y149,'Scenario Modeling'!$B$2)</f>
        <v>0</v>
      </c>
      <c r="AG149">
        <f>ROUND(AA149 * (1 + 'Scenario Modeling'!$B$4), 0)</f>
        <v>14</v>
      </c>
      <c r="AH149">
        <f>T149 * (1 + 'Scenario Modeling'!$B$3)</f>
        <v>683.42</v>
      </c>
      <c r="AI149" s="8">
        <f t="shared" si="48"/>
        <v>13321.14</v>
      </c>
      <c r="AJ149" s="8">
        <f t="shared" si="49"/>
        <v>3753.26</v>
      </c>
    </row>
    <row r="150" spans="1:36">
      <c r="A150" t="s">
        <v>163</v>
      </c>
      <c r="B150" s="4">
        <v>45183</v>
      </c>
      <c r="C150" s="28">
        <v>45183</v>
      </c>
      <c r="D150" s="28" t="str">
        <f t="shared" si="34"/>
        <v>Q3-2023</v>
      </c>
      <c r="E150" s="4">
        <v>45185</v>
      </c>
      <c r="F150" s="4">
        <v>45185</v>
      </c>
      <c r="G150" s="17">
        <f t="shared" si="35"/>
        <v>2</v>
      </c>
      <c r="H150" s="17">
        <f t="shared" si="36"/>
        <v>2</v>
      </c>
      <c r="I150" t="str">
        <f t="shared" si="37"/>
        <v>Yes</v>
      </c>
      <c r="J150" s="2">
        <f t="shared" si="38"/>
        <v>44936</v>
      </c>
      <c r="K150" t="s">
        <v>649</v>
      </c>
      <c r="L150" t="s">
        <v>657</v>
      </c>
      <c r="M150" t="s">
        <v>679</v>
      </c>
      <c r="N150" t="str">
        <f t="shared" si="39"/>
        <v>Europe - France - Lyon</v>
      </c>
      <c r="O150" t="s">
        <v>703</v>
      </c>
      <c r="P150" t="s">
        <v>711</v>
      </c>
      <c r="Q150" t="s">
        <v>717</v>
      </c>
      <c r="R150" t="s">
        <v>728</v>
      </c>
      <c r="S150" t="s">
        <v>882</v>
      </c>
      <c r="T150" s="6">
        <v>376.83</v>
      </c>
      <c r="U150" s="8">
        <v>732.88</v>
      </c>
      <c r="V150" s="8">
        <f t="shared" si="40"/>
        <v>732.88</v>
      </c>
      <c r="W150" s="8" t="str">
        <f t="shared" si="41"/>
        <v>Low</v>
      </c>
      <c r="X150" s="15">
        <v>0.188</v>
      </c>
      <c r="Y150" s="15">
        <f t="shared" si="42"/>
        <v>0.188</v>
      </c>
      <c r="Z150" t="str">
        <f t="shared" si="43"/>
        <v>No</v>
      </c>
      <c r="AA150" s="17">
        <v>25</v>
      </c>
      <c r="AB150" s="8">
        <f t="shared" si="44"/>
        <v>14877.464000000002</v>
      </c>
      <c r="AC150" s="8">
        <f t="shared" si="45"/>
        <v>9420.75</v>
      </c>
      <c r="AD150" s="8">
        <f t="shared" si="46"/>
        <v>5456.7140000000018</v>
      </c>
      <c r="AE150" s="15">
        <f t="shared" si="47"/>
        <v>0.36677716040852132</v>
      </c>
      <c r="AF150" s="34">
        <f>MIN(Y150,'Scenario Modeling'!$B$2)</f>
        <v>0.188</v>
      </c>
      <c r="AG150">
        <f>ROUND(AA150 * (1 + 'Scenario Modeling'!$B$4), 0)</f>
        <v>25</v>
      </c>
      <c r="AH150">
        <f>T150 * (1 + 'Scenario Modeling'!$B$3)</f>
        <v>376.83</v>
      </c>
      <c r="AI150" s="8">
        <f t="shared" si="48"/>
        <v>14877.464000000002</v>
      </c>
      <c r="AJ150" s="8">
        <f t="shared" si="49"/>
        <v>5456.7140000000018</v>
      </c>
    </row>
    <row r="151" spans="1:36">
      <c r="A151" t="s">
        <v>164</v>
      </c>
      <c r="B151" s="4">
        <v>45558</v>
      </c>
      <c r="C151" s="28">
        <v>45558</v>
      </c>
      <c r="D151" s="28" t="str">
        <f t="shared" si="34"/>
        <v>Q3-2024</v>
      </c>
      <c r="E151" s="4">
        <v>45583</v>
      </c>
      <c r="F151" s="4">
        <v>45583</v>
      </c>
      <c r="G151" s="17">
        <f t="shared" si="35"/>
        <v>25</v>
      </c>
      <c r="H151" s="17">
        <f t="shared" si="36"/>
        <v>25</v>
      </c>
      <c r="I151" t="str">
        <f t="shared" si="37"/>
        <v>No</v>
      </c>
      <c r="J151" s="2">
        <f t="shared" si="38"/>
        <v>44928</v>
      </c>
      <c r="K151" t="s">
        <v>648</v>
      </c>
      <c r="L151" t="s">
        <v>653</v>
      </c>
      <c r="M151" t="s">
        <v>688</v>
      </c>
      <c r="N151" t="str">
        <f t="shared" si="39"/>
        <v>Americas - Canada - Vancouver</v>
      </c>
      <c r="O151" t="s">
        <v>705</v>
      </c>
      <c r="P151" t="s">
        <v>708</v>
      </c>
      <c r="Q151" t="s">
        <v>725</v>
      </c>
      <c r="R151" t="s">
        <v>730</v>
      </c>
      <c r="S151" t="s">
        <v>883</v>
      </c>
      <c r="T151" s="6">
        <v>1297</v>
      </c>
      <c r="U151" s="8">
        <v>2411.52</v>
      </c>
      <c r="V151" s="8">
        <f t="shared" si="40"/>
        <v>2411.52</v>
      </c>
      <c r="W151" s="8" t="str">
        <f t="shared" si="41"/>
        <v>High</v>
      </c>
      <c r="X151" s="15">
        <v>2.1000000000000001E-2</v>
      </c>
      <c r="Y151" s="15">
        <f t="shared" si="42"/>
        <v>2.1000000000000001E-2</v>
      </c>
      <c r="Z151" t="str">
        <f t="shared" si="43"/>
        <v>No</v>
      </c>
      <c r="AA151" s="17">
        <v>18</v>
      </c>
      <c r="AB151" s="8">
        <f t="shared" si="44"/>
        <v>42495.805439999996</v>
      </c>
      <c r="AC151" s="8">
        <f t="shared" si="45"/>
        <v>23346</v>
      </c>
      <c r="AD151" s="8">
        <f t="shared" si="46"/>
        <v>19149.805439999996</v>
      </c>
      <c r="AE151" s="15">
        <f t="shared" si="47"/>
        <v>0.45062813239385913</v>
      </c>
      <c r="AF151" s="34">
        <f>MIN(Y151,'Scenario Modeling'!$B$2)</f>
        <v>2.1000000000000001E-2</v>
      </c>
      <c r="AG151">
        <f>ROUND(AA151 * (1 + 'Scenario Modeling'!$B$4), 0)</f>
        <v>18</v>
      </c>
      <c r="AH151">
        <f>T151 * (1 + 'Scenario Modeling'!$B$3)</f>
        <v>1297</v>
      </c>
      <c r="AI151" s="8">
        <f t="shared" si="48"/>
        <v>42495.805439999996</v>
      </c>
      <c r="AJ151" s="8">
        <f t="shared" si="49"/>
        <v>19149.805439999996</v>
      </c>
    </row>
    <row r="152" spans="1:36">
      <c r="A152" t="s">
        <v>165</v>
      </c>
      <c r="B152" s="4">
        <v>45763</v>
      </c>
      <c r="C152" s="28">
        <v>45763</v>
      </c>
      <c r="D152" s="28" t="str">
        <f t="shared" si="34"/>
        <v>Q2-2025</v>
      </c>
      <c r="E152" s="4">
        <v>45793</v>
      </c>
      <c r="F152" s="4">
        <v>45793</v>
      </c>
      <c r="G152" s="17">
        <f t="shared" si="35"/>
        <v>30</v>
      </c>
      <c r="H152" s="17">
        <f t="shared" si="36"/>
        <v>30</v>
      </c>
      <c r="I152" t="str">
        <f t="shared" si="37"/>
        <v>No</v>
      </c>
      <c r="J152" s="2">
        <f t="shared" si="38"/>
        <v>44928</v>
      </c>
      <c r="K152" t="s">
        <v>648</v>
      </c>
      <c r="L152" t="s">
        <v>653</v>
      </c>
      <c r="M152" t="s">
        <v>681</v>
      </c>
      <c r="N152" t="str">
        <f t="shared" si="39"/>
        <v>Americas - Canada - Montreal</v>
      </c>
      <c r="O152" t="s">
        <v>706</v>
      </c>
      <c r="P152" t="s">
        <v>710</v>
      </c>
      <c r="Q152" t="s">
        <v>723</v>
      </c>
      <c r="R152" t="s">
        <v>728</v>
      </c>
      <c r="S152" t="s">
        <v>884</v>
      </c>
      <c r="T152" s="6">
        <v>763.32</v>
      </c>
      <c r="U152" s="8">
        <v>568.29</v>
      </c>
      <c r="V152" s="8">
        <f t="shared" si="40"/>
        <v>568.29</v>
      </c>
      <c r="W152" s="8" t="str">
        <f t="shared" si="41"/>
        <v>Low</v>
      </c>
      <c r="X152" s="15">
        <v>0.13100000000000001</v>
      </c>
      <c r="Y152" s="15">
        <f t="shared" si="42"/>
        <v>0.13100000000000001</v>
      </c>
      <c r="Z152" t="str">
        <f t="shared" si="43"/>
        <v>No</v>
      </c>
      <c r="AA152" s="17">
        <v>16</v>
      </c>
      <c r="AB152" s="8">
        <f t="shared" si="44"/>
        <v>7901.5041599999995</v>
      </c>
      <c r="AC152" s="8">
        <f t="shared" si="45"/>
        <v>12213.12</v>
      </c>
      <c r="AD152" s="8">
        <f t="shared" si="46"/>
        <v>-4311.6158400000013</v>
      </c>
      <c r="AE152" s="15">
        <f t="shared" si="47"/>
        <v>-0.54567026134426555</v>
      </c>
      <c r="AF152" s="34">
        <f>MIN(Y152,'Scenario Modeling'!$B$2)</f>
        <v>0.13100000000000001</v>
      </c>
      <c r="AG152">
        <f>ROUND(AA152 * (1 + 'Scenario Modeling'!$B$4), 0)</f>
        <v>16</v>
      </c>
      <c r="AH152">
        <f>T152 * (1 + 'Scenario Modeling'!$B$3)</f>
        <v>763.32</v>
      </c>
      <c r="AI152" s="8">
        <f t="shared" si="48"/>
        <v>7901.5041599999995</v>
      </c>
      <c r="AJ152" s="8">
        <f t="shared" si="49"/>
        <v>-4311.6158400000013</v>
      </c>
    </row>
    <row r="153" spans="1:36">
      <c r="A153" t="s">
        <v>166</v>
      </c>
      <c r="B153" s="4">
        <v>45110</v>
      </c>
      <c r="C153" s="28">
        <v>45110</v>
      </c>
      <c r="D153" s="28" t="str">
        <f t="shared" si="34"/>
        <v>Q3-2023</v>
      </c>
      <c r="E153" s="4">
        <v>45130</v>
      </c>
      <c r="F153" s="4">
        <v>45130</v>
      </c>
      <c r="G153" s="17">
        <f t="shared" si="35"/>
        <v>20</v>
      </c>
      <c r="H153" s="17">
        <f t="shared" si="36"/>
        <v>20</v>
      </c>
      <c r="I153" t="str">
        <f t="shared" si="37"/>
        <v>No</v>
      </c>
      <c r="J153" s="2">
        <f t="shared" si="38"/>
        <v>44933</v>
      </c>
      <c r="K153" t="s">
        <v>646</v>
      </c>
      <c r="L153" t="s">
        <v>661</v>
      </c>
      <c r="M153" t="s">
        <v>682</v>
      </c>
      <c r="N153" t="str">
        <f t="shared" si="39"/>
        <v>Africa - South Africa - Johannesburg</v>
      </c>
      <c r="O153" t="s">
        <v>705</v>
      </c>
      <c r="P153" t="s">
        <v>710</v>
      </c>
      <c r="Q153" t="s">
        <v>721</v>
      </c>
      <c r="R153" t="s">
        <v>731</v>
      </c>
      <c r="S153" t="s">
        <v>885</v>
      </c>
      <c r="T153" s="6">
        <v>1001.96</v>
      </c>
      <c r="U153" s="8">
        <v>1254.95</v>
      </c>
      <c r="V153" s="8">
        <f t="shared" si="40"/>
        <v>1254.95</v>
      </c>
      <c r="W153" s="8" t="str">
        <f t="shared" si="41"/>
        <v>Medium</v>
      </c>
      <c r="X153" s="15">
        <v>4.4999999999999998E-2</v>
      </c>
      <c r="Y153" s="15">
        <f t="shared" si="42"/>
        <v>4.4999999999999998E-2</v>
      </c>
      <c r="Z153" t="str">
        <f t="shared" si="43"/>
        <v>No</v>
      </c>
      <c r="AA153" s="17">
        <v>18</v>
      </c>
      <c r="AB153" s="8">
        <f t="shared" si="44"/>
        <v>21572.590500000002</v>
      </c>
      <c r="AC153" s="8">
        <f t="shared" si="45"/>
        <v>18035.28</v>
      </c>
      <c r="AD153" s="8">
        <f t="shared" si="46"/>
        <v>3537.3105000000032</v>
      </c>
      <c r="AE153" s="15">
        <f t="shared" si="47"/>
        <v>0.16397244920585699</v>
      </c>
      <c r="AF153" s="34">
        <f>MIN(Y153,'Scenario Modeling'!$B$2)</f>
        <v>4.4999999999999998E-2</v>
      </c>
      <c r="AG153">
        <f>ROUND(AA153 * (1 + 'Scenario Modeling'!$B$4), 0)</f>
        <v>18</v>
      </c>
      <c r="AH153">
        <f>T153 * (1 + 'Scenario Modeling'!$B$3)</f>
        <v>1001.96</v>
      </c>
      <c r="AI153" s="8">
        <f t="shared" si="48"/>
        <v>21572.590500000002</v>
      </c>
      <c r="AJ153" s="8">
        <f t="shared" si="49"/>
        <v>3537.3105000000032</v>
      </c>
    </row>
    <row r="154" spans="1:36">
      <c r="A154" t="s">
        <v>167</v>
      </c>
      <c r="B154" s="4">
        <v>45267</v>
      </c>
      <c r="C154" s="28">
        <v>45267</v>
      </c>
      <c r="D154" s="28" t="str">
        <f t="shared" si="34"/>
        <v>Q4-2023</v>
      </c>
      <c r="E154" s="4">
        <v>45265</v>
      </c>
      <c r="F154" s="4">
        <f>B154+8</f>
        <v>45275</v>
      </c>
      <c r="G154" s="17">
        <f t="shared" si="35"/>
        <v>-2</v>
      </c>
      <c r="H154" s="17">
        <f t="shared" si="36"/>
        <v>8</v>
      </c>
      <c r="I154" t="str">
        <f t="shared" si="37"/>
        <v>No</v>
      </c>
      <c r="J154" s="2">
        <f t="shared" si="38"/>
        <v>44988</v>
      </c>
      <c r="K154" t="s">
        <v>647</v>
      </c>
      <c r="L154" t="s">
        <v>652</v>
      </c>
      <c r="M154" t="s">
        <v>689</v>
      </c>
      <c r="N154" t="str">
        <f t="shared" si="39"/>
        <v>Asia - Japan - Tokyo</v>
      </c>
      <c r="O154" t="s">
        <v>703</v>
      </c>
      <c r="P154" t="s">
        <v>709</v>
      </c>
      <c r="Q154" t="s">
        <v>722</v>
      </c>
      <c r="R154" t="s">
        <v>728</v>
      </c>
      <c r="S154" t="s">
        <v>886</v>
      </c>
      <c r="T154" s="6">
        <v>1097.5899999999999</v>
      </c>
      <c r="U154" s="8">
        <v>845.55</v>
      </c>
      <c r="V154" s="8">
        <f t="shared" si="40"/>
        <v>845.55</v>
      </c>
      <c r="W154" s="8" t="str">
        <f t="shared" si="41"/>
        <v>Medium</v>
      </c>
      <c r="X154" s="15">
        <v>0.184</v>
      </c>
      <c r="Y154" s="15">
        <f t="shared" si="42"/>
        <v>0.184</v>
      </c>
      <c r="Z154" t="str">
        <f t="shared" si="43"/>
        <v>No</v>
      </c>
      <c r="AA154" s="17">
        <v>6</v>
      </c>
      <c r="AB154" s="8">
        <f t="shared" si="44"/>
        <v>4139.8127999999997</v>
      </c>
      <c r="AC154" s="8">
        <f t="shared" si="45"/>
        <v>6585.5399999999991</v>
      </c>
      <c r="AD154" s="8">
        <f t="shared" si="46"/>
        <v>-2445.7271999999994</v>
      </c>
      <c r="AE154" s="15">
        <f t="shared" si="47"/>
        <v>-0.59078207594314402</v>
      </c>
      <c r="AF154" s="34">
        <f>MIN(Y154,'Scenario Modeling'!$B$2)</f>
        <v>0.184</v>
      </c>
      <c r="AG154">
        <f>ROUND(AA154 * (1 + 'Scenario Modeling'!$B$4), 0)</f>
        <v>6</v>
      </c>
      <c r="AH154">
        <f>T154 * (1 + 'Scenario Modeling'!$B$3)</f>
        <v>1097.5899999999999</v>
      </c>
      <c r="AI154" s="8">
        <f t="shared" si="48"/>
        <v>4139.8127999999997</v>
      </c>
      <c r="AJ154" s="8">
        <f t="shared" si="49"/>
        <v>-2445.7271999999994</v>
      </c>
    </row>
    <row r="155" spans="1:36">
      <c r="A155" t="s">
        <v>168</v>
      </c>
      <c r="B155" s="4">
        <v>45340</v>
      </c>
      <c r="C155" s="28">
        <v>45340</v>
      </c>
      <c r="D155" s="28" t="str">
        <f t="shared" si="34"/>
        <v>Q1-2024</v>
      </c>
      <c r="E155" s="4">
        <v>45355</v>
      </c>
      <c r="F155" s="4">
        <v>45355</v>
      </c>
      <c r="G155" s="17">
        <f t="shared" si="35"/>
        <v>15</v>
      </c>
      <c r="H155" s="17">
        <f t="shared" si="36"/>
        <v>15</v>
      </c>
      <c r="I155" t="str">
        <f t="shared" si="37"/>
        <v>No</v>
      </c>
      <c r="J155" s="2">
        <f t="shared" si="38"/>
        <v>44946</v>
      </c>
      <c r="K155" t="s">
        <v>646</v>
      </c>
      <c r="L155" t="s">
        <v>650</v>
      </c>
      <c r="M155" t="s">
        <v>662</v>
      </c>
      <c r="N155" t="str">
        <f t="shared" si="39"/>
        <v>Africa - Kenya - Kisumu</v>
      </c>
      <c r="O155" t="s">
        <v>702</v>
      </c>
      <c r="P155" t="s">
        <v>711</v>
      </c>
      <c r="Q155" t="s">
        <v>723</v>
      </c>
      <c r="R155" t="s">
        <v>728</v>
      </c>
      <c r="S155" t="s">
        <v>887</v>
      </c>
      <c r="T155" s="6">
        <v>928.68</v>
      </c>
      <c r="U155" s="8">
        <v>2145.17</v>
      </c>
      <c r="V155" s="8">
        <f t="shared" si="40"/>
        <v>2145.17</v>
      </c>
      <c r="W155" s="8" t="str">
        <f t="shared" si="41"/>
        <v>High</v>
      </c>
      <c r="X155" s="15">
        <v>0.13600000000000001</v>
      </c>
      <c r="Y155" s="15">
        <f t="shared" si="42"/>
        <v>0.13600000000000001</v>
      </c>
      <c r="Z155" t="str">
        <f t="shared" si="43"/>
        <v>No</v>
      </c>
      <c r="AA155" s="17">
        <v>16</v>
      </c>
      <c r="AB155" s="8">
        <f t="shared" si="44"/>
        <v>29654.83008</v>
      </c>
      <c r="AC155" s="8">
        <f t="shared" si="45"/>
        <v>14858.88</v>
      </c>
      <c r="AD155" s="8">
        <f t="shared" si="46"/>
        <v>14795.950080000001</v>
      </c>
      <c r="AE155" s="15">
        <f t="shared" si="47"/>
        <v>0.49893896003062177</v>
      </c>
      <c r="AF155" s="34">
        <f>MIN(Y155,'Scenario Modeling'!$B$2)</f>
        <v>0.13600000000000001</v>
      </c>
      <c r="AG155">
        <f>ROUND(AA155 * (1 + 'Scenario Modeling'!$B$4), 0)</f>
        <v>16</v>
      </c>
      <c r="AH155">
        <f>T155 * (1 + 'Scenario Modeling'!$B$3)</f>
        <v>928.68</v>
      </c>
      <c r="AI155" s="8">
        <f t="shared" si="48"/>
        <v>29654.83008</v>
      </c>
      <c r="AJ155" s="8">
        <f t="shared" si="49"/>
        <v>14795.950080000001</v>
      </c>
    </row>
    <row r="156" spans="1:36">
      <c r="A156" t="s">
        <v>169</v>
      </c>
      <c r="B156" s="4">
        <v>45230</v>
      </c>
      <c r="C156" s="28">
        <v>45230</v>
      </c>
      <c r="D156" s="28" t="str">
        <f t="shared" si="34"/>
        <v>Q4-2023</v>
      </c>
      <c r="E156" s="4">
        <v>45232</v>
      </c>
      <c r="F156" s="4">
        <v>45232</v>
      </c>
      <c r="G156" s="17">
        <f t="shared" si="35"/>
        <v>2</v>
      </c>
      <c r="H156" s="17">
        <f t="shared" si="36"/>
        <v>2</v>
      </c>
      <c r="I156" t="str">
        <f t="shared" si="37"/>
        <v>Yes</v>
      </c>
      <c r="J156" s="2">
        <f t="shared" si="38"/>
        <v>44946</v>
      </c>
      <c r="K156" t="s">
        <v>646</v>
      </c>
      <c r="L156" t="s">
        <v>650</v>
      </c>
      <c r="M156" t="s">
        <v>662</v>
      </c>
      <c r="N156" t="str">
        <f t="shared" si="39"/>
        <v>Africa - Kenya - Kisumu</v>
      </c>
      <c r="O156" t="s">
        <v>702</v>
      </c>
      <c r="P156" t="s">
        <v>707</v>
      </c>
      <c r="Q156" t="s">
        <v>719</v>
      </c>
      <c r="R156" t="s">
        <v>733</v>
      </c>
      <c r="S156" t="s">
        <v>888</v>
      </c>
      <c r="T156" s="6">
        <v>867.89</v>
      </c>
      <c r="U156" s="8">
        <v>1349.94</v>
      </c>
      <c r="V156" s="8">
        <f t="shared" si="40"/>
        <v>1349.94</v>
      </c>
      <c r="W156" s="8" t="str">
        <f t="shared" si="41"/>
        <v>Medium</v>
      </c>
      <c r="X156" s="15">
        <v>0.184</v>
      </c>
      <c r="Y156" s="15">
        <f t="shared" si="42"/>
        <v>0.184</v>
      </c>
      <c r="Z156" t="str">
        <f t="shared" si="43"/>
        <v>No</v>
      </c>
      <c r="AA156" s="17">
        <v>10</v>
      </c>
      <c r="AB156" s="8">
        <f t="shared" si="44"/>
        <v>11015.510400000003</v>
      </c>
      <c r="AC156" s="8">
        <f t="shared" si="45"/>
        <v>8678.9</v>
      </c>
      <c r="AD156" s="8">
        <f t="shared" si="46"/>
        <v>2336.6104000000032</v>
      </c>
      <c r="AE156" s="15">
        <f t="shared" si="47"/>
        <v>0.21212003031652557</v>
      </c>
      <c r="AF156" s="34">
        <f>MIN(Y156,'Scenario Modeling'!$B$2)</f>
        <v>0.184</v>
      </c>
      <c r="AG156">
        <f>ROUND(AA156 * (1 + 'Scenario Modeling'!$B$4), 0)</f>
        <v>10</v>
      </c>
      <c r="AH156">
        <f>T156 * (1 + 'Scenario Modeling'!$B$3)</f>
        <v>867.89</v>
      </c>
      <c r="AI156" s="8">
        <f t="shared" si="48"/>
        <v>11015.510400000003</v>
      </c>
      <c r="AJ156" s="8">
        <f t="shared" si="49"/>
        <v>2336.6104000000032</v>
      </c>
    </row>
    <row r="157" spans="1:36">
      <c r="A157" t="s">
        <v>170</v>
      </c>
      <c r="B157" s="4">
        <v>45511</v>
      </c>
      <c r="C157" s="28">
        <v>45511</v>
      </c>
      <c r="D157" s="28" t="str">
        <f t="shared" si="34"/>
        <v>Q3-2024</v>
      </c>
      <c r="E157" s="4">
        <v>45521</v>
      </c>
      <c r="F157" s="4">
        <v>45521</v>
      </c>
      <c r="G157" s="17">
        <f t="shared" si="35"/>
        <v>10</v>
      </c>
      <c r="H157" s="17">
        <f t="shared" si="36"/>
        <v>10</v>
      </c>
      <c r="I157" t="str">
        <f t="shared" si="37"/>
        <v>No</v>
      </c>
      <c r="J157" s="2">
        <f t="shared" si="38"/>
        <v>44988</v>
      </c>
      <c r="K157" t="s">
        <v>647</v>
      </c>
      <c r="L157" t="s">
        <v>652</v>
      </c>
      <c r="M157" t="s">
        <v>666</v>
      </c>
      <c r="N157" t="str">
        <f t="shared" si="39"/>
        <v>Asia - Japan - Osaka</v>
      </c>
      <c r="O157" t="s">
        <v>704</v>
      </c>
      <c r="P157" t="s">
        <v>708</v>
      </c>
      <c r="Q157" t="s">
        <v>723</v>
      </c>
      <c r="R157" t="s">
        <v>729</v>
      </c>
      <c r="S157" t="s">
        <v>889</v>
      </c>
      <c r="T157" s="6">
        <v>436.58</v>
      </c>
      <c r="U157" s="8">
        <v>527.48</v>
      </c>
      <c r="V157" s="8">
        <f t="shared" si="40"/>
        <v>527.48</v>
      </c>
      <c r="W157" s="8" t="str">
        <f t="shared" si="41"/>
        <v>Low</v>
      </c>
      <c r="X157" s="15">
        <v>0.111</v>
      </c>
      <c r="Y157" s="15">
        <f t="shared" si="42"/>
        <v>0.111</v>
      </c>
      <c r="Z157" t="str">
        <f t="shared" si="43"/>
        <v>No</v>
      </c>
      <c r="AA157" s="17">
        <v>19</v>
      </c>
      <c r="AB157" s="8">
        <f t="shared" si="44"/>
        <v>8909.6646800000017</v>
      </c>
      <c r="AC157" s="8">
        <f t="shared" si="45"/>
        <v>8295.02</v>
      </c>
      <c r="AD157" s="8">
        <f t="shared" si="46"/>
        <v>614.64468000000124</v>
      </c>
      <c r="AE157" s="15">
        <f t="shared" si="47"/>
        <v>6.8986286473802644E-2</v>
      </c>
      <c r="AF157" s="34">
        <f>MIN(Y157,'Scenario Modeling'!$B$2)</f>
        <v>0.111</v>
      </c>
      <c r="AG157">
        <f>ROUND(AA157 * (1 + 'Scenario Modeling'!$B$4), 0)</f>
        <v>19</v>
      </c>
      <c r="AH157">
        <f>T157 * (1 + 'Scenario Modeling'!$B$3)</f>
        <v>436.58</v>
      </c>
      <c r="AI157" s="8">
        <f t="shared" si="48"/>
        <v>8909.6646800000017</v>
      </c>
      <c r="AJ157" s="8">
        <f t="shared" si="49"/>
        <v>614.64468000000124</v>
      </c>
    </row>
    <row r="158" spans="1:36">
      <c r="A158" t="s">
        <v>171</v>
      </c>
      <c r="B158" s="4">
        <v>45323</v>
      </c>
      <c r="C158" s="28">
        <v>45323</v>
      </c>
      <c r="D158" s="28" t="str">
        <f t="shared" si="34"/>
        <v>Q1-2024</v>
      </c>
      <c r="E158" s="4">
        <v>45343</v>
      </c>
      <c r="F158" s="4">
        <v>45343</v>
      </c>
      <c r="G158" s="17">
        <f t="shared" si="35"/>
        <v>20</v>
      </c>
      <c r="H158" s="17">
        <f t="shared" si="36"/>
        <v>20</v>
      </c>
      <c r="I158" t="str">
        <f t="shared" si="37"/>
        <v>No</v>
      </c>
      <c r="J158" s="2">
        <f t="shared" si="38"/>
        <v>44936</v>
      </c>
      <c r="K158" t="s">
        <v>649</v>
      </c>
      <c r="L158" t="s">
        <v>657</v>
      </c>
      <c r="M158" t="s">
        <v>690</v>
      </c>
      <c r="N158" t="str">
        <f t="shared" si="39"/>
        <v>Europe - France - Paris</v>
      </c>
      <c r="O158" t="s">
        <v>705</v>
      </c>
      <c r="P158" t="s">
        <v>709</v>
      </c>
      <c r="Q158" t="s">
        <v>720</v>
      </c>
      <c r="R158" t="s">
        <v>729</v>
      </c>
      <c r="S158" t="s">
        <v>890</v>
      </c>
      <c r="T158" s="6">
        <v>656.2</v>
      </c>
      <c r="U158" s="8">
        <v>1467.17</v>
      </c>
      <c r="V158" s="8">
        <f t="shared" si="40"/>
        <v>1467.17</v>
      </c>
      <c r="W158" s="8" t="str">
        <f t="shared" si="41"/>
        <v>Medium</v>
      </c>
      <c r="X158" s="15">
        <v>1.7999999999999999E-2</v>
      </c>
      <c r="Y158" s="15">
        <f t="shared" si="42"/>
        <v>1.7999999999999999E-2</v>
      </c>
      <c r="Z158" t="str">
        <f t="shared" si="43"/>
        <v>No</v>
      </c>
      <c r="AA158" s="17">
        <v>5</v>
      </c>
      <c r="AB158" s="8">
        <f t="shared" si="44"/>
        <v>7203.8047000000006</v>
      </c>
      <c r="AC158" s="8">
        <f t="shared" si="45"/>
        <v>3281</v>
      </c>
      <c r="AD158" s="8">
        <f t="shared" si="46"/>
        <v>3922.8047000000006</v>
      </c>
      <c r="AE158" s="15">
        <f t="shared" si="47"/>
        <v>0.54454623124360946</v>
      </c>
      <c r="AF158" s="34">
        <f>MIN(Y158,'Scenario Modeling'!$B$2)</f>
        <v>1.7999999999999999E-2</v>
      </c>
      <c r="AG158">
        <f>ROUND(AA158 * (1 + 'Scenario Modeling'!$B$4), 0)</f>
        <v>5</v>
      </c>
      <c r="AH158">
        <f>T158 * (1 + 'Scenario Modeling'!$B$3)</f>
        <v>656.2</v>
      </c>
      <c r="AI158" s="8">
        <f t="shared" si="48"/>
        <v>7203.8047000000006</v>
      </c>
      <c r="AJ158" s="8">
        <f t="shared" si="49"/>
        <v>3922.8047000000006</v>
      </c>
    </row>
    <row r="159" spans="1:36">
      <c r="A159" t="s">
        <v>172</v>
      </c>
      <c r="B159" s="4">
        <v>45531</v>
      </c>
      <c r="C159" s="28">
        <v>45531</v>
      </c>
      <c r="D159" s="28" t="str">
        <f t="shared" si="34"/>
        <v>Q3-2024</v>
      </c>
      <c r="E159" s="4">
        <v>45553</v>
      </c>
      <c r="F159" s="4">
        <v>45553</v>
      </c>
      <c r="G159" s="17">
        <f t="shared" si="35"/>
        <v>22</v>
      </c>
      <c r="H159" s="17">
        <f t="shared" si="36"/>
        <v>22</v>
      </c>
      <c r="I159" t="str">
        <f t="shared" si="37"/>
        <v>No</v>
      </c>
      <c r="J159" s="2">
        <f t="shared" si="38"/>
        <v>44955</v>
      </c>
      <c r="K159" t="s">
        <v>647</v>
      </c>
      <c r="L159" t="s">
        <v>654</v>
      </c>
      <c r="M159" t="s">
        <v>680</v>
      </c>
      <c r="N159" t="str">
        <f t="shared" si="39"/>
        <v>Asia - India - Delhi</v>
      </c>
      <c r="O159" t="s">
        <v>704</v>
      </c>
      <c r="P159" t="s">
        <v>711</v>
      </c>
      <c r="Q159" t="s">
        <v>717</v>
      </c>
      <c r="R159" t="s">
        <v>727</v>
      </c>
      <c r="S159" t="s">
        <v>891</v>
      </c>
      <c r="T159" s="6">
        <v>896.75</v>
      </c>
      <c r="U159" s="8">
        <v>1651.14</v>
      </c>
      <c r="V159" s="8">
        <f t="shared" si="40"/>
        <v>1651.14</v>
      </c>
      <c r="W159" s="8" t="str">
        <f t="shared" si="41"/>
        <v>High</v>
      </c>
      <c r="X159" s="15">
        <v>2.5000000000000001E-2</v>
      </c>
      <c r="Y159" s="15">
        <f t="shared" si="42"/>
        <v>2.5000000000000001E-2</v>
      </c>
      <c r="Z159" t="str">
        <f t="shared" si="43"/>
        <v>No</v>
      </c>
      <c r="AA159" s="17">
        <v>15</v>
      </c>
      <c r="AB159" s="8">
        <f t="shared" si="44"/>
        <v>24147.922500000001</v>
      </c>
      <c r="AC159" s="8">
        <f t="shared" si="45"/>
        <v>13451.25</v>
      </c>
      <c r="AD159" s="8">
        <f t="shared" si="46"/>
        <v>10696.672500000001</v>
      </c>
      <c r="AE159" s="15">
        <f t="shared" si="47"/>
        <v>0.44296450346815552</v>
      </c>
      <c r="AF159" s="34">
        <f>MIN(Y159,'Scenario Modeling'!$B$2)</f>
        <v>2.5000000000000001E-2</v>
      </c>
      <c r="AG159">
        <f>ROUND(AA159 * (1 + 'Scenario Modeling'!$B$4), 0)</f>
        <v>15</v>
      </c>
      <c r="AH159">
        <f>T159 * (1 + 'Scenario Modeling'!$B$3)</f>
        <v>896.75</v>
      </c>
      <c r="AI159" s="8">
        <f t="shared" si="48"/>
        <v>24147.922500000001</v>
      </c>
      <c r="AJ159" s="8">
        <f t="shared" si="49"/>
        <v>10696.672500000001</v>
      </c>
    </row>
    <row r="160" spans="1:36">
      <c r="A160" t="s">
        <v>173</v>
      </c>
      <c r="B160" s="4">
        <v>45703</v>
      </c>
      <c r="C160" s="28">
        <v>45703</v>
      </c>
      <c r="D160" s="28" t="str">
        <f t="shared" si="34"/>
        <v>Q1-2025</v>
      </c>
      <c r="E160" s="4">
        <v>45703</v>
      </c>
      <c r="F160" s="4">
        <v>45703</v>
      </c>
      <c r="G160" s="17">
        <f t="shared" si="35"/>
        <v>0</v>
      </c>
      <c r="H160" s="17">
        <f t="shared" si="36"/>
        <v>0</v>
      </c>
      <c r="I160" t="str">
        <f t="shared" si="37"/>
        <v>Yes</v>
      </c>
      <c r="J160" s="2">
        <f t="shared" si="38"/>
        <v>44948</v>
      </c>
      <c r="K160" t="s">
        <v>649</v>
      </c>
      <c r="L160" t="s">
        <v>656</v>
      </c>
      <c r="M160" t="s">
        <v>698</v>
      </c>
      <c r="N160" t="str">
        <f t="shared" si="39"/>
        <v>Europe - Germany - Frankfurt</v>
      </c>
      <c r="O160" t="s">
        <v>705</v>
      </c>
      <c r="P160" t="s">
        <v>709</v>
      </c>
      <c r="Q160" t="s">
        <v>716</v>
      </c>
      <c r="R160" t="s">
        <v>733</v>
      </c>
      <c r="S160" t="s">
        <v>892</v>
      </c>
      <c r="T160" s="6">
        <v>815.83</v>
      </c>
      <c r="U160" s="8">
        <v>1982.18</v>
      </c>
      <c r="V160" s="8">
        <f t="shared" si="40"/>
        <v>1982.18</v>
      </c>
      <c r="W160" s="8" t="str">
        <f t="shared" si="41"/>
        <v>High</v>
      </c>
      <c r="X160" s="15">
        <v>0.127</v>
      </c>
      <c r="Y160" s="15">
        <f t="shared" si="42"/>
        <v>0.127</v>
      </c>
      <c r="Z160" t="str">
        <f t="shared" si="43"/>
        <v>No</v>
      </c>
      <c r="AA160" s="17">
        <v>6</v>
      </c>
      <c r="AB160" s="8">
        <f t="shared" si="44"/>
        <v>10382.65884</v>
      </c>
      <c r="AC160" s="8">
        <f t="shared" si="45"/>
        <v>4894.9800000000005</v>
      </c>
      <c r="AD160" s="8">
        <f t="shared" si="46"/>
        <v>5487.6788399999996</v>
      </c>
      <c r="AE160" s="15">
        <f t="shared" si="47"/>
        <v>0.52854272923408507</v>
      </c>
      <c r="AF160" s="34">
        <f>MIN(Y160,'Scenario Modeling'!$B$2)</f>
        <v>0.127</v>
      </c>
      <c r="AG160">
        <f>ROUND(AA160 * (1 + 'Scenario Modeling'!$B$4), 0)</f>
        <v>6</v>
      </c>
      <c r="AH160">
        <f>T160 * (1 + 'Scenario Modeling'!$B$3)</f>
        <v>815.83</v>
      </c>
      <c r="AI160" s="8">
        <f t="shared" si="48"/>
        <v>10382.65884</v>
      </c>
      <c r="AJ160" s="8">
        <f t="shared" si="49"/>
        <v>5487.6788399999996</v>
      </c>
    </row>
    <row r="161" spans="1:36">
      <c r="A161" t="s">
        <v>174</v>
      </c>
      <c r="B161" s="4">
        <v>45870</v>
      </c>
      <c r="C161" s="28">
        <v>45870</v>
      </c>
      <c r="D161" s="28" t="str">
        <f t="shared" si="34"/>
        <v>Q3-2025</v>
      </c>
      <c r="E161" s="4">
        <v>45890</v>
      </c>
      <c r="F161" s="4">
        <v>45890</v>
      </c>
      <c r="G161" s="17">
        <f t="shared" si="35"/>
        <v>20</v>
      </c>
      <c r="H161" s="17">
        <f t="shared" si="36"/>
        <v>20</v>
      </c>
      <c r="I161" t="str">
        <f t="shared" si="37"/>
        <v>No</v>
      </c>
      <c r="J161" s="2">
        <f t="shared" si="38"/>
        <v>44938</v>
      </c>
      <c r="K161" t="s">
        <v>647</v>
      </c>
      <c r="L161" t="s">
        <v>659</v>
      </c>
      <c r="M161" t="s">
        <v>685</v>
      </c>
      <c r="N161" t="str">
        <f t="shared" si="39"/>
        <v>Asia - China - Shanghai</v>
      </c>
      <c r="O161" t="s">
        <v>701</v>
      </c>
      <c r="P161" t="s">
        <v>711</v>
      </c>
      <c r="Q161" t="s">
        <v>714</v>
      </c>
      <c r="R161" t="s">
        <v>730</v>
      </c>
      <c r="S161" t="s">
        <v>893</v>
      </c>
      <c r="T161" s="6">
        <v>1220.4100000000001</v>
      </c>
      <c r="U161" s="8">
        <v>2552.2199999999998</v>
      </c>
      <c r="V161" s="8">
        <f t="shared" si="40"/>
        <v>2552.2199999999998</v>
      </c>
      <c r="W161" s="8" t="str">
        <f t="shared" si="41"/>
        <v>High</v>
      </c>
      <c r="X161" s="15">
        <v>0.18099999999999999</v>
      </c>
      <c r="Y161" s="15">
        <f t="shared" si="42"/>
        <v>0.18099999999999999</v>
      </c>
      <c r="Z161" t="str">
        <f t="shared" si="43"/>
        <v>No</v>
      </c>
      <c r="AA161" s="17">
        <v>14</v>
      </c>
      <c r="AB161" s="8">
        <f t="shared" si="44"/>
        <v>29263.754519999995</v>
      </c>
      <c r="AC161" s="8">
        <f t="shared" si="45"/>
        <v>17085.740000000002</v>
      </c>
      <c r="AD161" s="8">
        <f t="shared" si="46"/>
        <v>12178.014519999993</v>
      </c>
      <c r="AE161" s="15">
        <f t="shared" si="47"/>
        <v>0.41614668793360271</v>
      </c>
      <c r="AF161" s="34">
        <f>MIN(Y161,'Scenario Modeling'!$B$2)</f>
        <v>0.18099999999999999</v>
      </c>
      <c r="AG161">
        <f>ROUND(AA161 * (1 + 'Scenario Modeling'!$B$4), 0)</f>
        <v>14</v>
      </c>
      <c r="AH161">
        <f>T161 * (1 + 'Scenario Modeling'!$B$3)</f>
        <v>1220.4100000000001</v>
      </c>
      <c r="AI161" s="8">
        <f t="shared" si="48"/>
        <v>29263.754519999995</v>
      </c>
      <c r="AJ161" s="8">
        <f t="shared" si="49"/>
        <v>12178.014519999993</v>
      </c>
    </row>
    <row r="162" spans="1:36">
      <c r="A162" t="s">
        <v>175</v>
      </c>
      <c r="B162" s="4">
        <v>44977</v>
      </c>
      <c r="C162" s="28">
        <v>44977</v>
      </c>
      <c r="D162" s="28" t="str">
        <f t="shared" si="34"/>
        <v>Q1-2023</v>
      </c>
      <c r="E162" s="4">
        <v>44989</v>
      </c>
      <c r="F162" s="4">
        <v>44989</v>
      </c>
      <c r="G162" s="17">
        <f t="shared" si="35"/>
        <v>12</v>
      </c>
      <c r="H162" s="17">
        <f t="shared" si="36"/>
        <v>12</v>
      </c>
      <c r="I162" t="str">
        <f t="shared" si="37"/>
        <v>No</v>
      </c>
      <c r="J162" s="2">
        <f t="shared" si="38"/>
        <v>44955</v>
      </c>
      <c r="K162" t="s">
        <v>647</v>
      </c>
      <c r="L162" t="s">
        <v>654</v>
      </c>
      <c r="M162" t="s">
        <v>680</v>
      </c>
      <c r="N162" t="str">
        <f t="shared" si="39"/>
        <v>Asia - India - Delhi</v>
      </c>
      <c r="O162" t="s">
        <v>704</v>
      </c>
      <c r="P162" t="s">
        <v>710</v>
      </c>
      <c r="Q162" t="s">
        <v>724</v>
      </c>
      <c r="R162" t="s">
        <v>732</v>
      </c>
      <c r="S162" t="s">
        <v>894</v>
      </c>
      <c r="T162" s="6">
        <v>299.75</v>
      </c>
      <c r="U162" s="8">
        <v>523.01</v>
      </c>
      <c r="V162" s="8">
        <f t="shared" si="40"/>
        <v>523.01</v>
      </c>
      <c r="W162" s="8" t="str">
        <f t="shared" si="41"/>
        <v>Low</v>
      </c>
      <c r="X162" s="15">
        <v>0.157</v>
      </c>
      <c r="Y162" s="15">
        <f t="shared" si="42"/>
        <v>0.157</v>
      </c>
      <c r="Z162" t="str">
        <f t="shared" si="43"/>
        <v>No</v>
      </c>
      <c r="AA162" s="17">
        <v>50</v>
      </c>
      <c r="AB162" s="8">
        <f t="shared" si="44"/>
        <v>22044.871499999997</v>
      </c>
      <c r="AC162" s="8">
        <f t="shared" si="45"/>
        <v>14987.5</v>
      </c>
      <c r="AD162" s="8">
        <f t="shared" si="46"/>
        <v>7057.3714999999975</v>
      </c>
      <c r="AE162" s="15">
        <f t="shared" si="47"/>
        <v>0.32013665854210122</v>
      </c>
      <c r="AF162" s="34">
        <f>MIN(Y162,'Scenario Modeling'!$B$2)</f>
        <v>0.157</v>
      </c>
      <c r="AG162">
        <f>ROUND(AA162 * (1 + 'Scenario Modeling'!$B$4), 0)</f>
        <v>50</v>
      </c>
      <c r="AH162">
        <f>T162 * (1 + 'Scenario Modeling'!$B$3)</f>
        <v>299.75</v>
      </c>
      <c r="AI162" s="8">
        <f t="shared" si="48"/>
        <v>22044.871499999997</v>
      </c>
      <c r="AJ162" s="8">
        <f t="shared" si="49"/>
        <v>7057.3714999999975</v>
      </c>
    </row>
    <row r="163" spans="1:36">
      <c r="A163" t="s">
        <v>176</v>
      </c>
      <c r="B163" s="4">
        <v>45595</v>
      </c>
      <c r="C163" s="28">
        <v>45595</v>
      </c>
      <c r="D163" s="28" t="str">
        <f t="shared" si="34"/>
        <v>Q4-2024</v>
      </c>
      <c r="E163" s="4">
        <v>45620</v>
      </c>
      <c r="F163" s="4">
        <v>45620</v>
      </c>
      <c r="G163" s="17">
        <f t="shared" si="35"/>
        <v>25</v>
      </c>
      <c r="H163" s="17">
        <f t="shared" si="36"/>
        <v>25</v>
      </c>
      <c r="I163" t="str">
        <f t="shared" si="37"/>
        <v>No</v>
      </c>
      <c r="J163" s="2">
        <f t="shared" si="38"/>
        <v>44938</v>
      </c>
      <c r="K163" t="s">
        <v>647</v>
      </c>
      <c r="L163" t="s">
        <v>659</v>
      </c>
      <c r="M163" t="s">
        <v>676</v>
      </c>
      <c r="N163" t="str">
        <f t="shared" si="39"/>
        <v>Asia - China - Shenzhen</v>
      </c>
      <c r="O163" t="s">
        <v>705</v>
      </c>
      <c r="P163" t="s">
        <v>708</v>
      </c>
      <c r="Q163" t="s">
        <v>718</v>
      </c>
      <c r="R163" t="s">
        <v>727</v>
      </c>
      <c r="S163" t="s">
        <v>895</v>
      </c>
      <c r="T163" s="6">
        <v>811.05</v>
      </c>
      <c r="U163" s="8">
        <v>1217.71</v>
      </c>
      <c r="V163" s="8">
        <f t="shared" si="40"/>
        <v>1217.71</v>
      </c>
      <c r="W163" s="8" t="str">
        <f t="shared" si="41"/>
        <v>Medium</v>
      </c>
      <c r="X163" s="15">
        <v>7.1999999999999995E-2</v>
      </c>
      <c r="Y163" s="15">
        <f t="shared" si="42"/>
        <v>7.1999999999999995E-2</v>
      </c>
      <c r="Z163" t="str">
        <f t="shared" si="43"/>
        <v>No</v>
      </c>
      <c r="AA163" s="17">
        <v>5</v>
      </c>
      <c r="AB163" s="8">
        <f t="shared" si="44"/>
        <v>5650.1744000000008</v>
      </c>
      <c r="AC163" s="8">
        <f t="shared" si="45"/>
        <v>4055.25</v>
      </c>
      <c r="AD163" s="8">
        <f t="shared" si="46"/>
        <v>1594.9244000000008</v>
      </c>
      <c r="AE163" s="15">
        <f t="shared" si="47"/>
        <v>0.28227879125288602</v>
      </c>
      <c r="AF163" s="34">
        <f>MIN(Y163,'Scenario Modeling'!$B$2)</f>
        <v>7.1999999999999995E-2</v>
      </c>
      <c r="AG163">
        <f>ROUND(AA163 * (1 + 'Scenario Modeling'!$B$4), 0)</f>
        <v>5</v>
      </c>
      <c r="AH163">
        <f>T163 * (1 + 'Scenario Modeling'!$B$3)</f>
        <v>811.05</v>
      </c>
      <c r="AI163" s="8">
        <f t="shared" si="48"/>
        <v>5650.1744000000008</v>
      </c>
      <c r="AJ163" s="8">
        <f t="shared" si="49"/>
        <v>1594.9244000000008</v>
      </c>
    </row>
    <row r="164" spans="1:36">
      <c r="A164" t="s">
        <v>177</v>
      </c>
      <c r="B164" s="4">
        <v>45385</v>
      </c>
      <c r="C164" s="28">
        <v>45385</v>
      </c>
      <c r="D164" s="28" t="str">
        <f t="shared" si="34"/>
        <v>Q2-2024</v>
      </c>
      <c r="E164" s="4">
        <v>45389</v>
      </c>
      <c r="F164" s="4">
        <v>45389</v>
      </c>
      <c r="G164" s="17">
        <f t="shared" si="35"/>
        <v>4</v>
      </c>
      <c r="H164" s="17">
        <f t="shared" si="36"/>
        <v>4</v>
      </c>
      <c r="I164" t="str">
        <f t="shared" si="37"/>
        <v>Yes</v>
      </c>
      <c r="J164" s="2">
        <f t="shared" si="38"/>
        <v>44955</v>
      </c>
      <c r="K164" t="s">
        <v>648</v>
      </c>
      <c r="L164" t="s">
        <v>655</v>
      </c>
      <c r="M164" t="s">
        <v>672</v>
      </c>
      <c r="N164" t="str">
        <f t="shared" si="39"/>
        <v>Americas - Brazil - Brasília</v>
      </c>
      <c r="O164" t="s">
        <v>703</v>
      </c>
      <c r="P164" t="s">
        <v>711</v>
      </c>
      <c r="Q164" t="s">
        <v>725</v>
      </c>
      <c r="R164" t="s">
        <v>730</v>
      </c>
      <c r="S164" t="s">
        <v>896</v>
      </c>
      <c r="T164" s="6">
        <v>1023.27</v>
      </c>
      <c r="U164" s="8">
        <v>1343.64</v>
      </c>
      <c r="V164" s="8">
        <f t="shared" si="40"/>
        <v>1343.64</v>
      </c>
      <c r="W164" s="8" t="str">
        <f t="shared" si="41"/>
        <v>Medium</v>
      </c>
      <c r="X164" s="15">
        <v>0.13300000000000001</v>
      </c>
      <c r="Y164" s="15">
        <f t="shared" si="42"/>
        <v>0.13300000000000001</v>
      </c>
      <c r="Z164" t="str">
        <f t="shared" si="43"/>
        <v>No</v>
      </c>
      <c r="AA164" s="17">
        <v>7</v>
      </c>
      <c r="AB164" s="8">
        <f t="shared" si="44"/>
        <v>8154.5511600000009</v>
      </c>
      <c r="AC164" s="8">
        <f t="shared" si="45"/>
        <v>7162.8899999999994</v>
      </c>
      <c r="AD164" s="8">
        <f t="shared" si="46"/>
        <v>991.66116000000147</v>
      </c>
      <c r="AE164" s="15">
        <f t="shared" si="47"/>
        <v>0.12160830688810116</v>
      </c>
      <c r="AF164" s="34">
        <f>MIN(Y164,'Scenario Modeling'!$B$2)</f>
        <v>0.13300000000000001</v>
      </c>
      <c r="AG164">
        <f>ROUND(AA164 * (1 + 'Scenario Modeling'!$B$4), 0)</f>
        <v>7</v>
      </c>
      <c r="AH164">
        <f>T164 * (1 + 'Scenario Modeling'!$B$3)</f>
        <v>1023.27</v>
      </c>
      <c r="AI164" s="8">
        <f t="shared" si="48"/>
        <v>8154.5511600000009</v>
      </c>
      <c r="AJ164" s="8">
        <f t="shared" si="49"/>
        <v>991.66116000000147</v>
      </c>
    </row>
    <row r="165" spans="1:36">
      <c r="A165" t="s">
        <v>178</v>
      </c>
      <c r="B165" s="4">
        <v>45010</v>
      </c>
      <c r="C165" s="28">
        <v>45010</v>
      </c>
      <c r="D165" s="28" t="str">
        <f t="shared" si="34"/>
        <v>Q1-2023</v>
      </c>
      <c r="E165" s="4">
        <v>45011</v>
      </c>
      <c r="F165" s="4">
        <v>45011</v>
      </c>
      <c r="G165" s="17">
        <f t="shared" si="35"/>
        <v>1</v>
      </c>
      <c r="H165" s="17">
        <f t="shared" si="36"/>
        <v>1</v>
      </c>
      <c r="I165" t="str">
        <f t="shared" si="37"/>
        <v>Yes</v>
      </c>
      <c r="J165" s="2">
        <f t="shared" si="38"/>
        <v>44988</v>
      </c>
      <c r="K165" t="s">
        <v>647</v>
      </c>
      <c r="L165" t="s">
        <v>652</v>
      </c>
      <c r="M165" t="s">
        <v>666</v>
      </c>
      <c r="N165" t="str">
        <f t="shared" si="39"/>
        <v>Asia - Japan - Osaka</v>
      </c>
      <c r="O165" t="s">
        <v>705</v>
      </c>
      <c r="P165" t="s">
        <v>710</v>
      </c>
      <c r="Q165" t="s">
        <v>714</v>
      </c>
      <c r="R165" t="s">
        <v>732</v>
      </c>
      <c r="S165" t="s">
        <v>897</v>
      </c>
      <c r="T165" s="6">
        <v>135.12</v>
      </c>
      <c r="U165" s="8">
        <v>301.7</v>
      </c>
      <c r="V165" s="8">
        <f t="shared" si="40"/>
        <v>301.7</v>
      </c>
      <c r="W165" s="8" t="str">
        <f t="shared" si="41"/>
        <v>Low</v>
      </c>
      <c r="X165" s="15">
        <v>0.14000000000000001</v>
      </c>
      <c r="Y165" s="15">
        <f t="shared" si="42"/>
        <v>0.14000000000000001</v>
      </c>
      <c r="Z165" t="str">
        <f t="shared" si="43"/>
        <v>No</v>
      </c>
      <c r="AA165" s="17">
        <v>47</v>
      </c>
      <c r="AB165" s="8">
        <f t="shared" si="44"/>
        <v>12194.714</v>
      </c>
      <c r="AC165" s="8">
        <f t="shared" si="45"/>
        <v>6350.64</v>
      </c>
      <c r="AD165" s="8">
        <f t="shared" si="46"/>
        <v>5844.0739999999996</v>
      </c>
      <c r="AE165" s="15">
        <f t="shared" si="47"/>
        <v>0.47923009920527859</v>
      </c>
      <c r="AF165" s="34">
        <f>MIN(Y165,'Scenario Modeling'!$B$2)</f>
        <v>0.14000000000000001</v>
      </c>
      <c r="AG165">
        <f>ROUND(AA165 * (1 + 'Scenario Modeling'!$B$4), 0)</f>
        <v>47</v>
      </c>
      <c r="AH165">
        <f>T165 * (1 + 'Scenario Modeling'!$B$3)</f>
        <v>135.12</v>
      </c>
      <c r="AI165" s="8">
        <f t="shared" si="48"/>
        <v>12194.714</v>
      </c>
      <c r="AJ165" s="8">
        <f t="shared" si="49"/>
        <v>5844.0739999999996</v>
      </c>
    </row>
    <row r="166" spans="1:36">
      <c r="A166" t="s">
        <v>179</v>
      </c>
      <c r="B166" s="4">
        <v>45447</v>
      </c>
      <c r="C166" s="28">
        <v>45447</v>
      </c>
      <c r="D166" s="28" t="str">
        <f t="shared" si="34"/>
        <v>Q2-2024</v>
      </c>
      <c r="E166" s="4">
        <v>45459</v>
      </c>
      <c r="F166" s="4">
        <v>45459</v>
      </c>
      <c r="G166" s="17">
        <f t="shared" si="35"/>
        <v>12</v>
      </c>
      <c r="H166" s="17">
        <f t="shared" si="36"/>
        <v>12</v>
      </c>
      <c r="I166" t="str">
        <f t="shared" si="37"/>
        <v>No</v>
      </c>
      <c r="J166" s="2">
        <f t="shared" si="38"/>
        <v>44938</v>
      </c>
      <c r="K166" t="s">
        <v>647</v>
      </c>
      <c r="L166" t="s">
        <v>659</v>
      </c>
      <c r="M166" t="s">
        <v>685</v>
      </c>
      <c r="N166" t="str">
        <f t="shared" si="39"/>
        <v>Asia - China - Shanghai</v>
      </c>
      <c r="O166" t="s">
        <v>701</v>
      </c>
      <c r="P166" t="s">
        <v>707</v>
      </c>
      <c r="Q166" t="s">
        <v>713</v>
      </c>
      <c r="R166" t="s">
        <v>728</v>
      </c>
      <c r="S166" t="s">
        <v>898</v>
      </c>
      <c r="T166" s="6">
        <v>918.42</v>
      </c>
      <c r="U166" s="8">
        <v>1511.71</v>
      </c>
      <c r="V166" s="8">
        <f t="shared" si="40"/>
        <v>1511.71</v>
      </c>
      <c r="W166" s="8" t="str">
        <f t="shared" si="41"/>
        <v>Medium</v>
      </c>
      <c r="X166" s="15">
        <v>0.02</v>
      </c>
      <c r="Y166" s="15">
        <f t="shared" si="42"/>
        <v>0.02</v>
      </c>
      <c r="Z166" t="str">
        <f t="shared" si="43"/>
        <v>No</v>
      </c>
      <c r="AA166" s="17">
        <v>8</v>
      </c>
      <c r="AB166" s="8">
        <f t="shared" si="44"/>
        <v>11851.806399999999</v>
      </c>
      <c r="AC166" s="8">
        <f t="shared" si="45"/>
        <v>7347.36</v>
      </c>
      <c r="AD166" s="8">
        <f t="shared" si="46"/>
        <v>4504.4463999999998</v>
      </c>
      <c r="AE166" s="15">
        <f t="shared" si="47"/>
        <v>0.38006412254590999</v>
      </c>
      <c r="AF166" s="34">
        <f>MIN(Y166,'Scenario Modeling'!$B$2)</f>
        <v>0.02</v>
      </c>
      <c r="AG166">
        <f>ROUND(AA166 * (1 + 'Scenario Modeling'!$B$4), 0)</f>
        <v>8</v>
      </c>
      <c r="AH166">
        <f>T166 * (1 + 'Scenario Modeling'!$B$3)</f>
        <v>918.42</v>
      </c>
      <c r="AI166" s="8">
        <f t="shared" si="48"/>
        <v>11851.806399999999</v>
      </c>
      <c r="AJ166" s="8">
        <f t="shared" si="49"/>
        <v>4504.4463999999998</v>
      </c>
    </row>
    <row r="167" spans="1:36">
      <c r="A167" t="s">
        <v>180</v>
      </c>
      <c r="B167" s="4">
        <v>44976</v>
      </c>
      <c r="C167" s="28">
        <v>44976</v>
      </c>
      <c r="D167" s="28" t="str">
        <f t="shared" si="34"/>
        <v>Q1-2023</v>
      </c>
      <c r="E167" s="4">
        <v>44997</v>
      </c>
      <c r="F167" s="4">
        <v>44997</v>
      </c>
      <c r="G167" s="17">
        <f t="shared" si="35"/>
        <v>21</v>
      </c>
      <c r="H167" s="17">
        <f t="shared" si="36"/>
        <v>21</v>
      </c>
      <c r="I167" t="str">
        <f t="shared" si="37"/>
        <v>No</v>
      </c>
      <c r="J167" s="2">
        <f t="shared" si="38"/>
        <v>44948</v>
      </c>
      <c r="K167" t="s">
        <v>649</v>
      </c>
      <c r="L167" t="s">
        <v>656</v>
      </c>
      <c r="M167" t="s">
        <v>671</v>
      </c>
      <c r="N167" t="str">
        <f t="shared" si="39"/>
        <v>Europe - Germany - Berlin</v>
      </c>
      <c r="O167" t="s">
        <v>705</v>
      </c>
      <c r="P167" t="s">
        <v>711</v>
      </c>
      <c r="Q167" t="s">
        <v>716</v>
      </c>
      <c r="R167" t="s">
        <v>732</v>
      </c>
      <c r="S167" t="s">
        <v>899</v>
      </c>
      <c r="T167" s="6">
        <v>1234.81</v>
      </c>
      <c r="U167" s="8">
        <v>2055.2399999999998</v>
      </c>
      <c r="V167" s="8">
        <f t="shared" si="40"/>
        <v>2055.2399999999998</v>
      </c>
      <c r="W167" s="8" t="str">
        <f t="shared" si="41"/>
        <v>High</v>
      </c>
      <c r="X167" s="15">
        <v>5.2999999999999999E-2</v>
      </c>
      <c r="Y167" s="15">
        <f t="shared" si="42"/>
        <v>5.2999999999999999E-2</v>
      </c>
      <c r="Z167" t="str">
        <f t="shared" si="43"/>
        <v>No</v>
      </c>
      <c r="AA167" s="17">
        <v>44</v>
      </c>
      <c r="AB167" s="8">
        <f t="shared" si="44"/>
        <v>85637.740319999997</v>
      </c>
      <c r="AC167" s="8">
        <f t="shared" si="45"/>
        <v>54331.64</v>
      </c>
      <c r="AD167" s="8">
        <f t="shared" si="46"/>
        <v>31306.100319999998</v>
      </c>
      <c r="AE167" s="15">
        <f t="shared" si="47"/>
        <v>0.36556429680441616</v>
      </c>
      <c r="AF167" s="34">
        <f>MIN(Y167,'Scenario Modeling'!$B$2)</f>
        <v>5.2999999999999999E-2</v>
      </c>
      <c r="AG167">
        <f>ROUND(AA167 * (1 + 'Scenario Modeling'!$B$4), 0)</f>
        <v>44</v>
      </c>
      <c r="AH167">
        <f>T167 * (1 + 'Scenario Modeling'!$B$3)</f>
        <v>1234.81</v>
      </c>
      <c r="AI167" s="8">
        <f t="shared" si="48"/>
        <v>85637.740319999997</v>
      </c>
      <c r="AJ167" s="8">
        <f t="shared" si="49"/>
        <v>31306.100319999998</v>
      </c>
    </row>
    <row r="168" spans="1:36">
      <c r="A168" t="s">
        <v>181</v>
      </c>
      <c r="B168" s="4">
        <v>45034</v>
      </c>
      <c r="C168" s="28">
        <v>45034</v>
      </c>
      <c r="D168" s="28" t="str">
        <f t="shared" si="34"/>
        <v>Q2-2023</v>
      </c>
      <c r="E168" s="4">
        <v>45064</v>
      </c>
      <c r="F168" s="4">
        <v>45064</v>
      </c>
      <c r="G168" s="17">
        <f t="shared" si="35"/>
        <v>30</v>
      </c>
      <c r="H168" s="17">
        <f t="shared" si="36"/>
        <v>30</v>
      </c>
      <c r="I168" t="str">
        <f t="shared" si="37"/>
        <v>No</v>
      </c>
      <c r="J168" s="2">
        <f t="shared" si="38"/>
        <v>44938</v>
      </c>
      <c r="K168" t="s">
        <v>647</v>
      </c>
      <c r="L168" t="s">
        <v>659</v>
      </c>
      <c r="M168" t="s">
        <v>676</v>
      </c>
      <c r="N168" t="str">
        <f t="shared" si="39"/>
        <v>Asia - China - Shenzhen</v>
      </c>
      <c r="O168" t="s">
        <v>703</v>
      </c>
      <c r="P168" t="s">
        <v>707</v>
      </c>
      <c r="Q168" t="s">
        <v>722</v>
      </c>
      <c r="R168" t="s">
        <v>731</v>
      </c>
      <c r="S168" t="s">
        <v>900</v>
      </c>
      <c r="T168" s="6">
        <v>329.03</v>
      </c>
      <c r="U168" s="8">
        <v>391.15</v>
      </c>
      <c r="V168" s="8">
        <f t="shared" si="40"/>
        <v>391.15</v>
      </c>
      <c r="W168" s="8" t="str">
        <f t="shared" si="41"/>
        <v>Low</v>
      </c>
      <c r="X168" s="15">
        <v>0.19700000000000001</v>
      </c>
      <c r="Y168" s="15">
        <f t="shared" si="42"/>
        <v>0.19700000000000001</v>
      </c>
      <c r="Z168" t="str">
        <f t="shared" si="43"/>
        <v>No</v>
      </c>
      <c r="AA168" s="17">
        <v>46</v>
      </c>
      <c r="AB168" s="8">
        <f t="shared" si="44"/>
        <v>14448.298699999998</v>
      </c>
      <c r="AC168" s="8">
        <f t="shared" si="45"/>
        <v>15135.38</v>
      </c>
      <c r="AD168" s="8">
        <f t="shared" si="46"/>
        <v>-687.08130000000165</v>
      </c>
      <c r="AE168" s="15">
        <f t="shared" si="47"/>
        <v>-4.7554477815440081E-2</v>
      </c>
      <c r="AF168" s="34">
        <f>MIN(Y168,'Scenario Modeling'!$B$2)</f>
        <v>0.19700000000000001</v>
      </c>
      <c r="AG168">
        <f>ROUND(AA168 * (1 + 'Scenario Modeling'!$B$4), 0)</f>
        <v>46</v>
      </c>
      <c r="AH168">
        <f>T168 * (1 + 'Scenario Modeling'!$B$3)</f>
        <v>329.03</v>
      </c>
      <c r="AI168" s="8">
        <f t="shared" si="48"/>
        <v>14448.298699999998</v>
      </c>
      <c r="AJ168" s="8">
        <f t="shared" si="49"/>
        <v>-687.08130000000165</v>
      </c>
    </row>
    <row r="169" spans="1:36">
      <c r="A169" t="s">
        <v>182</v>
      </c>
      <c r="B169" s="4">
        <v>45435</v>
      </c>
      <c r="C169" s="28">
        <v>45435</v>
      </c>
      <c r="D169" s="28" t="str">
        <f t="shared" si="34"/>
        <v>Q2-2024</v>
      </c>
      <c r="E169" s="4">
        <v>45457</v>
      </c>
      <c r="F169" s="4">
        <v>45457</v>
      </c>
      <c r="G169" s="17">
        <f t="shared" si="35"/>
        <v>22</v>
      </c>
      <c r="H169" s="17">
        <f t="shared" si="36"/>
        <v>22</v>
      </c>
      <c r="I169" t="str">
        <f t="shared" si="37"/>
        <v>No</v>
      </c>
      <c r="J169" s="2">
        <f t="shared" si="38"/>
        <v>44936</v>
      </c>
      <c r="K169" t="s">
        <v>649</v>
      </c>
      <c r="L169" t="s">
        <v>657</v>
      </c>
      <c r="M169" t="s">
        <v>673</v>
      </c>
      <c r="N169" t="str">
        <f t="shared" si="39"/>
        <v>Europe - France - Marseille</v>
      </c>
      <c r="O169" t="s">
        <v>705</v>
      </c>
      <c r="P169" t="s">
        <v>708</v>
      </c>
      <c r="Q169" t="s">
        <v>725</v>
      </c>
      <c r="R169" t="s">
        <v>732</v>
      </c>
      <c r="S169" t="s">
        <v>901</v>
      </c>
      <c r="T169" s="6">
        <v>1481.74</v>
      </c>
      <c r="U169" s="8">
        <v>1848.97</v>
      </c>
      <c r="V169" s="8">
        <f t="shared" si="40"/>
        <v>1848.97</v>
      </c>
      <c r="W169" s="8" t="str">
        <f t="shared" si="41"/>
        <v>High</v>
      </c>
      <c r="X169" s="15">
        <v>0.254</v>
      </c>
      <c r="Y169" s="15">
        <f t="shared" si="42"/>
        <v>0.254</v>
      </c>
      <c r="Z169" t="str">
        <f t="shared" si="43"/>
        <v>Yes</v>
      </c>
      <c r="AA169" s="17">
        <v>9</v>
      </c>
      <c r="AB169" s="8">
        <f t="shared" si="44"/>
        <v>12413.98458</v>
      </c>
      <c r="AC169" s="8">
        <f t="shared" si="45"/>
        <v>13335.66</v>
      </c>
      <c r="AD169" s="8">
        <f t="shared" si="46"/>
        <v>-921.67541999999958</v>
      </c>
      <c r="AE169" s="15">
        <f t="shared" si="47"/>
        <v>-7.4244930309072407E-2</v>
      </c>
      <c r="AF169" s="34">
        <f>MIN(Y169,'Scenario Modeling'!$B$2)</f>
        <v>0.25</v>
      </c>
      <c r="AG169">
        <f>ROUND(AA169 * (1 + 'Scenario Modeling'!$B$4), 0)</f>
        <v>9</v>
      </c>
      <c r="AH169">
        <f>T169 * (1 + 'Scenario Modeling'!$B$3)</f>
        <v>1481.74</v>
      </c>
      <c r="AI169" s="8">
        <f t="shared" si="48"/>
        <v>12480.547500000001</v>
      </c>
      <c r="AJ169" s="8">
        <f t="shared" si="49"/>
        <v>-855.11249999999927</v>
      </c>
    </row>
    <row r="170" spans="1:36">
      <c r="A170" t="s">
        <v>183</v>
      </c>
      <c r="B170" s="4">
        <v>45206</v>
      </c>
      <c r="C170" s="28">
        <v>45206</v>
      </c>
      <c r="D170" s="28" t="str">
        <f t="shared" si="34"/>
        <v>Q4-2023</v>
      </c>
      <c r="E170" s="4">
        <v>45222</v>
      </c>
      <c r="F170" s="4">
        <v>45222</v>
      </c>
      <c r="G170" s="17">
        <f t="shared" si="35"/>
        <v>16</v>
      </c>
      <c r="H170" s="17">
        <f t="shared" si="36"/>
        <v>16</v>
      </c>
      <c r="I170" t="str">
        <f t="shared" si="37"/>
        <v>No</v>
      </c>
      <c r="J170" s="2">
        <f t="shared" si="38"/>
        <v>44955</v>
      </c>
      <c r="K170" t="s">
        <v>647</v>
      </c>
      <c r="L170" t="s">
        <v>654</v>
      </c>
      <c r="M170" t="s">
        <v>696</v>
      </c>
      <c r="N170" t="str">
        <f t="shared" si="39"/>
        <v>Asia - India - Hyderabad</v>
      </c>
      <c r="O170" t="s">
        <v>704</v>
      </c>
      <c r="P170" t="s">
        <v>707</v>
      </c>
      <c r="Q170" t="s">
        <v>715</v>
      </c>
      <c r="R170" t="s">
        <v>732</v>
      </c>
      <c r="S170" t="s">
        <v>902</v>
      </c>
      <c r="T170" s="6">
        <v>906.81</v>
      </c>
      <c r="U170" s="8">
        <v>1395.56</v>
      </c>
      <c r="V170" s="8">
        <f t="shared" si="40"/>
        <v>1395.56</v>
      </c>
      <c r="W170" s="8" t="str">
        <f t="shared" si="41"/>
        <v>Medium</v>
      </c>
      <c r="X170" s="15">
        <v>0.185</v>
      </c>
      <c r="Y170" s="15">
        <f t="shared" si="42"/>
        <v>0.185</v>
      </c>
      <c r="Z170" t="str">
        <f t="shared" si="43"/>
        <v>No</v>
      </c>
      <c r="AA170" s="17">
        <v>6</v>
      </c>
      <c r="AB170" s="8">
        <f t="shared" si="44"/>
        <v>6824.2884000000004</v>
      </c>
      <c r="AC170" s="8">
        <f t="shared" si="45"/>
        <v>5440.86</v>
      </c>
      <c r="AD170" s="8">
        <f t="shared" si="46"/>
        <v>1383.4284000000007</v>
      </c>
      <c r="AE170" s="15">
        <f t="shared" si="47"/>
        <v>0.20272126834498974</v>
      </c>
      <c r="AF170" s="34">
        <f>MIN(Y170,'Scenario Modeling'!$B$2)</f>
        <v>0.185</v>
      </c>
      <c r="AG170">
        <f>ROUND(AA170 * (1 + 'Scenario Modeling'!$B$4), 0)</f>
        <v>6</v>
      </c>
      <c r="AH170">
        <f>T170 * (1 + 'Scenario Modeling'!$B$3)</f>
        <v>906.81</v>
      </c>
      <c r="AI170" s="8">
        <f t="shared" si="48"/>
        <v>6824.2884000000004</v>
      </c>
      <c r="AJ170" s="8">
        <f t="shared" si="49"/>
        <v>1383.4284000000007</v>
      </c>
    </row>
    <row r="171" spans="1:36">
      <c r="A171" t="s">
        <v>184</v>
      </c>
      <c r="B171" s="4">
        <v>45574</v>
      </c>
      <c r="C171" s="28">
        <v>45574</v>
      </c>
      <c r="D171" s="28" t="str">
        <f t="shared" si="34"/>
        <v>Q4-2024</v>
      </c>
      <c r="E171" s="4">
        <v>45604</v>
      </c>
      <c r="F171" s="4">
        <v>45604</v>
      </c>
      <c r="G171" s="17">
        <f t="shared" si="35"/>
        <v>30</v>
      </c>
      <c r="H171" s="17">
        <f t="shared" si="36"/>
        <v>30</v>
      </c>
      <c r="I171" t="str">
        <f t="shared" si="37"/>
        <v>No</v>
      </c>
      <c r="J171" s="2">
        <f t="shared" si="38"/>
        <v>44945</v>
      </c>
      <c r="K171" t="s">
        <v>649</v>
      </c>
      <c r="L171" t="s">
        <v>658</v>
      </c>
      <c r="M171" t="s">
        <v>693</v>
      </c>
      <c r="N171" t="str">
        <f t="shared" si="39"/>
        <v>Europe - United Kingdom - Manchester</v>
      </c>
      <c r="O171" t="s">
        <v>705</v>
      </c>
      <c r="P171" t="s">
        <v>710</v>
      </c>
      <c r="Q171" t="s">
        <v>713</v>
      </c>
      <c r="R171" t="s">
        <v>727</v>
      </c>
      <c r="S171" t="s">
        <v>903</v>
      </c>
      <c r="T171" s="6">
        <v>343.85</v>
      </c>
      <c r="U171" s="8">
        <v>538.04</v>
      </c>
      <c r="V171" s="8">
        <f t="shared" si="40"/>
        <v>538.04</v>
      </c>
      <c r="W171" s="8" t="str">
        <f t="shared" si="41"/>
        <v>Low</v>
      </c>
      <c r="X171" s="15">
        <v>0.13900000000000001</v>
      </c>
      <c r="Y171" s="15">
        <f t="shared" si="42"/>
        <v>0.13900000000000001</v>
      </c>
      <c r="Z171" t="str">
        <f t="shared" si="43"/>
        <v>No</v>
      </c>
      <c r="AA171" s="17">
        <v>5</v>
      </c>
      <c r="AB171" s="8">
        <f t="shared" si="44"/>
        <v>2316.2621999999997</v>
      </c>
      <c r="AC171" s="8">
        <f t="shared" si="45"/>
        <v>1719.25</v>
      </c>
      <c r="AD171" s="8">
        <f t="shared" si="46"/>
        <v>597.01219999999967</v>
      </c>
      <c r="AE171" s="15">
        <f t="shared" si="47"/>
        <v>0.25774810813732563</v>
      </c>
      <c r="AF171" s="34">
        <f>MIN(Y171,'Scenario Modeling'!$B$2)</f>
        <v>0.13900000000000001</v>
      </c>
      <c r="AG171">
        <f>ROUND(AA171 * (1 + 'Scenario Modeling'!$B$4), 0)</f>
        <v>5</v>
      </c>
      <c r="AH171">
        <f>T171 * (1 + 'Scenario Modeling'!$B$3)</f>
        <v>343.85</v>
      </c>
      <c r="AI171" s="8">
        <f t="shared" si="48"/>
        <v>2316.2621999999997</v>
      </c>
      <c r="AJ171" s="8">
        <f t="shared" si="49"/>
        <v>597.01219999999967</v>
      </c>
    </row>
    <row r="172" spans="1:36">
      <c r="A172" t="s">
        <v>185</v>
      </c>
      <c r="B172" s="4">
        <v>45488</v>
      </c>
      <c r="C172" s="28">
        <v>45488</v>
      </c>
      <c r="D172" s="28" t="str">
        <f t="shared" si="34"/>
        <v>Q3-2024</v>
      </c>
      <c r="E172" s="4">
        <v>45488</v>
      </c>
      <c r="F172" s="4">
        <v>45488</v>
      </c>
      <c r="G172" s="17">
        <f t="shared" si="35"/>
        <v>0</v>
      </c>
      <c r="H172" s="17">
        <f t="shared" si="36"/>
        <v>0</v>
      </c>
      <c r="I172" t="str">
        <f t="shared" si="37"/>
        <v>Yes</v>
      </c>
      <c r="J172" s="2">
        <f t="shared" si="38"/>
        <v>44988</v>
      </c>
      <c r="K172" t="s">
        <v>647</v>
      </c>
      <c r="L172" t="s">
        <v>652</v>
      </c>
      <c r="M172" t="s">
        <v>689</v>
      </c>
      <c r="N172" t="str">
        <f t="shared" si="39"/>
        <v>Asia - Japan - Tokyo</v>
      </c>
      <c r="O172" t="s">
        <v>705</v>
      </c>
      <c r="P172" t="s">
        <v>709</v>
      </c>
      <c r="Q172" t="s">
        <v>715</v>
      </c>
      <c r="R172" t="s">
        <v>733</v>
      </c>
      <c r="S172" t="s">
        <v>904</v>
      </c>
      <c r="T172" s="6">
        <v>801.77</v>
      </c>
      <c r="U172" s="8">
        <v>1218.92</v>
      </c>
      <c r="V172" s="8">
        <f t="shared" si="40"/>
        <v>1218.92</v>
      </c>
      <c r="W172" s="8" t="str">
        <f t="shared" si="41"/>
        <v>Medium</v>
      </c>
      <c r="X172" s="15">
        <v>0.254</v>
      </c>
      <c r="Y172" s="15">
        <f t="shared" si="42"/>
        <v>0.254</v>
      </c>
      <c r="Z172" t="str">
        <f t="shared" si="43"/>
        <v>Yes</v>
      </c>
      <c r="AA172" s="17">
        <v>16</v>
      </c>
      <c r="AB172" s="8">
        <f t="shared" si="44"/>
        <v>14549.029120000001</v>
      </c>
      <c r="AC172" s="8">
        <f t="shared" si="45"/>
        <v>12828.32</v>
      </c>
      <c r="AD172" s="8">
        <f t="shared" si="46"/>
        <v>1720.7091200000013</v>
      </c>
      <c r="AE172" s="15">
        <f t="shared" si="47"/>
        <v>0.11826968698788344</v>
      </c>
      <c r="AF172" s="34">
        <f>MIN(Y172,'Scenario Modeling'!$B$2)</f>
        <v>0.25</v>
      </c>
      <c r="AG172">
        <f>ROUND(AA172 * (1 + 'Scenario Modeling'!$B$4), 0)</f>
        <v>16</v>
      </c>
      <c r="AH172">
        <f>T172 * (1 + 'Scenario Modeling'!$B$3)</f>
        <v>801.77</v>
      </c>
      <c r="AI172" s="8">
        <f t="shared" si="48"/>
        <v>14627.04</v>
      </c>
      <c r="AJ172" s="8">
        <f t="shared" si="49"/>
        <v>1798.7200000000012</v>
      </c>
    </row>
    <row r="173" spans="1:36">
      <c r="A173" t="s">
        <v>186</v>
      </c>
      <c r="B173" s="4">
        <v>45190</v>
      </c>
      <c r="C173" s="28">
        <v>45190</v>
      </c>
      <c r="D173" s="28" t="str">
        <f t="shared" si="34"/>
        <v>Q3-2023</v>
      </c>
      <c r="E173" s="4">
        <v>45209</v>
      </c>
      <c r="F173" s="4">
        <v>45209</v>
      </c>
      <c r="G173" s="17">
        <f t="shared" si="35"/>
        <v>19</v>
      </c>
      <c r="H173" s="17">
        <f t="shared" si="36"/>
        <v>19</v>
      </c>
      <c r="I173" t="str">
        <f t="shared" si="37"/>
        <v>No</v>
      </c>
      <c r="J173" s="2">
        <f t="shared" si="38"/>
        <v>44988</v>
      </c>
      <c r="K173" t="s">
        <v>647</v>
      </c>
      <c r="L173" t="s">
        <v>652</v>
      </c>
      <c r="M173" t="s">
        <v>689</v>
      </c>
      <c r="N173" t="str">
        <f t="shared" si="39"/>
        <v>Asia - Japan - Tokyo</v>
      </c>
      <c r="O173" t="s">
        <v>702</v>
      </c>
      <c r="P173" t="s">
        <v>708</v>
      </c>
      <c r="Q173" t="s">
        <v>726</v>
      </c>
      <c r="R173" t="s">
        <v>727</v>
      </c>
      <c r="S173" t="s">
        <v>905</v>
      </c>
      <c r="T173" s="6">
        <v>845.63</v>
      </c>
      <c r="U173" s="8">
        <v>2062.12</v>
      </c>
      <c r="V173" s="8">
        <f t="shared" si="40"/>
        <v>2062.12</v>
      </c>
      <c r="W173" s="8" t="str">
        <f t="shared" si="41"/>
        <v>High</v>
      </c>
      <c r="X173" s="15">
        <v>0.13400000000000001</v>
      </c>
      <c r="Y173" s="15">
        <f t="shared" si="42"/>
        <v>0.13400000000000001</v>
      </c>
      <c r="Z173" t="str">
        <f t="shared" si="43"/>
        <v>No</v>
      </c>
      <c r="AA173" s="17">
        <v>5</v>
      </c>
      <c r="AB173" s="8">
        <f t="shared" si="44"/>
        <v>8928.9795999999988</v>
      </c>
      <c r="AC173" s="8">
        <f t="shared" si="45"/>
        <v>4228.1499999999996</v>
      </c>
      <c r="AD173" s="8">
        <f t="shared" si="46"/>
        <v>4700.8295999999991</v>
      </c>
      <c r="AE173" s="15">
        <f t="shared" si="47"/>
        <v>0.52646884757133949</v>
      </c>
      <c r="AF173" s="34">
        <f>MIN(Y173,'Scenario Modeling'!$B$2)</f>
        <v>0.13400000000000001</v>
      </c>
      <c r="AG173">
        <f>ROUND(AA173 * (1 + 'Scenario Modeling'!$B$4), 0)</f>
        <v>5</v>
      </c>
      <c r="AH173">
        <f>T173 * (1 + 'Scenario Modeling'!$B$3)</f>
        <v>845.63</v>
      </c>
      <c r="AI173" s="8">
        <f t="shared" si="48"/>
        <v>8928.9795999999988</v>
      </c>
      <c r="AJ173" s="8">
        <f t="shared" si="49"/>
        <v>4700.8295999999991</v>
      </c>
    </row>
    <row r="174" spans="1:36">
      <c r="A174" t="s">
        <v>187</v>
      </c>
      <c r="B174" s="4">
        <v>44981</v>
      </c>
      <c r="C174" s="28">
        <v>44981</v>
      </c>
      <c r="D174" s="28" t="str">
        <f t="shared" si="34"/>
        <v>Q1-2023</v>
      </c>
      <c r="E174" s="4">
        <v>44994</v>
      </c>
      <c r="F174" s="4">
        <v>44994</v>
      </c>
      <c r="G174" s="17">
        <f t="shared" si="35"/>
        <v>13</v>
      </c>
      <c r="H174" s="17">
        <f t="shared" si="36"/>
        <v>13</v>
      </c>
      <c r="I174" t="str">
        <f t="shared" si="37"/>
        <v>No</v>
      </c>
      <c r="J174" s="2">
        <f t="shared" si="38"/>
        <v>44939</v>
      </c>
      <c r="K174" t="s">
        <v>648</v>
      </c>
      <c r="L174" t="s">
        <v>660</v>
      </c>
      <c r="M174" t="s">
        <v>700</v>
      </c>
      <c r="N174" t="str">
        <f t="shared" si="39"/>
        <v>Americas - USA - New York</v>
      </c>
      <c r="O174" t="s">
        <v>706</v>
      </c>
      <c r="P174" t="s">
        <v>708</v>
      </c>
      <c r="Q174" t="s">
        <v>724</v>
      </c>
      <c r="R174" t="s">
        <v>727</v>
      </c>
      <c r="S174" t="s">
        <v>906</v>
      </c>
      <c r="T174" s="6">
        <v>6.85</v>
      </c>
      <c r="U174" s="8">
        <v>10.18</v>
      </c>
      <c r="V174" s="8">
        <f t="shared" si="40"/>
        <v>10.18</v>
      </c>
      <c r="W174" s="8" t="str">
        <f t="shared" si="41"/>
        <v>Low</v>
      </c>
      <c r="X174" s="15">
        <v>4.7E-2</v>
      </c>
      <c r="Y174" s="15">
        <f t="shared" si="42"/>
        <v>4.7E-2</v>
      </c>
      <c r="Z174" t="str">
        <f t="shared" si="43"/>
        <v>No</v>
      </c>
      <c r="AA174" s="17">
        <v>10</v>
      </c>
      <c r="AB174" s="8">
        <f t="shared" si="44"/>
        <v>97.0154</v>
      </c>
      <c r="AC174" s="8">
        <f t="shared" si="45"/>
        <v>68.5</v>
      </c>
      <c r="AD174" s="8">
        <f t="shared" si="46"/>
        <v>28.5154</v>
      </c>
      <c r="AE174" s="15">
        <f t="shared" si="47"/>
        <v>0.2939265312517394</v>
      </c>
      <c r="AF174" s="34">
        <f>MIN(Y174,'Scenario Modeling'!$B$2)</f>
        <v>4.7E-2</v>
      </c>
      <c r="AG174">
        <f>ROUND(AA174 * (1 + 'Scenario Modeling'!$B$4), 0)</f>
        <v>10</v>
      </c>
      <c r="AH174">
        <f>T174 * (1 + 'Scenario Modeling'!$B$3)</f>
        <v>6.85</v>
      </c>
      <c r="AI174" s="8">
        <f t="shared" si="48"/>
        <v>97.0154</v>
      </c>
      <c r="AJ174" s="8">
        <f t="shared" si="49"/>
        <v>28.5154</v>
      </c>
    </row>
    <row r="175" spans="1:36">
      <c r="A175" t="s">
        <v>188</v>
      </c>
      <c r="B175" s="4">
        <v>45798</v>
      </c>
      <c r="C175" s="28">
        <v>45798</v>
      </c>
      <c r="D175" s="28" t="str">
        <f t="shared" si="34"/>
        <v>Q2-2025</v>
      </c>
      <c r="E175" s="4">
        <v>45796</v>
      </c>
      <c r="F175" s="4">
        <f>B175+11</f>
        <v>45809</v>
      </c>
      <c r="G175" s="17">
        <f t="shared" si="35"/>
        <v>-2</v>
      </c>
      <c r="H175" s="17">
        <f t="shared" si="36"/>
        <v>11</v>
      </c>
      <c r="I175" t="str">
        <f t="shared" si="37"/>
        <v>No</v>
      </c>
      <c r="J175" s="2">
        <f t="shared" si="38"/>
        <v>44933</v>
      </c>
      <c r="K175" t="s">
        <v>646</v>
      </c>
      <c r="L175" t="s">
        <v>661</v>
      </c>
      <c r="M175" t="s">
        <v>682</v>
      </c>
      <c r="N175" t="str">
        <f t="shared" si="39"/>
        <v>Africa - South Africa - Johannesburg</v>
      </c>
      <c r="O175" t="s">
        <v>703</v>
      </c>
      <c r="P175" t="s">
        <v>710</v>
      </c>
      <c r="Q175" t="s">
        <v>719</v>
      </c>
      <c r="R175" t="s">
        <v>731</v>
      </c>
      <c r="S175" t="s">
        <v>907</v>
      </c>
      <c r="T175" s="6">
        <v>1263.8399999999999</v>
      </c>
      <c r="U175" s="8">
        <v>2281.7199999999998</v>
      </c>
      <c r="V175" s="8">
        <f t="shared" si="40"/>
        <v>2281.7199999999998</v>
      </c>
      <c r="W175" s="8" t="str">
        <f t="shared" si="41"/>
        <v>High</v>
      </c>
      <c r="X175" s="15">
        <v>7.8E-2</v>
      </c>
      <c r="Y175" s="15">
        <f t="shared" si="42"/>
        <v>7.8E-2</v>
      </c>
      <c r="Z175" t="str">
        <f t="shared" si="43"/>
        <v>No</v>
      </c>
      <c r="AA175" s="17">
        <v>15</v>
      </c>
      <c r="AB175" s="8">
        <f t="shared" si="44"/>
        <v>31556.187599999997</v>
      </c>
      <c r="AC175" s="8">
        <f t="shared" si="45"/>
        <v>18957.599999999999</v>
      </c>
      <c r="AD175" s="8">
        <f t="shared" si="46"/>
        <v>12598.587599999999</v>
      </c>
      <c r="AE175" s="15">
        <f t="shared" si="47"/>
        <v>0.39924301882398494</v>
      </c>
      <c r="AF175" s="34">
        <f>MIN(Y175,'Scenario Modeling'!$B$2)</f>
        <v>7.8E-2</v>
      </c>
      <c r="AG175">
        <f>ROUND(AA175 * (1 + 'Scenario Modeling'!$B$4), 0)</f>
        <v>15</v>
      </c>
      <c r="AH175">
        <f>T175 * (1 + 'Scenario Modeling'!$B$3)</f>
        <v>1263.8399999999999</v>
      </c>
      <c r="AI175" s="8">
        <f t="shared" si="48"/>
        <v>31556.187599999997</v>
      </c>
      <c r="AJ175" s="8">
        <f t="shared" si="49"/>
        <v>12598.587599999999</v>
      </c>
    </row>
    <row r="176" spans="1:36">
      <c r="A176" t="s">
        <v>189</v>
      </c>
      <c r="B176" s="4">
        <v>45435</v>
      </c>
      <c r="C176" s="28">
        <v>45435</v>
      </c>
      <c r="D176" s="28" t="str">
        <f t="shared" si="34"/>
        <v>Q2-2024</v>
      </c>
      <c r="E176" s="4">
        <v>45446</v>
      </c>
      <c r="F176" s="4">
        <v>45446</v>
      </c>
      <c r="G176" s="17">
        <f t="shared" si="35"/>
        <v>11</v>
      </c>
      <c r="H176" s="17">
        <f t="shared" si="36"/>
        <v>11</v>
      </c>
      <c r="I176" t="str">
        <f t="shared" si="37"/>
        <v>No</v>
      </c>
      <c r="J176" s="2">
        <f t="shared" si="38"/>
        <v>44933</v>
      </c>
      <c r="K176" t="s">
        <v>646</v>
      </c>
      <c r="L176" t="s">
        <v>661</v>
      </c>
      <c r="M176" t="s">
        <v>682</v>
      </c>
      <c r="N176" t="str">
        <f t="shared" si="39"/>
        <v>Africa - South Africa - Johannesburg</v>
      </c>
      <c r="O176" t="s">
        <v>705</v>
      </c>
      <c r="P176" t="s">
        <v>710</v>
      </c>
      <c r="Q176" t="s">
        <v>721</v>
      </c>
      <c r="R176" t="s">
        <v>728</v>
      </c>
      <c r="S176" t="s">
        <v>908</v>
      </c>
      <c r="T176" s="6">
        <v>180.89</v>
      </c>
      <c r="U176" s="8">
        <v>249.57</v>
      </c>
      <c r="V176" s="8">
        <f t="shared" si="40"/>
        <v>249.57</v>
      </c>
      <c r="W176" s="8" t="str">
        <f t="shared" si="41"/>
        <v>Low</v>
      </c>
      <c r="X176" s="15">
        <v>2.1999999999999999E-2</v>
      </c>
      <c r="Y176" s="15">
        <f t="shared" si="42"/>
        <v>2.1999999999999999E-2</v>
      </c>
      <c r="Z176" t="str">
        <f t="shared" si="43"/>
        <v>No</v>
      </c>
      <c r="AA176" s="17">
        <v>8</v>
      </c>
      <c r="AB176" s="8">
        <f t="shared" si="44"/>
        <v>1952.6356799999999</v>
      </c>
      <c r="AC176" s="8">
        <f t="shared" si="45"/>
        <v>1447.12</v>
      </c>
      <c r="AD176" s="8">
        <f t="shared" si="46"/>
        <v>505.51567999999997</v>
      </c>
      <c r="AE176" s="15">
        <f t="shared" si="47"/>
        <v>0.25888888806948362</v>
      </c>
      <c r="AF176" s="34">
        <f>MIN(Y176,'Scenario Modeling'!$B$2)</f>
        <v>2.1999999999999999E-2</v>
      </c>
      <c r="AG176">
        <f>ROUND(AA176 * (1 + 'Scenario Modeling'!$B$4), 0)</f>
        <v>8</v>
      </c>
      <c r="AH176">
        <f>T176 * (1 + 'Scenario Modeling'!$B$3)</f>
        <v>180.89</v>
      </c>
      <c r="AI176" s="8">
        <f t="shared" si="48"/>
        <v>1952.6356799999999</v>
      </c>
      <c r="AJ176" s="8">
        <f t="shared" si="49"/>
        <v>505.51567999999997</v>
      </c>
    </row>
    <row r="177" spans="1:36">
      <c r="A177" t="s">
        <v>190</v>
      </c>
      <c r="B177" s="4">
        <v>45761</v>
      </c>
      <c r="C177" s="28">
        <v>45761</v>
      </c>
      <c r="D177" s="28" t="str">
        <f t="shared" si="34"/>
        <v>Q2-2025</v>
      </c>
      <c r="E177" s="4">
        <v>45781</v>
      </c>
      <c r="F177" s="4">
        <v>45781</v>
      </c>
      <c r="G177" s="17">
        <f t="shared" si="35"/>
        <v>20</v>
      </c>
      <c r="H177" s="17">
        <f t="shared" si="36"/>
        <v>20</v>
      </c>
      <c r="I177" t="str">
        <f t="shared" si="37"/>
        <v>No</v>
      </c>
      <c r="J177" s="2">
        <f t="shared" si="38"/>
        <v>44945</v>
      </c>
      <c r="K177" t="s">
        <v>649</v>
      </c>
      <c r="L177" t="s">
        <v>658</v>
      </c>
      <c r="M177" t="s">
        <v>674</v>
      </c>
      <c r="N177" t="str">
        <f t="shared" si="39"/>
        <v>Europe - United Kingdom - Birmingham</v>
      </c>
      <c r="O177" t="s">
        <v>706</v>
      </c>
      <c r="P177" t="s">
        <v>709</v>
      </c>
      <c r="Q177" t="s">
        <v>723</v>
      </c>
      <c r="R177" t="s">
        <v>732</v>
      </c>
      <c r="S177" t="s">
        <v>909</v>
      </c>
      <c r="T177" s="6">
        <v>1413.87</v>
      </c>
      <c r="U177" s="8">
        <v>3275</v>
      </c>
      <c r="V177" s="8">
        <f t="shared" si="40"/>
        <v>3275</v>
      </c>
      <c r="W177" s="8" t="str">
        <f t="shared" si="41"/>
        <v>High</v>
      </c>
      <c r="X177" s="15">
        <v>0.255</v>
      </c>
      <c r="Y177" s="15">
        <f t="shared" si="42"/>
        <v>0.255</v>
      </c>
      <c r="Z177" t="str">
        <f t="shared" si="43"/>
        <v>Yes</v>
      </c>
      <c r="AA177" s="17">
        <v>38</v>
      </c>
      <c r="AB177" s="8">
        <f t="shared" si="44"/>
        <v>92715.25</v>
      </c>
      <c r="AC177" s="8">
        <f t="shared" si="45"/>
        <v>53727.06</v>
      </c>
      <c r="AD177" s="8">
        <f t="shared" si="46"/>
        <v>38988.19</v>
      </c>
      <c r="AE177" s="15">
        <f t="shared" si="47"/>
        <v>0.42051539525590453</v>
      </c>
      <c r="AF177" s="34">
        <f>MIN(Y177,'Scenario Modeling'!$B$2)</f>
        <v>0.25</v>
      </c>
      <c r="AG177">
        <f>ROUND(AA177 * (1 + 'Scenario Modeling'!$B$4), 0)</f>
        <v>38</v>
      </c>
      <c r="AH177">
        <f>T177 * (1 + 'Scenario Modeling'!$B$3)</f>
        <v>1413.87</v>
      </c>
      <c r="AI177" s="8">
        <f t="shared" si="48"/>
        <v>93337.5</v>
      </c>
      <c r="AJ177" s="8">
        <f t="shared" si="49"/>
        <v>39610.44</v>
      </c>
    </row>
    <row r="178" spans="1:36">
      <c r="A178" t="s">
        <v>191</v>
      </c>
      <c r="B178" s="4">
        <v>45165</v>
      </c>
      <c r="C178" s="28">
        <v>45165</v>
      </c>
      <c r="D178" s="28" t="str">
        <f t="shared" si="34"/>
        <v>Q3-2023</v>
      </c>
      <c r="E178" s="4">
        <v>45180</v>
      </c>
      <c r="F178" s="4">
        <v>45180</v>
      </c>
      <c r="G178" s="17">
        <f t="shared" si="35"/>
        <v>15</v>
      </c>
      <c r="H178" s="17">
        <f t="shared" si="36"/>
        <v>15</v>
      </c>
      <c r="I178" t="str">
        <f t="shared" si="37"/>
        <v>No</v>
      </c>
      <c r="J178" s="2">
        <f t="shared" si="38"/>
        <v>44945</v>
      </c>
      <c r="K178" t="s">
        <v>649</v>
      </c>
      <c r="L178" t="s">
        <v>658</v>
      </c>
      <c r="M178" t="s">
        <v>683</v>
      </c>
      <c r="N178" t="str">
        <f t="shared" si="39"/>
        <v>Europe - United Kingdom - London</v>
      </c>
      <c r="O178" t="s">
        <v>704</v>
      </c>
      <c r="P178" t="s">
        <v>709</v>
      </c>
      <c r="Q178" t="s">
        <v>725</v>
      </c>
      <c r="R178" t="s">
        <v>728</v>
      </c>
      <c r="S178" t="s">
        <v>910</v>
      </c>
      <c r="T178" s="6">
        <v>943.79</v>
      </c>
      <c r="U178" s="8">
        <v>1913.76</v>
      </c>
      <c r="V178" s="8">
        <f t="shared" si="40"/>
        <v>1913.76</v>
      </c>
      <c r="W178" s="8" t="str">
        <f t="shared" si="41"/>
        <v>High</v>
      </c>
      <c r="X178" s="15">
        <v>9.0999999999999998E-2</v>
      </c>
      <c r="Y178" s="15">
        <f t="shared" si="42"/>
        <v>9.0999999999999998E-2</v>
      </c>
      <c r="Z178" t="str">
        <f t="shared" si="43"/>
        <v>No</v>
      </c>
      <c r="AA178" s="17">
        <v>9</v>
      </c>
      <c r="AB178" s="8">
        <f t="shared" si="44"/>
        <v>15656.47056</v>
      </c>
      <c r="AC178" s="8">
        <f t="shared" si="45"/>
        <v>8494.11</v>
      </c>
      <c r="AD178" s="8">
        <f t="shared" si="46"/>
        <v>7162.3605599999992</v>
      </c>
      <c r="AE178" s="15">
        <f t="shared" si="47"/>
        <v>0.45746967891338081</v>
      </c>
      <c r="AF178" s="34">
        <f>MIN(Y178,'Scenario Modeling'!$B$2)</f>
        <v>9.0999999999999998E-2</v>
      </c>
      <c r="AG178">
        <f>ROUND(AA178 * (1 + 'Scenario Modeling'!$B$4), 0)</f>
        <v>9</v>
      </c>
      <c r="AH178">
        <f>T178 * (1 + 'Scenario Modeling'!$B$3)</f>
        <v>943.79</v>
      </c>
      <c r="AI178" s="8">
        <f t="shared" si="48"/>
        <v>15656.47056</v>
      </c>
      <c r="AJ178" s="8">
        <f t="shared" si="49"/>
        <v>7162.3605599999992</v>
      </c>
    </row>
    <row r="179" spans="1:36">
      <c r="A179" t="s">
        <v>192</v>
      </c>
      <c r="B179" s="4">
        <v>45325</v>
      </c>
      <c r="C179" s="28">
        <v>45325</v>
      </c>
      <c r="D179" s="28" t="str">
        <f t="shared" si="34"/>
        <v>Q1-2024</v>
      </c>
      <c r="E179" s="4">
        <v>45343</v>
      </c>
      <c r="F179" s="4">
        <v>45343</v>
      </c>
      <c r="G179" s="17">
        <f t="shared" si="35"/>
        <v>18</v>
      </c>
      <c r="H179" s="17">
        <f t="shared" si="36"/>
        <v>18</v>
      </c>
      <c r="I179" t="str">
        <f t="shared" si="37"/>
        <v>No</v>
      </c>
      <c r="J179" s="2">
        <f t="shared" si="38"/>
        <v>44948</v>
      </c>
      <c r="K179" t="s">
        <v>649</v>
      </c>
      <c r="L179" t="s">
        <v>656</v>
      </c>
      <c r="M179" t="s">
        <v>698</v>
      </c>
      <c r="N179" t="str">
        <f t="shared" si="39"/>
        <v>Europe - Germany - Frankfurt</v>
      </c>
      <c r="O179" t="s">
        <v>701</v>
      </c>
      <c r="P179" t="s">
        <v>707</v>
      </c>
      <c r="Q179" t="s">
        <v>722</v>
      </c>
      <c r="R179" t="s">
        <v>727</v>
      </c>
      <c r="S179" t="s">
        <v>911</v>
      </c>
      <c r="T179" s="6">
        <v>39.229999999999997</v>
      </c>
      <c r="U179" s="8">
        <v>30.09</v>
      </c>
      <c r="V179" s="8">
        <f t="shared" si="40"/>
        <v>30.09</v>
      </c>
      <c r="W179" s="8" t="str">
        <f t="shared" si="41"/>
        <v>Low</v>
      </c>
      <c r="X179" s="15">
        <v>0.17699999999999999</v>
      </c>
      <c r="Y179" s="15">
        <f t="shared" si="42"/>
        <v>0.17699999999999999</v>
      </c>
      <c r="Z179" t="str">
        <f t="shared" si="43"/>
        <v>No</v>
      </c>
      <c r="AA179" s="17">
        <v>13</v>
      </c>
      <c r="AB179" s="8">
        <f t="shared" si="44"/>
        <v>321.93290999999999</v>
      </c>
      <c r="AC179" s="8">
        <f t="shared" si="45"/>
        <v>509.98999999999995</v>
      </c>
      <c r="AD179" s="8">
        <f t="shared" si="46"/>
        <v>-188.05708999999996</v>
      </c>
      <c r="AE179" s="15">
        <f t="shared" si="47"/>
        <v>-0.58414993981199359</v>
      </c>
      <c r="AF179" s="34">
        <f>MIN(Y179,'Scenario Modeling'!$B$2)</f>
        <v>0.17699999999999999</v>
      </c>
      <c r="AG179">
        <f>ROUND(AA179 * (1 + 'Scenario Modeling'!$B$4), 0)</f>
        <v>13</v>
      </c>
      <c r="AH179">
        <f>T179 * (1 + 'Scenario Modeling'!$B$3)</f>
        <v>39.229999999999997</v>
      </c>
      <c r="AI179" s="8">
        <f t="shared" si="48"/>
        <v>321.93290999999999</v>
      </c>
      <c r="AJ179" s="8">
        <f t="shared" si="49"/>
        <v>-188.05708999999996</v>
      </c>
    </row>
    <row r="180" spans="1:36">
      <c r="A180" t="s">
        <v>193</v>
      </c>
      <c r="B180" s="4">
        <v>45021</v>
      </c>
      <c r="C180" s="28">
        <v>45021</v>
      </c>
      <c r="D180" s="28" t="str">
        <f t="shared" si="34"/>
        <v>Q2-2023</v>
      </c>
      <c r="E180" s="4">
        <v>45032</v>
      </c>
      <c r="F180" s="4">
        <v>45032</v>
      </c>
      <c r="G180" s="17">
        <f t="shared" si="35"/>
        <v>11</v>
      </c>
      <c r="H180" s="17">
        <f t="shared" si="36"/>
        <v>11</v>
      </c>
      <c r="I180" t="str">
        <f t="shared" si="37"/>
        <v>No</v>
      </c>
      <c r="J180" s="2">
        <f t="shared" si="38"/>
        <v>44928</v>
      </c>
      <c r="K180" t="s">
        <v>648</v>
      </c>
      <c r="L180" t="s">
        <v>653</v>
      </c>
      <c r="M180" t="s">
        <v>688</v>
      </c>
      <c r="N180" t="str">
        <f t="shared" si="39"/>
        <v>Americas - Canada - Vancouver</v>
      </c>
      <c r="O180" t="s">
        <v>703</v>
      </c>
      <c r="P180" t="s">
        <v>708</v>
      </c>
      <c r="Q180" t="s">
        <v>719</v>
      </c>
      <c r="R180" t="s">
        <v>732</v>
      </c>
      <c r="S180" t="s">
        <v>912</v>
      </c>
      <c r="T180" s="6">
        <v>213.1</v>
      </c>
      <c r="U180" s="8">
        <v>501.31</v>
      </c>
      <c r="V180" s="8">
        <f t="shared" si="40"/>
        <v>501.31</v>
      </c>
      <c r="W180" s="8" t="str">
        <f t="shared" si="41"/>
        <v>Low</v>
      </c>
      <c r="X180" s="15">
        <v>5.6000000000000001E-2</v>
      </c>
      <c r="Y180" s="15">
        <f t="shared" si="42"/>
        <v>5.6000000000000001E-2</v>
      </c>
      <c r="Z180" t="str">
        <f t="shared" si="43"/>
        <v>No</v>
      </c>
      <c r="AA180" s="17">
        <v>15</v>
      </c>
      <c r="AB180" s="8">
        <f t="shared" si="44"/>
        <v>7098.5495999999994</v>
      </c>
      <c r="AC180" s="8">
        <f t="shared" si="45"/>
        <v>3196.5</v>
      </c>
      <c r="AD180" s="8">
        <f t="shared" si="46"/>
        <v>3902.0495999999994</v>
      </c>
      <c r="AE180" s="15">
        <f t="shared" si="47"/>
        <v>0.54969674368409005</v>
      </c>
      <c r="AF180" s="34">
        <f>MIN(Y180,'Scenario Modeling'!$B$2)</f>
        <v>5.6000000000000001E-2</v>
      </c>
      <c r="AG180">
        <f>ROUND(AA180 * (1 + 'Scenario Modeling'!$B$4), 0)</f>
        <v>15</v>
      </c>
      <c r="AH180">
        <f>T180 * (1 + 'Scenario Modeling'!$B$3)</f>
        <v>213.1</v>
      </c>
      <c r="AI180" s="8">
        <f t="shared" si="48"/>
        <v>7098.5495999999994</v>
      </c>
      <c r="AJ180" s="8">
        <f t="shared" si="49"/>
        <v>3902.0495999999994</v>
      </c>
    </row>
    <row r="181" spans="1:36">
      <c r="A181" t="s">
        <v>194</v>
      </c>
      <c r="B181" s="4">
        <v>45890</v>
      </c>
      <c r="C181" s="28">
        <v>45890</v>
      </c>
      <c r="D181" s="28" t="str">
        <f t="shared" si="34"/>
        <v>Q3-2025</v>
      </c>
      <c r="E181" s="4">
        <v>45912</v>
      </c>
      <c r="F181" s="4">
        <v>45912</v>
      </c>
      <c r="G181" s="17">
        <f t="shared" si="35"/>
        <v>22</v>
      </c>
      <c r="H181" s="17">
        <f t="shared" si="36"/>
        <v>22</v>
      </c>
      <c r="I181" t="str">
        <f t="shared" si="37"/>
        <v>No</v>
      </c>
      <c r="J181" s="2">
        <f t="shared" si="38"/>
        <v>44938</v>
      </c>
      <c r="K181" t="s">
        <v>647</v>
      </c>
      <c r="L181" t="s">
        <v>659</v>
      </c>
      <c r="M181" t="s">
        <v>676</v>
      </c>
      <c r="N181" t="str">
        <f t="shared" si="39"/>
        <v>Asia - China - Shenzhen</v>
      </c>
      <c r="O181" t="s">
        <v>702</v>
      </c>
      <c r="P181" t="s">
        <v>707</v>
      </c>
      <c r="Q181" t="s">
        <v>717</v>
      </c>
      <c r="R181" t="s">
        <v>728</v>
      </c>
      <c r="S181" t="s">
        <v>913</v>
      </c>
      <c r="T181" s="6">
        <v>352.66</v>
      </c>
      <c r="U181" s="8">
        <v>411.18</v>
      </c>
      <c r="V181" s="8">
        <f t="shared" si="40"/>
        <v>411.18</v>
      </c>
      <c r="W181" s="8" t="str">
        <f t="shared" si="41"/>
        <v>Low</v>
      </c>
      <c r="X181" s="15">
        <v>0.17299999999999999</v>
      </c>
      <c r="Y181" s="15">
        <f t="shared" si="42"/>
        <v>0.17299999999999999</v>
      </c>
      <c r="Z181" t="str">
        <f t="shared" si="43"/>
        <v>No</v>
      </c>
      <c r="AA181" s="17">
        <v>13</v>
      </c>
      <c r="AB181" s="8">
        <f t="shared" si="44"/>
        <v>4420.5961799999995</v>
      </c>
      <c r="AC181" s="8">
        <f t="shared" si="45"/>
        <v>4584.58</v>
      </c>
      <c r="AD181" s="8">
        <f t="shared" si="46"/>
        <v>-163.98382000000038</v>
      </c>
      <c r="AE181" s="15">
        <f t="shared" si="47"/>
        <v>-3.7095408248758066E-2</v>
      </c>
      <c r="AF181" s="34">
        <f>MIN(Y181,'Scenario Modeling'!$B$2)</f>
        <v>0.17299999999999999</v>
      </c>
      <c r="AG181">
        <f>ROUND(AA181 * (1 + 'Scenario Modeling'!$B$4), 0)</f>
        <v>13</v>
      </c>
      <c r="AH181">
        <f>T181 * (1 + 'Scenario Modeling'!$B$3)</f>
        <v>352.66</v>
      </c>
      <c r="AI181" s="8">
        <f t="shared" si="48"/>
        <v>4420.5961799999995</v>
      </c>
      <c r="AJ181" s="8">
        <f t="shared" si="49"/>
        <v>-163.98382000000038</v>
      </c>
    </row>
    <row r="182" spans="1:36">
      <c r="A182" t="s">
        <v>195</v>
      </c>
      <c r="B182" s="4">
        <v>45915</v>
      </c>
      <c r="C182" s="28">
        <v>45915</v>
      </c>
      <c r="D182" s="28" t="str">
        <f t="shared" si="34"/>
        <v>Q3-2025</v>
      </c>
      <c r="E182" s="4">
        <v>45918</v>
      </c>
      <c r="F182" s="4">
        <v>45918</v>
      </c>
      <c r="G182" s="17">
        <f t="shared" si="35"/>
        <v>3</v>
      </c>
      <c r="H182" s="17">
        <f t="shared" si="36"/>
        <v>3</v>
      </c>
      <c r="I182" t="str">
        <f t="shared" si="37"/>
        <v>Yes</v>
      </c>
      <c r="J182" s="2">
        <f t="shared" si="38"/>
        <v>44955</v>
      </c>
      <c r="K182" t="s">
        <v>648</v>
      </c>
      <c r="L182" t="s">
        <v>655</v>
      </c>
      <c r="M182" t="s">
        <v>692</v>
      </c>
      <c r="N182" t="str">
        <f t="shared" si="39"/>
        <v>Americas - Brazil - Rio de Janeiro</v>
      </c>
      <c r="O182" t="s">
        <v>703</v>
      </c>
      <c r="P182" t="s">
        <v>711</v>
      </c>
      <c r="Q182" t="s">
        <v>716</v>
      </c>
      <c r="R182" t="s">
        <v>733</v>
      </c>
      <c r="S182" t="s">
        <v>914</v>
      </c>
      <c r="T182" s="6">
        <v>5.5</v>
      </c>
      <c r="U182" s="8">
        <v>5.92</v>
      </c>
      <c r="V182" s="8">
        <f t="shared" si="40"/>
        <v>5.92</v>
      </c>
      <c r="W182" s="8" t="str">
        <f t="shared" si="41"/>
        <v>Low</v>
      </c>
      <c r="X182" s="15">
        <v>0.21199999999999999</v>
      </c>
      <c r="Y182" s="15">
        <f t="shared" si="42"/>
        <v>0.21199999999999999</v>
      </c>
      <c r="Z182" t="str">
        <f t="shared" si="43"/>
        <v>Yes</v>
      </c>
      <c r="AA182" s="17">
        <v>4</v>
      </c>
      <c r="AB182" s="8">
        <f t="shared" si="44"/>
        <v>18.659839999999999</v>
      </c>
      <c r="AC182" s="8">
        <f t="shared" si="45"/>
        <v>22</v>
      </c>
      <c r="AD182" s="8">
        <f t="shared" si="46"/>
        <v>-3.3401600000000009</v>
      </c>
      <c r="AE182" s="15">
        <f t="shared" si="47"/>
        <v>-0.17900260666758133</v>
      </c>
      <c r="AF182" s="34">
        <f>MIN(Y182,'Scenario Modeling'!$B$2)</f>
        <v>0.21199999999999999</v>
      </c>
      <c r="AG182">
        <f>ROUND(AA182 * (1 + 'Scenario Modeling'!$B$4), 0)</f>
        <v>4</v>
      </c>
      <c r="AH182">
        <f>T182 * (1 + 'Scenario Modeling'!$B$3)</f>
        <v>5.5</v>
      </c>
      <c r="AI182" s="8">
        <f t="shared" si="48"/>
        <v>18.659839999999999</v>
      </c>
      <c r="AJ182" s="8">
        <f t="shared" si="49"/>
        <v>-3.3401600000000009</v>
      </c>
    </row>
    <row r="183" spans="1:36">
      <c r="A183" t="s">
        <v>196</v>
      </c>
      <c r="B183" s="4">
        <v>45568</v>
      </c>
      <c r="C183" s="28">
        <v>45568</v>
      </c>
      <c r="D183" s="28" t="str">
        <f t="shared" si="34"/>
        <v>Q4-2024</v>
      </c>
      <c r="E183" s="4">
        <v>45576</v>
      </c>
      <c r="F183" s="4">
        <v>45576</v>
      </c>
      <c r="G183" s="17">
        <f t="shared" si="35"/>
        <v>8</v>
      </c>
      <c r="H183" s="17">
        <f t="shared" si="36"/>
        <v>8</v>
      </c>
      <c r="I183" t="str">
        <f t="shared" si="37"/>
        <v>No</v>
      </c>
      <c r="J183" s="2">
        <f t="shared" si="38"/>
        <v>44938</v>
      </c>
      <c r="K183" t="s">
        <v>647</v>
      </c>
      <c r="L183" t="s">
        <v>659</v>
      </c>
      <c r="M183" t="s">
        <v>699</v>
      </c>
      <c r="N183" t="str">
        <f t="shared" si="39"/>
        <v>Asia - China - Beijing</v>
      </c>
      <c r="O183" t="s">
        <v>706</v>
      </c>
      <c r="P183" t="s">
        <v>711</v>
      </c>
      <c r="Q183" t="s">
        <v>717</v>
      </c>
      <c r="R183" t="s">
        <v>730</v>
      </c>
      <c r="S183" t="s">
        <v>915</v>
      </c>
      <c r="T183" s="6">
        <v>1132.6099999999999</v>
      </c>
      <c r="U183" s="8">
        <v>2206.63</v>
      </c>
      <c r="V183" s="8">
        <f t="shared" si="40"/>
        <v>2206.63</v>
      </c>
      <c r="W183" s="8" t="str">
        <f t="shared" si="41"/>
        <v>High</v>
      </c>
      <c r="X183" s="15">
        <v>6.3E-2</v>
      </c>
      <c r="Y183" s="15">
        <f t="shared" si="42"/>
        <v>6.3E-2</v>
      </c>
      <c r="Z183" t="str">
        <f t="shared" si="43"/>
        <v>No</v>
      </c>
      <c r="AA183" s="17">
        <v>20</v>
      </c>
      <c r="AB183" s="8">
        <f t="shared" si="44"/>
        <v>41352.246200000009</v>
      </c>
      <c r="AC183" s="8">
        <f t="shared" si="45"/>
        <v>22652.199999999997</v>
      </c>
      <c r="AD183" s="8">
        <f t="shared" si="46"/>
        <v>18700.046200000012</v>
      </c>
      <c r="AE183" s="15">
        <f t="shared" si="47"/>
        <v>0.45221355351671338</v>
      </c>
      <c r="AF183" s="34">
        <f>MIN(Y183,'Scenario Modeling'!$B$2)</f>
        <v>6.3E-2</v>
      </c>
      <c r="AG183">
        <f>ROUND(AA183 * (1 + 'Scenario Modeling'!$B$4), 0)</f>
        <v>20</v>
      </c>
      <c r="AH183">
        <f>T183 * (1 + 'Scenario Modeling'!$B$3)</f>
        <v>1132.6099999999999</v>
      </c>
      <c r="AI183" s="8">
        <f t="shared" si="48"/>
        <v>41352.246200000009</v>
      </c>
      <c r="AJ183" s="8">
        <f t="shared" si="49"/>
        <v>18700.046200000012</v>
      </c>
    </row>
    <row r="184" spans="1:36">
      <c r="A184" t="s">
        <v>197</v>
      </c>
      <c r="B184" s="4">
        <v>45690</v>
      </c>
      <c r="C184" s="28">
        <v>45690</v>
      </c>
      <c r="D184" s="28" t="str">
        <f t="shared" si="34"/>
        <v>Q1-2025</v>
      </c>
      <c r="E184" s="4">
        <v>45720</v>
      </c>
      <c r="F184" s="4">
        <v>45720</v>
      </c>
      <c r="G184" s="17">
        <f t="shared" si="35"/>
        <v>30</v>
      </c>
      <c r="H184" s="17">
        <f t="shared" si="36"/>
        <v>30</v>
      </c>
      <c r="I184" t="str">
        <f t="shared" si="37"/>
        <v>No</v>
      </c>
      <c r="J184" s="2">
        <f t="shared" si="38"/>
        <v>44988</v>
      </c>
      <c r="K184" t="s">
        <v>647</v>
      </c>
      <c r="L184" t="s">
        <v>652</v>
      </c>
      <c r="M184" t="s">
        <v>666</v>
      </c>
      <c r="N184" t="str">
        <f t="shared" si="39"/>
        <v>Asia - Japan - Osaka</v>
      </c>
      <c r="O184" t="s">
        <v>702</v>
      </c>
      <c r="P184" t="s">
        <v>710</v>
      </c>
      <c r="Q184" t="s">
        <v>716</v>
      </c>
      <c r="R184" t="s">
        <v>733</v>
      </c>
      <c r="S184" t="s">
        <v>916</v>
      </c>
      <c r="T184" s="6">
        <v>766.59</v>
      </c>
      <c r="U184" s="8">
        <v>1912.8</v>
      </c>
      <c r="V184" s="8">
        <f t="shared" si="40"/>
        <v>1912.8</v>
      </c>
      <c r="W184" s="8" t="str">
        <f t="shared" si="41"/>
        <v>High</v>
      </c>
      <c r="X184" s="15">
        <v>0.19600000000000001</v>
      </c>
      <c r="Y184" s="15">
        <f t="shared" si="42"/>
        <v>0.19600000000000001</v>
      </c>
      <c r="Z184" t="str">
        <f t="shared" si="43"/>
        <v>No</v>
      </c>
      <c r="AA184" s="17">
        <v>5</v>
      </c>
      <c r="AB184" s="8">
        <f t="shared" si="44"/>
        <v>7689.4560000000001</v>
      </c>
      <c r="AC184" s="8">
        <f t="shared" si="45"/>
        <v>3832.9500000000003</v>
      </c>
      <c r="AD184" s="8">
        <f t="shared" si="46"/>
        <v>3856.5059999999999</v>
      </c>
      <c r="AE184" s="15">
        <f t="shared" si="47"/>
        <v>0.50153170783472845</v>
      </c>
      <c r="AF184" s="34">
        <f>MIN(Y184,'Scenario Modeling'!$B$2)</f>
        <v>0.19600000000000001</v>
      </c>
      <c r="AG184">
        <f>ROUND(AA184 * (1 + 'Scenario Modeling'!$B$4), 0)</f>
        <v>5</v>
      </c>
      <c r="AH184">
        <f>T184 * (1 + 'Scenario Modeling'!$B$3)</f>
        <v>766.59</v>
      </c>
      <c r="AI184" s="8">
        <f t="shared" si="48"/>
        <v>7689.4560000000001</v>
      </c>
      <c r="AJ184" s="8">
        <f t="shared" si="49"/>
        <v>3856.5059999999999</v>
      </c>
    </row>
    <row r="185" spans="1:36">
      <c r="A185" t="s">
        <v>198</v>
      </c>
      <c r="B185" s="4">
        <v>45157</v>
      </c>
      <c r="C185" s="28">
        <v>45157</v>
      </c>
      <c r="D185" s="28" t="str">
        <f t="shared" si="34"/>
        <v>Q3-2023</v>
      </c>
      <c r="E185" s="4">
        <v>45161</v>
      </c>
      <c r="F185" s="4">
        <v>45161</v>
      </c>
      <c r="G185" s="17">
        <f t="shared" si="35"/>
        <v>4</v>
      </c>
      <c r="H185" s="17">
        <f t="shared" si="36"/>
        <v>4</v>
      </c>
      <c r="I185" t="str">
        <f t="shared" si="37"/>
        <v>Yes</v>
      </c>
      <c r="J185" s="2">
        <f t="shared" si="38"/>
        <v>44941</v>
      </c>
      <c r="K185" t="s">
        <v>646</v>
      </c>
      <c r="L185" t="s">
        <v>651</v>
      </c>
      <c r="M185" t="s">
        <v>669</v>
      </c>
      <c r="N185" t="str">
        <f t="shared" si="39"/>
        <v>Africa - Nigeria - Abuja</v>
      </c>
      <c r="O185" t="s">
        <v>705</v>
      </c>
      <c r="P185" t="s">
        <v>708</v>
      </c>
      <c r="Q185" t="s">
        <v>713</v>
      </c>
      <c r="R185" t="s">
        <v>732</v>
      </c>
      <c r="S185" t="s">
        <v>917</v>
      </c>
      <c r="T185" s="6">
        <v>790.63</v>
      </c>
      <c r="U185" s="8">
        <v>1382.31</v>
      </c>
      <c r="V185" s="8">
        <f t="shared" si="40"/>
        <v>1382.31</v>
      </c>
      <c r="W185" s="8" t="str">
        <f t="shared" si="41"/>
        <v>Medium</v>
      </c>
      <c r="X185" s="15">
        <v>0.10100000000000001</v>
      </c>
      <c r="Y185" s="15">
        <f t="shared" si="42"/>
        <v>0.10100000000000001</v>
      </c>
      <c r="Z185" t="str">
        <f t="shared" si="43"/>
        <v>No</v>
      </c>
      <c r="AA185" s="17">
        <v>7</v>
      </c>
      <c r="AB185" s="8">
        <f t="shared" si="44"/>
        <v>8698.8768300000011</v>
      </c>
      <c r="AC185" s="8">
        <f t="shared" si="45"/>
        <v>5534.41</v>
      </c>
      <c r="AD185" s="8">
        <f t="shared" si="46"/>
        <v>3164.4668300000012</v>
      </c>
      <c r="AE185" s="15">
        <f t="shared" si="47"/>
        <v>0.36377878338116448</v>
      </c>
      <c r="AF185" s="34">
        <f>MIN(Y185,'Scenario Modeling'!$B$2)</f>
        <v>0.10100000000000001</v>
      </c>
      <c r="AG185">
        <f>ROUND(AA185 * (1 + 'Scenario Modeling'!$B$4), 0)</f>
        <v>7</v>
      </c>
      <c r="AH185">
        <f>T185 * (1 + 'Scenario Modeling'!$B$3)</f>
        <v>790.63</v>
      </c>
      <c r="AI185" s="8">
        <f t="shared" si="48"/>
        <v>8698.8768300000011</v>
      </c>
      <c r="AJ185" s="8">
        <f t="shared" si="49"/>
        <v>3164.4668300000012</v>
      </c>
    </row>
    <row r="186" spans="1:36">
      <c r="A186" t="s">
        <v>199</v>
      </c>
      <c r="B186" s="4">
        <v>45587</v>
      </c>
      <c r="C186" s="28">
        <v>45587</v>
      </c>
      <c r="D186" s="28" t="str">
        <f t="shared" si="34"/>
        <v>Q4-2024</v>
      </c>
      <c r="E186" s="4">
        <v>45594</v>
      </c>
      <c r="F186" s="4">
        <v>45594</v>
      </c>
      <c r="G186" s="17">
        <f t="shared" si="35"/>
        <v>7</v>
      </c>
      <c r="H186" s="17">
        <f t="shared" si="36"/>
        <v>7</v>
      </c>
      <c r="I186" t="str">
        <f t="shared" si="37"/>
        <v>Yes</v>
      </c>
      <c r="J186" s="2">
        <f t="shared" si="38"/>
        <v>44941</v>
      </c>
      <c r="K186" t="s">
        <v>646</v>
      </c>
      <c r="L186" t="s">
        <v>651</v>
      </c>
      <c r="M186" t="s">
        <v>663</v>
      </c>
      <c r="N186" t="str">
        <f t="shared" si="39"/>
        <v>Africa - Nigeria - Port Harcourt</v>
      </c>
      <c r="O186" t="s">
        <v>706</v>
      </c>
      <c r="P186" t="s">
        <v>710</v>
      </c>
      <c r="Q186" t="s">
        <v>724</v>
      </c>
      <c r="R186" t="s">
        <v>732</v>
      </c>
      <c r="S186" t="s">
        <v>918</v>
      </c>
      <c r="T186" s="6">
        <v>1023.06</v>
      </c>
      <c r="U186" s="8">
        <v>1355.61</v>
      </c>
      <c r="V186" s="8">
        <f t="shared" si="40"/>
        <v>1355.61</v>
      </c>
      <c r="W186" s="8" t="str">
        <f t="shared" si="41"/>
        <v>Medium</v>
      </c>
      <c r="X186" s="15">
        <v>0.153</v>
      </c>
      <c r="Y186" s="15">
        <f t="shared" si="42"/>
        <v>0.153</v>
      </c>
      <c r="Z186" t="str">
        <f t="shared" si="43"/>
        <v>No</v>
      </c>
      <c r="AA186" s="17">
        <v>23</v>
      </c>
      <c r="AB186" s="8">
        <f t="shared" si="44"/>
        <v>26408.63841</v>
      </c>
      <c r="AC186" s="8">
        <f t="shared" si="45"/>
        <v>23530.379999999997</v>
      </c>
      <c r="AD186" s="8">
        <f t="shared" si="46"/>
        <v>2878.2584100000022</v>
      </c>
      <c r="AE186" s="15">
        <f t="shared" si="47"/>
        <v>0.10898927711888809</v>
      </c>
      <c r="AF186" s="34">
        <f>MIN(Y186,'Scenario Modeling'!$B$2)</f>
        <v>0.153</v>
      </c>
      <c r="AG186">
        <f>ROUND(AA186 * (1 + 'Scenario Modeling'!$B$4), 0)</f>
        <v>23</v>
      </c>
      <c r="AH186">
        <f>T186 * (1 + 'Scenario Modeling'!$B$3)</f>
        <v>1023.06</v>
      </c>
      <c r="AI186" s="8">
        <f t="shared" si="48"/>
        <v>26408.63841</v>
      </c>
      <c r="AJ186" s="8">
        <f t="shared" si="49"/>
        <v>2878.2584100000022</v>
      </c>
    </row>
    <row r="187" spans="1:36">
      <c r="A187" t="s">
        <v>200</v>
      </c>
      <c r="B187" s="4">
        <v>45099</v>
      </c>
      <c r="C187" s="28">
        <v>45099</v>
      </c>
      <c r="D187" s="28" t="str">
        <f t="shared" si="34"/>
        <v>Q2-2023</v>
      </c>
      <c r="E187" s="4">
        <v>45128</v>
      </c>
      <c r="F187" s="4">
        <v>45128</v>
      </c>
      <c r="G187" s="17">
        <f t="shared" si="35"/>
        <v>29</v>
      </c>
      <c r="H187" s="17">
        <f t="shared" si="36"/>
        <v>29</v>
      </c>
      <c r="I187" t="str">
        <f t="shared" si="37"/>
        <v>No</v>
      </c>
      <c r="J187" s="2">
        <f t="shared" si="38"/>
        <v>44936</v>
      </c>
      <c r="K187" t="s">
        <v>649</v>
      </c>
      <c r="L187" t="s">
        <v>657</v>
      </c>
      <c r="M187" t="s">
        <v>679</v>
      </c>
      <c r="N187" t="str">
        <f t="shared" si="39"/>
        <v>Europe - France - Lyon</v>
      </c>
      <c r="O187" t="s">
        <v>701</v>
      </c>
      <c r="P187" t="s">
        <v>707</v>
      </c>
      <c r="Q187" t="s">
        <v>713</v>
      </c>
      <c r="R187" t="s">
        <v>733</v>
      </c>
      <c r="S187" t="s">
        <v>919</v>
      </c>
      <c r="T187" s="6">
        <v>734.34</v>
      </c>
      <c r="U187" s="8">
        <v>887.9</v>
      </c>
      <c r="V187" s="8">
        <f t="shared" si="40"/>
        <v>887.9</v>
      </c>
      <c r="W187" s="8" t="str">
        <f t="shared" si="41"/>
        <v>Medium</v>
      </c>
      <c r="X187" s="15">
        <v>2.5000000000000001E-2</v>
      </c>
      <c r="Y187" s="15">
        <f t="shared" si="42"/>
        <v>2.5000000000000001E-2</v>
      </c>
      <c r="Z187" t="str">
        <f t="shared" si="43"/>
        <v>No</v>
      </c>
      <c r="AA187" s="17">
        <v>12</v>
      </c>
      <c r="AB187" s="8">
        <f t="shared" si="44"/>
        <v>10388.429999999998</v>
      </c>
      <c r="AC187" s="8">
        <f t="shared" si="45"/>
        <v>8812.08</v>
      </c>
      <c r="AD187" s="8">
        <f t="shared" si="46"/>
        <v>1576.3499999999985</v>
      </c>
      <c r="AE187" s="15">
        <f t="shared" si="47"/>
        <v>0.15174092716608753</v>
      </c>
      <c r="AF187" s="34">
        <f>MIN(Y187,'Scenario Modeling'!$B$2)</f>
        <v>2.5000000000000001E-2</v>
      </c>
      <c r="AG187">
        <f>ROUND(AA187 * (1 + 'Scenario Modeling'!$B$4), 0)</f>
        <v>12</v>
      </c>
      <c r="AH187">
        <f>T187 * (1 + 'Scenario Modeling'!$B$3)</f>
        <v>734.34</v>
      </c>
      <c r="AI187" s="8">
        <f t="shared" si="48"/>
        <v>10388.429999999998</v>
      </c>
      <c r="AJ187" s="8">
        <f t="shared" si="49"/>
        <v>1576.3499999999985</v>
      </c>
    </row>
    <row r="188" spans="1:36">
      <c r="A188" t="s">
        <v>201</v>
      </c>
      <c r="B188" s="4">
        <v>45670</v>
      </c>
      <c r="C188" s="28">
        <v>45670</v>
      </c>
      <c r="D188" s="28" t="str">
        <f t="shared" si="34"/>
        <v>Q1-2025</v>
      </c>
      <c r="E188" s="4">
        <v>45696</v>
      </c>
      <c r="F188" s="4">
        <v>45696</v>
      </c>
      <c r="G188" s="17">
        <f t="shared" si="35"/>
        <v>26</v>
      </c>
      <c r="H188" s="17">
        <f t="shared" si="36"/>
        <v>26</v>
      </c>
      <c r="I188" t="str">
        <f t="shared" si="37"/>
        <v>No</v>
      </c>
      <c r="J188" s="2">
        <f t="shared" si="38"/>
        <v>44936</v>
      </c>
      <c r="K188" t="s">
        <v>649</v>
      </c>
      <c r="L188" t="s">
        <v>657</v>
      </c>
      <c r="M188" t="s">
        <v>690</v>
      </c>
      <c r="N188" t="str">
        <f t="shared" si="39"/>
        <v>Europe - France - Paris</v>
      </c>
      <c r="O188" t="s">
        <v>703</v>
      </c>
      <c r="P188" t="s">
        <v>711</v>
      </c>
      <c r="Q188" t="s">
        <v>718</v>
      </c>
      <c r="R188" t="s">
        <v>732</v>
      </c>
      <c r="S188" t="s">
        <v>920</v>
      </c>
      <c r="T188" s="6">
        <v>594.74</v>
      </c>
      <c r="U188" s="8">
        <v>1020.69</v>
      </c>
      <c r="V188" s="8">
        <f t="shared" si="40"/>
        <v>1020.69</v>
      </c>
      <c r="W188" s="8" t="str">
        <f t="shared" si="41"/>
        <v>Medium</v>
      </c>
      <c r="X188" s="15">
        <v>0.21099999999999999</v>
      </c>
      <c r="Y188" s="15">
        <f t="shared" si="42"/>
        <v>0.21099999999999999</v>
      </c>
      <c r="Z188" t="str">
        <f t="shared" si="43"/>
        <v>Yes</v>
      </c>
      <c r="AA188" s="17">
        <v>6</v>
      </c>
      <c r="AB188" s="8">
        <f t="shared" si="44"/>
        <v>4831.9464600000001</v>
      </c>
      <c r="AC188" s="8">
        <f t="shared" si="45"/>
        <v>3568.44</v>
      </c>
      <c r="AD188" s="8">
        <f t="shared" si="46"/>
        <v>1263.5064600000001</v>
      </c>
      <c r="AE188" s="15">
        <f t="shared" si="47"/>
        <v>0.26149016146176424</v>
      </c>
      <c r="AF188" s="34">
        <f>MIN(Y188,'Scenario Modeling'!$B$2)</f>
        <v>0.21099999999999999</v>
      </c>
      <c r="AG188">
        <f>ROUND(AA188 * (1 + 'Scenario Modeling'!$B$4), 0)</f>
        <v>6</v>
      </c>
      <c r="AH188">
        <f>T188 * (1 + 'Scenario Modeling'!$B$3)</f>
        <v>594.74</v>
      </c>
      <c r="AI188" s="8">
        <f t="shared" si="48"/>
        <v>4831.9464600000001</v>
      </c>
      <c r="AJ188" s="8">
        <f t="shared" si="49"/>
        <v>1263.5064600000001</v>
      </c>
    </row>
    <row r="189" spans="1:36">
      <c r="A189" t="s">
        <v>144</v>
      </c>
      <c r="B189" s="4">
        <v>44955</v>
      </c>
      <c r="C189" s="28">
        <v>44955</v>
      </c>
      <c r="D189" s="28" t="str">
        <f t="shared" si="34"/>
        <v>Q1-2023</v>
      </c>
      <c r="E189" s="4">
        <v>44985</v>
      </c>
      <c r="F189" s="4">
        <v>44985</v>
      </c>
      <c r="G189" s="17">
        <f t="shared" si="35"/>
        <v>30</v>
      </c>
      <c r="H189" s="17">
        <f t="shared" si="36"/>
        <v>30</v>
      </c>
      <c r="I189" t="str">
        <f t="shared" si="37"/>
        <v>No</v>
      </c>
      <c r="J189" s="2">
        <f t="shared" si="38"/>
        <v>44955</v>
      </c>
      <c r="K189" t="s">
        <v>647</v>
      </c>
      <c r="L189" t="s">
        <v>654</v>
      </c>
      <c r="M189" t="s">
        <v>668</v>
      </c>
      <c r="N189" t="str">
        <f t="shared" si="39"/>
        <v>Asia - India - Bengaluru</v>
      </c>
      <c r="O189" t="s">
        <v>703</v>
      </c>
      <c r="P189" t="s">
        <v>707</v>
      </c>
      <c r="Q189" t="s">
        <v>717</v>
      </c>
      <c r="R189" t="s">
        <v>733</v>
      </c>
      <c r="S189" t="s">
        <v>921</v>
      </c>
      <c r="T189" s="6">
        <v>1262.0999999999999</v>
      </c>
      <c r="U189" s="8">
        <v>1395.53</v>
      </c>
      <c r="V189" s="8">
        <f t="shared" si="40"/>
        <v>1395.53</v>
      </c>
      <c r="W189" s="8" t="str">
        <f t="shared" si="41"/>
        <v>Medium</v>
      </c>
      <c r="X189" s="15">
        <v>0.23300000000000001</v>
      </c>
      <c r="Y189" s="15">
        <f t="shared" si="42"/>
        <v>0.23300000000000001</v>
      </c>
      <c r="Z189" t="str">
        <f t="shared" si="43"/>
        <v>Yes</v>
      </c>
      <c r="AA189" s="17">
        <v>25</v>
      </c>
      <c r="AB189" s="8">
        <f t="shared" si="44"/>
        <v>26759.28775</v>
      </c>
      <c r="AC189" s="8">
        <f t="shared" si="45"/>
        <v>31552.499999999996</v>
      </c>
      <c r="AD189" s="8">
        <f t="shared" si="46"/>
        <v>-4793.2122499999969</v>
      </c>
      <c r="AE189" s="15">
        <f t="shared" si="47"/>
        <v>-0.17912331205452198</v>
      </c>
      <c r="AF189" s="34">
        <f>MIN(Y189,'Scenario Modeling'!$B$2)</f>
        <v>0.23300000000000001</v>
      </c>
      <c r="AG189">
        <f>ROUND(AA189 * (1 + 'Scenario Modeling'!$B$4), 0)</f>
        <v>25</v>
      </c>
      <c r="AH189">
        <f>T189 * (1 + 'Scenario Modeling'!$B$3)</f>
        <v>1262.0999999999999</v>
      </c>
      <c r="AI189" s="8">
        <f t="shared" si="48"/>
        <v>26759.28775</v>
      </c>
      <c r="AJ189" s="8">
        <f t="shared" si="49"/>
        <v>-4793.2122499999969</v>
      </c>
    </row>
    <row r="190" spans="1:36">
      <c r="A190" t="s">
        <v>202</v>
      </c>
      <c r="B190" s="4">
        <v>45126</v>
      </c>
      <c r="C190" s="28">
        <v>45126</v>
      </c>
      <c r="D190" s="28" t="str">
        <f t="shared" si="34"/>
        <v>Q3-2023</v>
      </c>
      <c r="E190" s="4">
        <v>45138</v>
      </c>
      <c r="F190" s="4">
        <v>45138</v>
      </c>
      <c r="G190" s="17">
        <f t="shared" si="35"/>
        <v>12</v>
      </c>
      <c r="H190" s="17">
        <f t="shared" si="36"/>
        <v>12</v>
      </c>
      <c r="I190" t="str">
        <f t="shared" si="37"/>
        <v>No</v>
      </c>
      <c r="J190" s="2">
        <f t="shared" si="38"/>
        <v>44955</v>
      </c>
      <c r="K190" t="s">
        <v>648</v>
      </c>
      <c r="L190" t="s">
        <v>655</v>
      </c>
      <c r="M190" t="s">
        <v>692</v>
      </c>
      <c r="N190" t="str">
        <f t="shared" si="39"/>
        <v>Americas - Brazil - Rio de Janeiro</v>
      </c>
      <c r="O190" t="s">
        <v>701</v>
      </c>
      <c r="P190" t="s">
        <v>707</v>
      </c>
      <c r="Q190" t="s">
        <v>712</v>
      </c>
      <c r="R190" t="s">
        <v>732</v>
      </c>
      <c r="S190" t="s">
        <v>922</v>
      </c>
      <c r="T190" s="6">
        <v>1334.64</v>
      </c>
      <c r="U190" s="8">
        <v>2273.42</v>
      </c>
      <c r="V190" s="8">
        <f t="shared" si="40"/>
        <v>2273.42</v>
      </c>
      <c r="W190" s="8" t="str">
        <f t="shared" si="41"/>
        <v>High</v>
      </c>
      <c r="X190" s="15">
        <v>0.11799999999999999</v>
      </c>
      <c r="Y190" s="15">
        <f t="shared" si="42"/>
        <v>0.11799999999999999</v>
      </c>
      <c r="Z190" t="str">
        <f t="shared" si="43"/>
        <v>No</v>
      </c>
      <c r="AA190" s="17">
        <v>14</v>
      </c>
      <c r="AB190" s="8">
        <f t="shared" si="44"/>
        <v>28072.190160000002</v>
      </c>
      <c r="AC190" s="8">
        <f t="shared" si="45"/>
        <v>18684.960000000003</v>
      </c>
      <c r="AD190" s="8">
        <f t="shared" si="46"/>
        <v>9387.2301599999992</v>
      </c>
      <c r="AE190" s="15">
        <f t="shared" si="47"/>
        <v>0.33439607335575267</v>
      </c>
      <c r="AF190" s="34">
        <f>MIN(Y190,'Scenario Modeling'!$B$2)</f>
        <v>0.11799999999999999</v>
      </c>
      <c r="AG190">
        <f>ROUND(AA190 * (1 + 'Scenario Modeling'!$B$4), 0)</f>
        <v>14</v>
      </c>
      <c r="AH190">
        <f>T190 * (1 + 'Scenario Modeling'!$B$3)</f>
        <v>1334.64</v>
      </c>
      <c r="AI190" s="8">
        <f t="shared" si="48"/>
        <v>28072.190160000002</v>
      </c>
      <c r="AJ190" s="8">
        <f t="shared" si="49"/>
        <v>9387.2301599999992</v>
      </c>
    </row>
    <row r="191" spans="1:36">
      <c r="A191" t="s">
        <v>203</v>
      </c>
      <c r="B191" s="4">
        <v>45431</v>
      </c>
      <c r="C191" s="28">
        <v>45431</v>
      </c>
      <c r="D191" s="28" t="str">
        <f t="shared" si="34"/>
        <v>Q2-2024</v>
      </c>
      <c r="E191" s="4">
        <v>45451</v>
      </c>
      <c r="F191" s="4">
        <v>45451</v>
      </c>
      <c r="G191" s="17">
        <f t="shared" si="35"/>
        <v>20</v>
      </c>
      <c r="H191" s="17">
        <f t="shared" si="36"/>
        <v>20</v>
      </c>
      <c r="I191" t="str">
        <f t="shared" si="37"/>
        <v>No</v>
      </c>
      <c r="J191" s="2">
        <f t="shared" si="38"/>
        <v>44955</v>
      </c>
      <c r="K191" t="s">
        <v>648</v>
      </c>
      <c r="L191" t="s">
        <v>655</v>
      </c>
      <c r="M191" t="s">
        <v>672</v>
      </c>
      <c r="N191" t="str">
        <f t="shared" si="39"/>
        <v>Americas - Brazil - Brasília</v>
      </c>
      <c r="O191" t="s">
        <v>705</v>
      </c>
      <c r="P191" t="s">
        <v>707</v>
      </c>
      <c r="Q191" t="s">
        <v>718</v>
      </c>
      <c r="R191" t="s">
        <v>732</v>
      </c>
      <c r="S191" t="s">
        <v>923</v>
      </c>
      <c r="T191" s="6">
        <v>1075.9000000000001</v>
      </c>
      <c r="U191" s="8">
        <v>1242.1500000000001</v>
      </c>
      <c r="V191" s="8">
        <f t="shared" si="40"/>
        <v>1242.1500000000001</v>
      </c>
      <c r="W191" s="8" t="str">
        <f t="shared" si="41"/>
        <v>Medium</v>
      </c>
      <c r="X191" s="15">
        <v>1.2E-2</v>
      </c>
      <c r="Y191" s="15">
        <f t="shared" si="42"/>
        <v>1.2E-2</v>
      </c>
      <c r="Z191" t="str">
        <f t="shared" si="43"/>
        <v>No</v>
      </c>
      <c r="AA191" s="17">
        <v>7</v>
      </c>
      <c r="AB191" s="8">
        <f t="shared" si="44"/>
        <v>8590.7094000000016</v>
      </c>
      <c r="AC191" s="8">
        <f t="shared" si="45"/>
        <v>7531.3000000000011</v>
      </c>
      <c r="AD191" s="8">
        <f t="shared" si="46"/>
        <v>1059.4094000000005</v>
      </c>
      <c r="AE191" s="15">
        <f t="shared" si="47"/>
        <v>0.12332036280961853</v>
      </c>
      <c r="AF191" s="34">
        <f>MIN(Y191,'Scenario Modeling'!$B$2)</f>
        <v>1.2E-2</v>
      </c>
      <c r="AG191">
        <f>ROUND(AA191 * (1 + 'Scenario Modeling'!$B$4), 0)</f>
        <v>7</v>
      </c>
      <c r="AH191">
        <f>T191 * (1 + 'Scenario Modeling'!$B$3)</f>
        <v>1075.9000000000001</v>
      </c>
      <c r="AI191" s="8">
        <f t="shared" si="48"/>
        <v>8590.7094000000016</v>
      </c>
      <c r="AJ191" s="8">
        <f t="shared" si="49"/>
        <v>1059.4094000000005</v>
      </c>
    </row>
    <row r="192" spans="1:36">
      <c r="A192" t="s">
        <v>204</v>
      </c>
      <c r="B192" s="4">
        <v>45325</v>
      </c>
      <c r="C192" s="28">
        <v>45325</v>
      </c>
      <c r="D192" s="28" t="str">
        <f t="shared" si="34"/>
        <v>Q1-2024</v>
      </c>
      <c r="E192" s="4">
        <v>45341</v>
      </c>
      <c r="F192" s="4">
        <v>45341</v>
      </c>
      <c r="G192" s="17">
        <f t="shared" si="35"/>
        <v>16</v>
      </c>
      <c r="H192" s="17">
        <f t="shared" si="36"/>
        <v>16</v>
      </c>
      <c r="I192" t="str">
        <f t="shared" si="37"/>
        <v>No</v>
      </c>
      <c r="J192" s="2">
        <f t="shared" si="38"/>
        <v>44938</v>
      </c>
      <c r="K192" t="s">
        <v>647</v>
      </c>
      <c r="L192" t="s">
        <v>659</v>
      </c>
      <c r="M192" t="s">
        <v>676</v>
      </c>
      <c r="N192" t="str">
        <f t="shared" si="39"/>
        <v>Asia - China - Shenzhen</v>
      </c>
      <c r="O192" t="s">
        <v>705</v>
      </c>
      <c r="P192" t="s">
        <v>708</v>
      </c>
      <c r="Q192" t="s">
        <v>722</v>
      </c>
      <c r="R192" t="s">
        <v>731</v>
      </c>
      <c r="S192" t="s">
        <v>924</v>
      </c>
      <c r="T192" s="6">
        <v>993.75</v>
      </c>
      <c r="U192" s="8">
        <v>1310.29</v>
      </c>
      <c r="V192" s="8">
        <f t="shared" si="40"/>
        <v>1310.29</v>
      </c>
      <c r="W192" s="8" t="str">
        <f t="shared" si="41"/>
        <v>Medium</v>
      </c>
      <c r="X192" s="15">
        <v>0.215</v>
      </c>
      <c r="Y192" s="15">
        <f t="shared" si="42"/>
        <v>0.215</v>
      </c>
      <c r="Z192" t="str">
        <f t="shared" si="43"/>
        <v>Yes</v>
      </c>
      <c r="AA192" s="17">
        <v>19</v>
      </c>
      <c r="AB192" s="8">
        <f t="shared" si="44"/>
        <v>19542.975350000001</v>
      </c>
      <c r="AC192" s="8">
        <f t="shared" si="45"/>
        <v>18881.25</v>
      </c>
      <c r="AD192" s="8">
        <f t="shared" si="46"/>
        <v>661.72535000000062</v>
      </c>
      <c r="AE192" s="15">
        <f t="shared" si="47"/>
        <v>3.3860010471742245E-2</v>
      </c>
      <c r="AF192" s="34">
        <f>MIN(Y192,'Scenario Modeling'!$B$2)</f>
        <v>0.215</v>
      </c>
      <c r="AG192">
        <f>ROUND(AA192 * (1 + 'Scenario Modeling'!$B$4), 0)</f>
        <v>19</v>
      </c>
      <c r="AH192">
        <f>T192 * (1 + 'Scenario Modeling'!$B$3)</f>
        <v>993.75</v>
      </c>
      <c r="AI192" s="8">
        <f t="shared" si="48"/>
        <v>19542.975350000001</v>
      </c>
      <c r="AJ192" s="8">
        <f t="shared" si="49"/>
        <v>661.72535000000062</v>
      </c>
    </row>
    <row r="193" spans="1:36">
      <c r="A193" t="s">
        <v>205</v>
      </c>
      <c r="B193" s="4">
        <v>45146</v>
      </c>
      <c r="C193" s="28">
        <v>45146</v>
      </c>
      <c r="D193" s="28" t="str">
        <f t="shared" si="34"/>
        <v>Q3-2023</v>
      </c>
      <c r="E193" s="4">
        <v>45160</v>
      </c>
      <c r="F193" s="4">
        <v>45160</v>
      </c>
      <c r="G193" s="17">
        <f t="shared" si="35"/>
        <v>14</v>
      </c>
      <c r="H193" s="17">
        <f t="shared" si="36"/>
        <v>14</v>
      </c>
      <c r="I193" t="str">
        <f t="shared" si="37"/>
        <v>No</v>
      </c>
      <c r="J193" s="2">
        <f t="shared" si="38"/>
        <v>44945</v>
      </c>
      <c r="K193" t="s">
        <v>649</v>
      </c>
      <c r="L193" t="s">
        <v>658</v>
      </c>
      <c r="M193" t="s">
        <v>674</v>
      </c>
      <c r="N193" t="str">
        <f t="shared" si="39"/>
        <v>Europe - United Kingdom - Birmingham</v>
      </c>
      <c r="O193" t="s">
        <v>703</v>
      </c>
      <c r="P193" t="s">
        <v>711</v>
      </c>
      <c r="Q193" t="s">
        <v>725</v>
      </c>
      <c r="R193" t="s">
        <v>732</v>
      </c>
      <c r="S193" t="s">
        <v>925</v>
      </c>
      <c r="T193" s="6">
        <v>446.69</v>
      </c>
      <c r="U193" s="8">
        <v>967.25</v>
      </c>
      <c r="V193" s="8">
        <f t="shared" si="40"/>
        <v>967.25</v>
      </c>
      <c r="W193" s="8" t="str">
        <f t="shared" si="41"/>
        <v>Medium</v>
      </c>
      <c r="X193" s="15">
        <v>9.4E-2</v>
      </c>
      <c r="Y193" s="15">
        <f t="shared" si="42"/>
        <v>9.4E-2</v>
      </c>
      <c r="Z193" t="str">
        <f t="shared" si="43"/>
        <v>No</v>
      </c>
      <c r="AA193" s="17">
        <v>10</v>
      </c>
      <c r="AB193" s="8">
        <f t="shared" si="44"/>
        <v>8763.2849999999999</v>
      </c>
      <c r="AC193" s="8">
        <f t="shared" si="45"/>
        <v>4466.8999999999996</v>
      </c>
      <c r="AD193" s="8">
        <f t="shared" si="46"/>
        <v>4296.3850000000002</v>
      </c>
      <c r="AE193" s="15">
        <f t="shared" si="47"/>
        <v>0.49027105702941309</v>
      </c>
      <c r="AF193" s="34">
        <f>MIN(Y193,'Scenario Modeling'!$B$2)</f>
        <v>9.4E-2</v>
      </c>
      <c r="AG193">
        <f>ROUND(AA193 * (1 + 'Scenario Modeling'!$B$4), 0)</f>
        <v>10</v>
      </c>
      <c r="AH193">
        <f>T193 * (1 + 'Scenario Modeling'!$B$3)</f>
        <v>446.69</v>
      </c>
      <c r="AI193" s="8">
        <f t="shared" si="48"/>
        <v>8763.2849999999999</v>
      </c>
      <c r="AJ193" s="8">
        <f t="shared" si="49"/>
        <v>4296.3850000000002</v>
      </c>
    </row>
    <row r="194" spans="1:36">
      <c r="A194" t="s">
        <v>206</v>
      </c>
      <c r="B194" s="4">
        <v>45516</v>
      </c>
      <c r="C194" s="28">
        <v>45516</v>
      </c>
      <c r="D194" s="28" t="str">
        <f t="shared" si="34"/>
        <v>Q3-2024</v>
      </c>
      <c r="E194" s="4">
        <v>45538</v>
      </c>
      <c r="F194" s="4">
        <v>45538</v>
      </c>
      <c r="G194" s="17">
        <f t="shared" si="35"/>
        <v>22</v>
      </c>
      <c r="H194" s="17">
        <f t="shared" si="36"/>
        <v>22</v>
      </c>
      <c r="I194" t="str">
        <f t="shared" si="37"/>
        <v>No</v>
      </c>
      <c r="J194" s="2">
        <f t="shared" si="38"/>
        <v>44939</v>
      </c>
      <c r="K194" t="s">
        <v>648</v>
      </c>
      <c r="L194" t="s">
        <v>660</v>
      </c>
      <c r="M194" t="s">
        <v>697</v>
      </c>
      <c r="N194" t="str">
        <f t="shared" si="39"/>
        <v>Americas - USA - Austin</v>
      </c>
      <c r="O194" t="s">
        <v>704</v>
      </c>
      <c r="P194" t="s">
        <v>710</v>
      </c>
      <c r="Q194" t="s">
        <v>714</v>
      </c>
      <c r="R194" t="s">
        <v>731</v>
      </c>
      <c r="S194" t="s">
        <v>926</v>
      </c>
      <c r="T194" s="6">
        <v>797.8</v>
      </c>
      <c r="U194" s="8">
        <v>886.22</v>
      </c>
      <c r="V194" s="8">
        <f t="shared" si="40"/>
        <v>886.22</v>
      </c>
      <c r="W194" s="8" t="str">
        <f t="shared" si="41"/>
        <v>Medium</v>
      </c>
      <c r="X194" s="15">
        <v>0.23599999999999999</v>
      </c>
      <c r="Y194" s="15">
        <f t="shared" si="42"/>
        <v>0.23599999999999999</v>
      </c>
      <c r="Z194" t="str">
        <f t="shared" si="43"/>
        <v>Yes</v>
      </c>
      <c r="AA194" s="17">
        <v>36</v>
      </c>
      <c r="AB194" s="8">
        <f t="shared" si="44"/>
        <v>24374.594880000001</v>
      </c>
      <c r="AC194" s="8">
        <f t="shared" si="45"/>
        <v>28720.799999999999</v>
      </c>
      <c r="AD194" s="8">
        <f t="shared" si="46"/>
        <v>-4346.2051199999987</v>
      </c>
      <c r="AE194" s="15">
        <f t="shared" si="47"/>
        <v>-0.17830881462428633</v>
      </c>
      <c r="AF194" s="34">
        <f>MIN(Y194,'Scenario Modeling'!$B$2)</f>
        <v>0.23599999999999999</v>
      </c>
      <c r="AG194">
        <f>ROUND(AA194 * (1 + 'Scenario Modeling'!$B$4), 0)</f>
        <v>36</v>
      </c>
      <c r="AH194">
        <f>T194 * (1 + 'Scenario Modeling'!$B$3)</f>
        <v>797.8</v>
      </c>
      <c r="AI194" s="8">
        <f t="shared" si="48"/>
        <v>24374.594880000001</v>
      </c>
      <c r="AJ194" s="8">
        <f t="shared" si="49"/>
        <v>-4346.2051199999987</v>
      </c>
    </row>
    <row r="195" spans="1:36">
      <c r="A195" t="s">
        <v>207</v>
      </c>
      <c r="B195" s="4">
        <v>45214</v>
      </c>
      <c r="C195" s="28">
        <v>45214</v>
      </c>
      <c r="D195" s="28" t="str">
        <f t="shared" ref="D195:D258" si="50">"Q"&amp;ROUNDUP(MONTH(B195)/3,0)&amp;"-"&amp;YEAR(B195)</f>
        <v>Q4-2023</v>
      </c>
      <c r="E195" s="4">
        <v>45243</v>
      </c>
      <c r="F195" s="4">
        <v>45243</v>
      </c>
      <c r="G195" s="17">
        <f t="shared" ref="G195:G258" si="51">E195-B195</f>
        <v>29</v>
      </c>
      <c r="H195" s="17">
        <f t="shared" ref="H195:H258" si="52">F195-B195</f>
        <v>29</v>
      </c>
      <c r="I195" t="str">
        <f t="shared" ref="I195:I258" si="53">IF(H195&lt;=7, "Yes", "No")</f>
        <v>No</v>
      </c>
      <c r="J195" s="2">
        <f t="shared" ref="J195:J258" si="54">_xlfn.MINIFS($B$2:$B$633, $L$2:$L$633, L195)</f>
        <v>44938</v>
      </c>
      <c r="K195" t="s">
        <v>647</v>
      </c>
      <c r="L195" t="s">
        <v>659</v>
      </c>
      <c r="M195" t="s">
        <v>676</v>
      </c>
      <c r="N195" t="str">
        <f t="shared" ref="N195:N258" si="55">_xlfn.TEXTJOIN(" - ", TRUE, K195:M195)</f>
        <v>Asia - China - Shenzhen</v>
      </c>
      <c r="O195" t="s">
        <v>703</v>
      </c>
      <c r="P195" t="s">
        <v>710</v>
      </c>
      <c r="Q195" t="s">
        <v>713</v>
      </c>
      <c r="R195" t="s">
        <v>728</v>
      </c>
      <c r="S195" t="s">
        <v>927</v>
      </c>
      <c r="T195" s="6">
        <v>986.44</v>
      </c>
      <c r="U195" s="8">
        <v>790.61</v>
      </c>
      <c r="V195" s="8">
        <f t="shared" ref="V195:V258" si="56">ABS(U195)</f>
        <v>790.61</v>
      </c>
      <c r="W195" s="8" t="str">
        <f t="shared" ref="W195:W258" si="57">IF(V195 &lt;= _xlfn.PERCENTILE.INC($V$2:$V$633, 0.33), "Low", IF(V195 &lt;= _xlfn.PERCENTILE.INC($V$2:$V$633, 0.67), "Medium", "High"))</f>
        <v>Low</v>
      </c>
      <c r="X195" s="15">
        <v>7.1999999999999995E-2</v>
      </c>
      <c r="Y195" s="15">
        <f t="shared" ref="Y195:Y258" si="58">IF(X195&gt;30%,AVERAGEIF($X$2:$X$633,"&lt;30%"),X195)</f>
        <v>7.1999999999999995E-2</v>
      </c>
      <c r="Z195" t="str">
        <f t="shared" ref="Z195:Z258" si="59">IF(Y195&gt;0.2, "Yes", "No")</f>
        <v>No</v>
      </c>
      <c r="AA195" s="17">
        <v>6</v>
      </c>
      <c r="AB195" s="8">
        <f t="shared" ref="AB195:AB258" si="60">U195*AA195*(1-Y195)</f>
        <v>4402.1164799999997</v>
      </c>
      <c r="AC195" s="8">
        <f t="shared" ref="AC195:AC258" si="61">T195*AA195</f>
        <v>5918.64</v>
      </c>
      <c r="AD195" s="8">
        <f t="shared" ref="AD195:AD258" si="62">AB195-AC195</f>
        <v>-1516.5235200000006</v>
      </c>
      <c r="AE195" s="15">
        <f t="shared" ref="AE195:AE258" si="63" xml:space="preserve"> IF(AB195=0, 0, AD195 / AB195)</f>
        <v>-0.34449872621271499</v>
      </c>
      <c r="AF195" s="34">
        <f>MIN(Y195,'Scenario Modeling'!$B$2)</f>
        <v>7.1999999999999995E-2</v>
      </c>
      <c r="AG195">
        <f>ROUND(AA195 * (1 + 'Scenario Modeling'!$B$4), 0)</f>
        <v>6</v>
      </c>
      <c r="AH195">
        <f>T195 * (1 + 'Scenario Modeling'!$B$3)</f>
        <v>986.44</v>
      </c>
      <c r="AI195" s="8">
        <f t="shared" ref="AI195:AI258" si="64">V195 * AG195 * (1 - AF195)</f>
        <v>4402.1164799999997</v>
      </c>
      <c r="AJ195" s="8">
        <f t="shared" ref="AJ195:AJ258" si="65">AI195 - (AH195 * AG195)</f>
        <v>-1516.5235200000006</v>
      </c>
    </row>
    <row r="196" spans="1:36">
      <c r="A196" t="s">
        <v>208</v>
      </c>
      <c r="B196" s="4">
        <v>45050</v>
      </c>
      <c r="C196" s="28">
        <v>45050</v>
      </c>
      <c r="D196" s="28" t="str">
        <f t="shared" si="50"/>
        <v>Q2-2023</v>
      </c>
      <c r="E196" s="4">
        <v>45072</v>
      </c>
      <c r="F196" s="4">
        <v>45072</v>
      </c>
      <c r="G196" s="17">
        <f t="shared" si="51"/>
        <v>22</v>
      </c>
      <c r="H196" s="17">
        <f t="shared" si="52"/>
        <v>22</v>
      </c>
      <c r="I196" t="str">
        <f t="shared" si="53"/>
        <v>No</v>
      </c>
      <c r="J196" s="2">
        <f t="shared" si="54"/>
        <v>44939</v>
      </c>
      <c r="K196" t="s">
        <v>648</v>
      </c>
      <c r="L196" t="s">
        <v>660</v>
      </c>
      <c r="M196" t="s">
        <v>686</v>
      </c>
      <c r="N196" t="str">
        <f t="shared" si="55"/>
        <v>Americas - USA - San Francisco</v>
      </c>
      <c r="O196" t="s">
        <v>706</v>
      </c>
      <c r="P196" t="s">
        <v>708</v>
      </c>
      <c r="Q196" t="s">
        <v>713</v>
      </c>
      <c r="R196" t="s">
        <v>729</v>
      </c>
      <c r="S196" t="s">
        <v>928</v>
      </c>
      <c r="T196" s="6">
        <v>249.71</v>
      </c>
      <c r="U196" s="8">
        <v>361.33</v>
      </c>
      <c r="V196" s="8">
        <f t="shared" si="56"/>
        <v>361.33</v>
      </c>
      <c r="W196" s="8" t="str">
        <f t="shared" si="57"/>
        <v>Low</v>
      </c>
      <c r="X196" s="15">
        <v>9.4E-2</v>
      </c>
      <c r="Y196" s="15">
        <f t="shared" si="58"/>
        <v>9.4E-2</v>
      </c>
      <c r="Z196" t="str">
        <f t="shared" si="59"/>
        <v>No</v>
      </c>
      <c r="AA196" s="17">
        <v>12</v>
      </c>
      <c r="AB196" s="8">
        <f t="shared" si="60"/>
        <v>3928.3797600000003</v>
      </c>
      <c r="AC196" s="8">
        <f t="shared" si="61"/>
        <v>2996.52</v>
      </c>
      <c r="AD196" s="8">
        <f t="shared" si="62"/>
        <v>931.85976000000028</v>
      </c>
      <c r="AE196" s="15">
        <f t="shared" si="63"/>
        <v>0.23721223937881206</v>
      </c>
      <c r="AF196" s="34">
        <f>MIN(Y196,'Scenario Modeling'!$B$2)</f>
        <v>9.4E-2</v>
      </c>
      <c r="AG196">
        <f>ROUND(AA196 * (1 + 'Scenario Modeling'!$B$4), 0)</f>
        <v>12</v>
      </c>
      <c r="AH196">
        <f>T196 * (1 + 'Scenario Modeling'!$B$3)</f>
        <v>249.71</v>
      </c>
      <c r="AI196" s="8">
        <f t="shared" si="64"/>
        <v>3928.3797600000003</v>
      </c>
      <c r="AJ196" s="8">
        <f t="shared" si="65"/>
        <v>931.85976000000028</v>
      </c>
    </row>
    <row r="197" spans="1:36">
      <c r="A197" t="s">
        <v>209</v>
      </c>
      <c r="B197" s="4">
        <v>45557</v>
      </c>
      <c r="C197" s="28">
        <v>45557</v>
      </c>
      <c r="D197" s="28" t="str">
        <f t="shared" si="50"/>
        <v>Q3-2024</v>
      </c>
      <c r="E197" s="4">
        <v>45566</v>
      </c>
      <c r="F197" s="4">
        <v>45566</v>
      </c>
      <c r="G197" s="17">
        <f t="shared" si="51"/>
        <v>9</v>
      </c>
      <c r="H197" s="17">
        <f t="shared" si="52"/>
        <v>9</v>
      </c>
      <c r="I197" t="str">
        <f t="shared" si="53"/>
        <v>No</v>
      </c>
      <c r="J197" s="2">
        <f t="shared" si="54"/>
        <v>44955</v>
      </c>
      <c r="K197" t="s">
        <v>648</v>
      </c>
      <c r="L197" t="s">
        <v>655</v>
      </c>
      <c r="M197" t="s">
        <v>670</v>
      </c>
      <c r="N197" t="str">
        <f t="shared" si="55"/>
        <v>Americas - Brazil - São Paulo</v>
      </c>
      <c r="O197" t="s">
        <v>703</v>
      </c>
      <c r="P197" t="s">
        <v>708</v>
      </c>
      <c r="Q197" t="s">
        <v>723</v>
      </c>
      <c r="R197" t="s">
        <v>732</v>
      </c>
      <c r="S197" t="s">
        <v>929</v>
      </c>
      <c r="T197" s="6">
        <v>1378.8</v>
      </c>
      <c r="U197" s="8">
        <v>1952.04</v>
      </c>
      <c r="V197" s="8">
        <f t="shared" si="56"/>
        <v>1952.04</v>
      </c>
      <c r="W197" s="8" t="str">
        <f t="shared" si="57"/>
        <v>High</v>
      </c>
      <c r="X197" s="15">
        <v>0.159</v>
      </c>
      <c r="Y197" s="15">
        <f t="shared" si="58"/>
        <v>0.159</v>
      </c>
      <c r="Z197" t="str">
        <f t="shared" si="59"/>
        <v>No</v>
      </c>
      <c r="AA197" s="17">
        <v>19</v>
      </c>
      <c r="AB197" s="8">
        <f t="shared" si="60"/>
        <v>31191.64716</v>
      </c>
      <c r="AC197" s="8">
        <f t="shared" si="61"/>
        <v>26197.200000000001</v>
      </c>
      <c r="AD197" s="8">
        <f t="shared" si="62"/>
        <v>4994.4471599999997</v>
      </c>
      <c r="AE197" s="15">
        <f t="shared" si="63"/>
        <v>0.16012130216723058</v>
      </c>
      <c r="AF197" s="34">
        <f>MIN(Y197,'Scenario Modeling'!$B$2)</f>
        <v>0.159</v>
      </c>
      <c r="AG197">
        <f>ROUND(AA197 * (1 + 'Scenario Modeling'!$B$4), 0)</f>
        <v>19</v>
      </c>
      <c r="AH197">
        <f>T197 * (1 + 'Scenario Modeling'!$B$3)</f>
        <v>1378.8</v>
      </c>
      <c r="AI197" s="8">
        <f t="shared" si="64"/>
        <v>31191.64716</v>
      </c>
      <c r="AJ197" s="8">
        <f t="shared" si="65"/>
        <v>4994.4471599999997</v>
      </c>
    </row>
    <row r="198" spans="1:36">
      <c r="A198" t="s">
        <v>210</v>
      </c>
      <c r="B198" s="4">
        <v>45588</v>
      </c>
      <c r="C198" s="28">
        <v>45588</v>
      </c>
      <c r="D198" s="28" t="str">
        <f t="shared" si="50"/>
        <v>Q4-2024</v>
      </c>
      <c r="E198" s="4">
        <v>45610</v>
      </c>
      <c r="F198" s="4">
        <v>45610</v>
      </c>
      <c r="G198" s="17">
        <f t="shared" si="51"/>
        <v>22</v>
      </c>
      <c r="H198" s="17">
        <f t="shared" si="52"/>
        <v>22</v>
      </c>
      <c r="I198" t="str">
        <f t="shared" si="53"/>
        <v>No</v>
      </c>
      <c r="J198" s="2">
        <f t="shared" si="54"/>
        <v>44988</v>
      </c>
      <c r="K198" t="s">
        <v>647</v>
      </c>
      <c r="L198" t="s">
        <v>652</v>
      </c>
      <c r="M198" t="s">
        <v>666</v>
      </c>
      <c r="N198" t="str">
        <f t="shared" si="55"/>
        <v>Asia - Japan - Osaka</v>
      </c>
      <c r="O198" t="s">
        <v>703</v>
      </c>
      <c r="P198" t="s">
        <v>711</v>
      </c>
      <c r="Q198" t="s">
        <v>717</v>
      </c>
      <c r="R198" t="s">
        <v>730</v>
      </c>
      <c r="S198" t="s">
        <v>930</v>
      </c>
      <c r="T198" s="6">
        <v>1406.4</v>
      </c>
      <c r="U198" s="8">
        <v>1564.76</v>
      </c>
      <c r="V198" s="8">
        <f t="shared" si="56"/>
        <v>1564.76</v>
      </c>
      <c r="W198" s="8" t="str">
        <f t="shared" si="57"/>
        <v>Medium</v>
      </c>
      <c r="X198" s="15">
        <v>0.185</v>
      </c>
      <c r="Y198" s="15">
        <f t="shared" si="58"/>
        <v>0.185</v>
      </c>
      <c r="Z198" t="str">
        <f t="shared" si="59"/>
        <v>No</v>
      </c>
      <c r="AA198" s="17">
        <v>17</v>
      </c>
      <c r="AB198" s="8">
        <f t="shared" si="60"/>
        <v>21679.749799999998</v>
      </c>
      <c r="AC198" s="8">
        <f t="shared" si="61"/>
        <v>23908.800000000003</v>
      </c>
      <c r="AD198" s="8">
        <f t="shared" si="62"/>
        <v>-2229.0502000000051</v>
      </c>
      <c r="AE198" s="15">
        <f t="shared" si="63"/>
        <v>-0.10281715520536151</v>
      </c>
      <c r="AF198" s="34">
        <f>MIN(Y198,'Scenario Modeling'!$B$2)</f>
        <v>0.185</v>
      </c>
      <c r="AG198">
        <f>ROUND(AA198 * (1 + 'Scenario Modeling'!$B$4), 0)</f>
        <v>17</v>
      </c>
      <c r="AH198">
        <f>T198 * (1 + 'Scenario Modeling'!$B$3)</f>
        <v>1406.4</v>
      </c>
      <c r="AI198" s="8">
        <f t="shared" si="64"/>
        <v>21679.749799999998</v>
      </c>
      <c r="AJ198" s="8">
        <f t="shared" si="65"/>
        <v>-2229.0502000000051</v>
      </c>
    </row>
    <row r="199" spans="1:36">
      <c r="A199" t="s">
        <v>211</v>
      </c>
      <c r="B199" s="4">
        <v>45333</v>
      </c>
      <c r="C199" s="28">
        <v>45333</v>
      </c>
      <c r="D199" s="28" t="str">
        <f t="shared" si="50"/>
        <v>Q1-2024</v>
      </c>
      <c r="E199" s="4">
        <v>45354</v>
      </c>
      <c r="F199" s="4">
        <v>45354</v>
      </c>
      <c r="G199" s="17">
        <f t="shared" si="51"/>
        <v>21</v>
      </c>
      <c r="H199" s="17">
        <f t="shared" si="52"/>
        <v>21</v>
      </c>
      <c r="I199" t="str">
        <f t="shared" si="53"/>
        <v>No</v>
      </c>
      <c r="J199" s="2">
        <f t="shared" si="54"/>
        <v>44946</v>
      </c>
      <c r="K199" t="s">
        <v>646</v>
      </c>
      <c r="L199" t="s">
        <v>650</v>
      </c>
      <c r="M199" t="s">
        <v>662</v>
      </c>
      <c r="N199" t="str">
        <f t="shared" si="55"/>
        <v>Africa - Kenya - Kisumu</v>
      </c>
      <c r="O199" t="s">
        <v>706</v>
      </c>
      <c r="P199" t="s">
        <v>708</v>
      </c>
      <c r="Q199" t="s">
        <v>717</v>
      </c>
      <c r="R199" t="s">
        <v>730</v>
      </c>
      <c r="S199" t="s">
        <v>931</v>
      </c>
      <c r="T199" s="6">
        <v>516.86</v>
      </c>
      <c r="U199" s="8">
        <v>852.54</v>
      </c>
      <c r="V199" s="8">
        <f t="shared" si="56"/>
        <v>852.54</v>
      </c>
      <c r="W199" s="8" t="str">
        <f t="shared" si="57"/>
        <v>Medium</v>
      </c>
      <c r="X199" s="15">
        <v>5.0999999999999997E-2</v>
      </c>
      <c r="Y199" s="15">
        <f t="shared" si="58"/>
        <v>5.0999999999999997E-2</v>
      </c>
      <c r="Z199" t="str">
        <f t="shared" si="59"/>
        <v>No</v>
      </c>
      <c r="AA199" s="17">
        <v>14</v>
      </c>
      <c r="AB199" s="8">
        <f t="shared" si="60"/>
        <v>11326.846439999999</v>
      </c>
      <c r="AC199" s="8">
        <f t="shared" si="61"/>
        <v>7236.04</v>
      </c>
      <c r="AD199" s="8">
        <f t="shared" si="62"/>
        <v>4090.8064399999994</v>
      </c>
      <c r="AE199" s="15">
        <f t="shared" si="63"/>
        <v>0.36116022775355994</v>
      </c>
      <c r="AF199" s="34">
        <f>MIN(Y199,'Scenario Modeling'!$B$2)</f>
        <v>5.0999999999999997E-2</v>
      </c>
      <c r="AG199">
        <f>ROUND(AA199 * (1 + 'Scenario Modeling'!$B$4), 0)</f>
        <v>14</v>
      </c>
      <c r="AH199">
        <f>T199 * (1 + 'Scenario Modeling'!$B$3)</f>
        <v>516.86</v>
      </c>
      <c r="AI199" s="8">
        <f t="shared" si="64"/>
        <v>11326.846439999999</v>
      </c>
      <c r="AJ199" s="8">
        <f t="shared" si="65"/>
        <v>4090.8064399999994</v>
      </c>
    </row>
    <row r="200" spans="1:36">
      <c r="A200" t="s">
        <v>212</v>
      </c>
      <c r="B200" s="4">
        <v>44956</v>
      </c>
      <c r="C200" s="28">
        <v>44956</v>
      </c>
      <c r="D200" s="28" t="str">
        <f t="shared" si="50"/>
        <v>Q1-2023</v>
      </c>
      <c r="E200" s="4">
        <v>44978</v>
      </c>
      <c r="F200" s="4">
        <v>44978</v>
      </c>
      <c r="G200" s="17">
        <f t="shared" si="51"/>
        <v>22</v>
      </c>
      <c r="H200" s="17">
        <f t="shared" si="52"/>
        <v>22</v>
      </c>
      <c r="I200" t="str">
        <f t="shared" si="53"/>
        <v>No</v>
      </c>
      <c r="J200" s="2">
        <f t="shared" si="54"/>
        <v>44948</v>
      </c>
      <c r="K200" t="s">
        <v>649</v>
      </c>
      <c r="L200" t="s">
        <v>656</v>
      </c>
      <c r="M200" t="s">
        <v>684</v>
      </c>
      <c r="N200" t="str">
        <f t="shared" si="55"/>
        <v>Europe - Germany - Munich</v>
      </c>
      <c r="O200" t="s">
        <v>705</v>
      </c>
      <c r="P200" t="s">
        <v>709</v>
      </c>
      <c r="Q200" t="s">
        <v>715</v>
      </c>
      <c r="R200" t="s">
        <v>729</v>
      </c>
      <c r="S200" t="s">
        <v>932</v>
      </c>
      <c r="T200" s="6">
        <v>1142.8800000000001</v>
      </c>
      <c r="U200" s="8">
        <v>1465.29</v>
      </c>
      <c r="V200" s="8">
        <f t="shared" si="56"/>
        <v>1465.29</v>
      </c>
      <c r="W200" s="8" t="str">
        <f t="shared" si="57"/>
        <v>Medium</v>
      </c>
      <c r="X200" s="15">
        <v>0.186</v>
      </c>
      <c r="Y200" s="15">
        <f t="shared" si="58"/>
        <v>0.186</v>
      </c>
      <c r="Z200" t="str">
        <f t="shared" si="59"/>
        <v>No</v>
      </c>
      <c r="AA200" s="17">
        <v>7</v>
      </c>
      <c r="AB200" s="8">
        <f t="shared" si="60"/>
        <v>8349.2224200000001</v>
      </c>
      <c r="AC200" s="8">
        <f t="shared" si="61"/>
        <v>8000.1600000000008</v>
      </c>
      <c r="AD200" s="8">
        <f t="shared" si="62"/>
        <v>349.06241999999929</v>
      </c>
      <c r="AE200" s="15">
        <f t="shared" si="63"/>
        <v>4.1807775915017401E-2</v>
      </c>
      <c r="AF200" s="34">
        <f>MIN(Y200,'Scenario Modeling'!$B$2)</f>
        <v>0.186</v>
      </c>
      <c r="AG200">
        <f>ROUND(AA200 * (1 + 'Scenario Modeling'!$B$4), 0)</f>
        <v>7</v>
      </c>
      <c r="AH200">
        <f>T200 * (1 + 'Scenario Modeling'!$B$3)</f>
        <v>1142.8800000000001</v>
      </c>
      <c r="AI200" s="8">
        <f t="shared" si="64"/>
        <v>8349.2224200000001</v>
      </c>
      <c r="AJ200" s="8">
        <f t="shared" si="65"/>
        <v>349.06241999999929</v>
      </c>
    </row>
    <row r="201" spans="1:36">
      <c r="A201" t="s">
        <v>213</v>
      </c>
      <c r="B201" s="4">
        <v>45030</v>
      </c>
      <c r="C201" s="28">
        <v>45030</v>
      </c>
      <c r="D201" s="28" t="str">
        <f t="shared" si="50"/>
        <v>Q2-2023</v>
      </c>
      <c r="E201" s="4">
        <v>45059</v>
      </c>
      <c r="F201" s="4">
        <v>45059</v>
      </c>
      <c r="G201" s="17">
        <f t="shared" si="51"/>
        <v>29</v>
      </c>
      <c r="H201" s="17">
        <f t="shared" si="52"/>
        <v>29</v>
      </c>
      <c r="I201" t="str">
        <f t="shared" si="53"/>
        <v>No</v>
      </c>
      <c r="J201" s="2">
        <f t="shared" si="54"/>
        <v>44948</v>
      </c>
      <c r="K201" t="s">
        <v>649</v>
      </c>
      <c r="L201" t="s">
        <v>656</v>
      </c>
      <c r="M201" t="s">
        <v>698</v>
      </c>
      <c r="N201" t="str">
        <f t="shared" si="55"/>
        <v>Europe - Germany - Frankfurt</v>
      </c>
      <c r="O201" t="s">
        <v>704</v>
      </c>
      <c r="P201" t="s">
        <v>711</v>
      </c>
      <c r="Q201" t="s">
        <v>713</v>
      </c>
      <c r="R201" t="s">
        <v>728</v>
      </c>
      <c r="S201" t="s">
        <v>933</v>
      </c>
      <c r="T201" s="6">
        <v>1320.33</v>
      </c>
      <c r="U201" s="8">
        <v>2645.23</v>
      </c>
      <c r="V201" s="8">
        <f t="shared" si="56"/>
        <v>2645.23</v>
      </c>
      <c r="W201" s="8" t="str">
        <f t="shared" si="57"/>
        <v>High</v>
      </c>
      <c r="X201" s="15">
        <v>0.155</v>
      </c>
      <c r="Y201" s="15">
        <f t="shared" si="58"/>
        <v>0.155</v>
      </c>
      <c r="Z201" t="str">
        <f t="shared" si="59"/>
        <v>No</v>
      </c>
      <c r="AA201" s="17">
        <v>25</v>
      </c>
      <c r="AB201" s="8">
        <f t="shared" si="60"/>
        <v>55880.483749999999</v>
      </c>
      <c r="AC201" s="8">
        <f t="shared" si="61"/>
        <v>33008.25</v>
      </c>
      <c r="AD201" s="8">
        <f t="shared" si="62"/>
        <v>22872.233749999999</v>
      </c>
      <c r="AE201" s="15">
        <f t="shared" si="63"/>
        <v>0.40930629470436536</v>
      </c>
      <c r="AF201" s="34">
        <f>MIN(Y201,'Scenario Modeling'!$B$2)</f>
        <v>0.155</v>
      </c>
      <c r="AG201">
        <f>ROUND(AA201 * (1 + 'Scenario Modeling'!$B$4), 0)</f>
        <v>25</v>
      </c>
      <c r="AH201">
        <f>T201 * (1 + 'Scenario Modeling'!$B$3)</f>
        <v>1320.33</v>
      </c>
      <c r="AI201" s="8">
        <f t="shared" si="64"/>
        <v>55880.483749999999</v>
      </c>
      <c r="AJ201" s="8">
        <f t="shared" si="65"/>
        <v>22872.233749999999</v>
      </c>
    </row>
    <row r="202" spans="1:36">
      <c r="A202" t="s">
        <v>214</v>
      </c>
      <c r="B202" s="4">
        <v>44939</v>
      </c>
      <c r="C202" s="28">
        <v>44939</v>
      </c>
      <c r="D202" s="28" t="str">
        <f t="shared" si="50"/>
        <v>Q1-2023</v>
      </c>
      <c r="E202" s="4">
        <v>44945</v>
      </c>
      <c r="F202" s="4">
        <v>44945</v>
      </c>
      <c r="G202" s="17">
        <f t="shared" si="51"/>
        <v>6</v>
      </c>
      <c r="H202" s="17">
        <f t="shared" si="52"/>
        <v>6</v>
      </c>
      <c r="I202" t="str">
        <f t="shared" si="53"/>
        <v>Yes</v>
      </c>
      <c r="J202" s="2">
        <f t="shared" si="54"/>
        <v>44939</v>
      </c>
      <c r="K202" t="s">
        <v>648</v>
      </c>
      <c r="L202" t="s">
        <v>660</v>
      </c>
      <c r="M202" t="s">
        <v>677</v>
      </c>
      <c r="N202" t="str">
        <f t="shared" si="55"/>
        <v>Americas - USA - Chicago</v>
      </c>
      <c r="O202" t="s">
        <v>701</v>
      </c>
      <c r="P202" t="s">
        <v>711</v>
      </c>
      <c r="Q202" t="s">
        <v>722</v>
      </c>
      <c r="R202" t="s">
        <v>730</v>
      </c>
      <c r="S202" t="s">
        <v>934</v>
      </c>
      <c r="T202" s="6">
        <v>833.57</v>
      </c>
      <c r="U202" s="8">
        <v>881.57</v>
      </c>
      <c r="V202" s="8">
        <f t="shared" si="56"/>
        <v>881.57</v>
      </c>
      <c r="W202" s="8" t="str">
        <f t="shared" si="57"/>
        <v>Medium</v>
      </c>
      <c r="X202" s="15">
        <v>5.7000000000000002E-2</v>
      </c>
      <c r="Y202" s="15">
        <f t="shared" si="58"/>
        <v>5.7000000000000002E-2</v>
      </c>
      <c r="Z202" t="str">
        <f t="shared" si="59"/>
        <v>No</v>
      </c>
      <c r="AA202" s="17">
        <v>18</v>
      </c>
      <c r="AB202" s="8">
        <f t="shared" si="60"/>
        <v>14963.769179999999</v>
      </c>
      <c r="AC202" s="8">
        <f t="shared" si="61"/>
        <v>15004.26</v>
      </c>
      <c r="AD202" s="8">
        <f t="shared" si="62"/>
        <v>-40.490820000000895</v>
      </c>
      <c r="AE202" s="15">
        <f t="shared" si="63"/>
        <v>-2.7059238560107821E-3</v>
      </c>
      <c r="AF202" s="34">
        <f>MIN(Y202,'Scenario Modeling'!$B$2)</f>
        <v>5.7000000000000002E-2</v>
      </c>
      <c r="AG202">
        <f>ROUND(AA202 * (1 + 'Scenario Modeling'!$B$4), 0)</f>
        <v>18</v>
      </c>
      <c r="AH202">
        <f>T202 * (1 + 'Scenario Modeling'!$B$3)</f>
        <v>833.57</v>
      </c>
      <c r="AI202" s="8">
        <f t="shared" si="64"/>
        <v>14963.769179999999</v>
      </c>
      <c r="AJ202" s="8">
        <f t="shared" si="65"/>
        <v>-40.490820000000895</v>
      </c>
    </row>
    <row r="203" spans="1:36">
      <c r="A203" t="s">
        <v>215</v>
      </c>
      <c r="B203" s="4">
        <v>45303</v>
      </c>
      <c r="C203" s="28">
        <v>45303</v>
      </c>
      <c r="D203" s="28" t="str">
        <f t="shared" si="50"/>
        <v>Q1-2024</v>
      </c>
      <c r="E203" s="4">
        <v>45320</v>
      </c>
      <c r="F203" s="4">
        <v>45320</v>
      </c>
      <c r="G203" s="17">
        <f t="shared" si="51"/>
        <v>17</v>
      </c>
      <c r="H203" s="17">
        <f t="shared" si="52"/>
        <v>17</v>
      </c>
      <c r="I203" t="str">
        <f t="shared" si="53"/>
        <v>No</v>
      </c>
      <c r="J203" s="2">
        <f t="shared" si="54"/>
        <v>44939</v>
      </c>
      <c r="K203" t="s">
        <v>648</v>
      </c>
      <c r="L203" t="s">
        <v>660</v>
      </c>
      <c r="M203" t="s">
        <v>677</v>
      </c>
      <c r="N203" t="str">
        <f t="shared" si="55"/>
        <v>Americas - USA - Chicago</v>
      </c>
      <c r="O203" t="s">
        <v>702</v>
      </c>
      <c r="P203" t="s">
        <v>710</v>
      </c>
      <c r="Q203" t="s">
        <v>720</v>
      </c>
      <c r="R203" t="s">
        <v>728</v>
      </c>
      <c r="S203" t="s">
        <v>935</v>
      </c>
      <c r="T203" s="6">
        <v>493.76</v>
      </c>
      <c r="U203" s="8">
        <v>625.04</v>
      </c>
      <c r="V203" s="8">
        <f t="shared" si="56"/>
        <v>625.04</v>
      </c>
      <c r="W203" s="8" t="str">
        <f t="shared" si="57"/>
        <v>Low</v>
      </c>
      <c r="X203" s="15">
        <v>0.25800000000000001</v>
      </c>
      <c r="Y203" s="15">
        <f t="shared" si="58"/>
        <v>0.25800000000000001</v>
      </c>
      <c r="Z203" t="str">
        <f t="shared" si="59"/>
        <v>Yes</v>
      </c>
      <c r="AA203" s="17">
        <v>10</v>
      </c>
      <c r="AB203" s="8">
        <f t="shared" si="60"/>
        <v>4637.7968000000001</v>
      </c>
      <c r="AC203" s="8">
        <f t="shared" si="61"/>
        <v>4937.6000000000004</v>
      </c>
      <c r="AD203" s="8">
        <f t="shared" si="62"/>
        <v>-299.80320000000029</v>
      </c>
      <c r="AE203" s="15">
        <f t="shared" si="63"/>
        <v>-6.464345311549663E-2</v>
      </c>
      <c r="AF203" s="34">
        <f>MIN(Y203,'Scenario Modeling'!$B$2)</f>
        <v>0.25</v>
      </c>
      <c r="AG203">
        <f>ROUND(AA203 * (1 + 'Scenario Modeling'!$B$4), 0)</f>
        <v>10</v>
      </c>
      <c r="AH203">
        <f>T203 * (1 + 'Scenario Modeling'!$B$3)</f>
        <v>493.76</v>
      </c>
      <c r="AI203" s="8">
        <f t="shared" si="64"/>
        <v>4687.7999999999993</v>
      </c>
      <c r="AJ203" s="8">
        <f t="shared" si="65"/>
        <v>-249.80000000000109</v>
      </c>
    </row>
    <row r="204" spans="1:36">
      <c r="A204" t="s">
        <v>216</v>
      </c>
      <c r="B204" s="4">
        <v>45153</v>
      </c>
      <c r="C204" s="28">
        <v>45153</v>
      </c>
      <c r="D204" s="28" t="str">
        <f t="shared" si="50"/>
        <v>Q3-2023</v>
      </c>
      <c r="E204" s="4">
        <v>45176</v>
      </c>
      <c r="F204" s="4">
        <v>45176</v>
      </c>
      <c r="G204" s="17">
        <f t="shared" si="51"/>
        <v>23</v>
      </c>
      <c r="H204" s="17">
        <f t="shared" si="52"/>
        <v>23</v>
      </c>
      <c r="I204" t="str">
        <f t="shared" si="53"/>
        <v>No</v>
      </c>
      <c r="J204" s="2">
        <f t="shared" si="54"/>
        <v>44939</v>
      </c>
      <c r="K204" t="s">
        <v>648</v>
      </c>
      <c r="L204" t="s">
        <v>660</v>
      </c>
      <c r="M204" t="s">
        <v>700</v>
      </c>
      <c r="N204" t="str">
        <f t="shared" si="55"/>
        <v>Americas - USA - New York</v>
      </c>
      <c r="O204" t="s">
        <v>706</v>
      </c>
      <c r="P204" t="s">
        <v>708</v>
      </c>
      <c r="Q204" t="s">
        <v>723</v>
      </c>
      <c r="R204" t="s">
        <v>730</v>
      </c>
      <c r="S204" t="s">
        <v>936</v>
      </c>
      <c r="T204" s="6">
        <v>590.33000000000004</v>
      </c>
      <c r="U204" s="8">
        <v>973.04</v>
      </c>
      <c r="V204" s="8">
        <f t="shared" si="56"/>
        <v>973.04</v>
      </c>
      <c r="W204" s="8" t="str">
        <f t="shared" si="57"/>
        <v>Medium</v>
      </c>
      <c r="X204" s="15">
        <v>0</v>
      </c>
      <c r="Y204" s="15">
        <f t="shared" si="58"/>
        <v>0</v>
      </c>
      <c r="Z204" t="str">
        <f t="shared" si="59"/>
        <v>No</v>
      </c>
      <c r="AA204" s="17">
        <v>26</v>
      </c>
      <c r="AB204" s="8">
        <f t="shared" si="60"/>
        <v>25299.040000000001</v>
      </c>
      <c r="AC204" s="8">
        <f t="shared" si="61"/>
        <v>15348.580000000002</v>
      </c>
      <c r="AD204" s="8">
        <f t="shared" si="62"/>
        <v>9950.4599999999991</v>
      </c>
      <c r="AE204" s="15">
        <f t="shared" si="63"/>
        <v>0.39331373838691108</v>
      </c>
      <c r="AF204" s="34">
        <f>MIN(Y204,'Scenario Modeling'!$B$2)</f>
        <v>0</v>
      </c>
      <c r="AG204">
        <f>ROUND(AA204 * (1 + 'Scenario Modeling'!$B$4), 0)</f>
        <v>26</v>
      </c>
      <c r="AH204">
        <f>T204 * (1 + 'Scenario Modeling'!$B$3)</f>
        <v>590.33000000000004</v>
      </c>
      <c r="AI204" s="8">
        <f t="shared" si="64"/>
        <v>25299.040000000001</v>
      </c>
      <c r="AJ204" s="8">
        <f t="shared" si="65"/>
        <v>9950.4599999999991</v>
      </c>
    </row>
    <row r="205" spans="1:36">
      <c r="A205" t="s">
        <v>217</v>
      </c>
      <c r="B205" s="4">
        <v>44946</v>
      </c>
      <c r="C205" s="28">
        <v>44946</v>
      </c>
      <c r="D205" s="28" t="str">
        <f t="shared" si="50"/>
        <v>Q1-2023</v>
      </c>
      <c r="E205" s="4">
        <v>44960</v>
      </c>
      <c r="F205" s="4">
        <v>44960</v>
      </c>
      <c r="G205" s="17">
        <f t="shared" si="51"/>
        <v>14</v>
      </c>
      <c r="H205" s="17">
        <f t="shared" si="52"/>
        <v>14</v>
      </c>
      <c r="I205" t="str">
        <f t="shared" si="53"/>
        <v>No</v>
      </c>
      <c r="J205" s="2">
        <f t="shared" si="54"/>
        <v>44946</v>
      </c>
      <c r="K205" t="s">
        <v>646</v>
      </c>
      <c r="L205" t="s">
        <v>650</v>
      </c>
      <c r="M205" t="s">
        <v>662</v>
      </c>
      <c r="N205" t="str">
        <f t="shared" si="55"/>
        <v>Africa - Kenya - Kisumu</v>
      </c>
      <c r="O205" t="s">
        <v>701</v>
      </c>
      <c r="P205" t="s">
        <v>707</v>
      </c>
      <c r="Q205" t="s">
        <v>724</v>
      </c>
      <c r="R205" t="s">
        <v>729</v>
      </c>
      <c r="S205" t="s">
        <v>937</v>
      </c>
      <c r="T205" s="6">
        <v>884.36</v>
      </c>
      <c r="U205" s="8">
        <v>1545.34</v>
      </c>
      <c r="V205" s="8">
        <f t="shared" si="56"/>
        <v>1545.34</v>
      </c>
      <c r="W205" s="8" t="str">
        <f t="shared" si="57"/>
        <v>Medium</v>
      </c>
      <c r="X205" s="15">
        <v>0.24299999999999999</v>
      </c>
      <c r="Y205" s="15">
        <f t="shared" si="58"/>
        <v>0.24299999999999999</v>
      </c>
      <c r="Z205" t="str">
        <f t="shared" si="59"/>
        <v>Yes</v>
      </c>
      <c r="AA205" s="17">
        <v>41</v>
      </c>
      <c r="AB205" s="8">
        <f t="shared" si="60"/>
        <v>47962.717579999997</v>
      </c>
      <c r="AC205" s="8">
        <f t="shared" si="61"/>
        <v>36258.76</v>
      </c>
      <c r="AD205" s="8">
        <f t="shared" si="62"/>
        <v>11703.957579999995</v>
      </c>
      <c r="AE205" s="15">
        <f t="shared" si="63"/>
        <v>0.24402198562827965</v>
      </c>
      <c r="AF205" s="34">
        <f>MIN(Y205,'Scenario Modeling'!$B$2)</f>
        <v>0.24299999999999999</v>
      </c>
      <c r="AG205">
        <f>ROUND(AA205 * (1 + 'Scenario Modeling'!$B$4), 0)</f>
        <v>41</v>
      </c>
      <c r="AH205">
        <f>T205 * (1 + 'Scenario Modeling'!$B$3)</f>
        <v>884.36</v>
      </c>
      <c r="AI205" s="8">
        <f t="shared" si="64"/>
        <v>47962.717579999997</v>
      </c>
      <c r="AJ205" s="8">
        <f t="shared" si="65"/>
        <v>11703.957579999995</v>
      </c>
    </row>
    <row r="206" spans="1:36">
      <c r="A206" t="s">
        <v>218</v>
      </c>
      <c r="B206" s="4">
        <v>45692</v>
      </c>
      <c r="C206" s="28">
        <v>45692</v>
      </c>
      <c r="D206" s="28" t="str">
        <f t="shared" si="50"/>
        <v>Q1-2025</v>
      </c>
      <c r="E206" s="4">
        <v>45713</v>
      </c>
      <c r="F206" s="4">
        <v>45713</v>
      </c>
      <c r="G206" s="17">
        <f t="shared" si="51"/>
        <v>21</v>
      </c>
      <c r="H206" s="17">
        <f t="shared" si="52"/>
        <v>21</v>
      </c>
      <c r="I206" t="str">
        <f t="shared" si="53"/>
        <v>No</v>
      </c>
      <c r="J206" s="2">
        <f t="shared" si="54"/>
        <v>44945</v>
      </c>
      <c r="K206" t="s">
        <v>649</v>
      </c>
      <c r="L206" t="s">
        <v>658</v>
      </c>
      <c r="M206" t="s">
        <v>674</v>
      </c>
      <c r="N206" t="str">
        <f t="shared" si="55"/>
        <v>Europe - United Kingdom - Birmingham</v>
      </c>
      <c r="O206" t="s">
        <v>701</v>
      </c>
      <c r="P206" t="s">
        <v>709</v>
      </c>
      <c r="Q206" t="s">
        <v>726</v>
      </c>
      <c r="R206" t="s">
        <v>732</v>
      </c>
      <c r="S206" t="s">
        <v>938</v>
      </c>
      <c r="T206" s="6">
        <v>1016.32</v>
      </c>
      <c r="U206" s="8">
        <v>2253.42</v>
      </c>
      <c r="V206" s="8">
        <f t="shared" si="56"/>
        <v>2253.42</v>
      </c>
      <c r="W206" s="8" t="str">
        <f t="shared" si="57"/>
        <v>High</v>
      </c>
      <c r="X206" s="15">
        <v>5.5E-2</v>
      </c>
      <c r="Y206" s="15">
        <f t="shared" si="58"/>
        <v>5.5E-2</v>
      </c>
      <c r="Z206" t="str">
        <f t="shared" si="59"/>
        <v>No</v>
      </c>
      <c r="AA206" s="17">
        <v>12</v>
      </c>
      <c r="AB206" s="8">
        <f t="shared" si="60"/>
        <v>25553.782800000001</v>
      </c>
      <c r="AC206" s="8">
        <f t="shared" si="61"/>
        <v>12195.84</v>
      </c>
      <c r="AD206" s="8">
        <f t="shared" si="62"/>
        <v>13357.942800000001</v>
      </c>
      <c r="AE206" s="15">
        <f t="shared" si="63"/>
        <v>0.52273837124419797</v>
      </c>
      <c r="AF206" s="34">
        <f>MIN(Y206,'Scenario Modeling'!$B$2)</f>
        <v>5.5E-2</v>
      </c>
      <c r="AG206">
        <f>ROUND(AA206 * (1 + 'Scenario Modeling'!$B$4), 0)</f>
        <v>12</v>
      </c>
      <c r="AH206">
        <f>T206 * (1 + 'Scenario Modeling'!$B$3)</f>
        <v>1016.32</v>
      </c>
      <c r="AI206" s="8">
        <f t="shared" si="64"/>
        <v>25553.782800000001</v>
      </c>
      <c r="AJ206" s="8">
        <f t="shared" si="65"/>
        <v>13357.942800000001</v>
      </c>
    </row>
    <row r="207" spans="1:36">
      <c r="A207" t="s">
        <v>219</v>
      </c>
      <c r="B207" s="4">
        <v>45035</v>
      </c>
      <c r="C207" s="28">
        <v>45035</v>
      </c>
      <c r="D207" s="28" t="str">
        <f t="shared" si="50"/>
        <v>Q2-2023</v>
      </c>
      <c r="E207" s="4">
        <v>45044</v>
      </c>
      <c r="F207" s="4">
        <v>45044</v>
      </c>
      <c r="G207" s="17">
        <f t="shared" si="51"/>
        <v>9</v>
      </c>
      <c r="H207" s="17">
        <f t="shared" si="52"/>
        <v>9</v>
      </c>
      <c r="I207" t="str">
        <f t="shared" si="53"/>
        <v>No</v>
      </c>
      <c r="J207" s="2">
        <f t="shared" si="54"/>
        <v>44948</v>
      </c>
      <c r="K207" t="s">
        <v>649</v>
      </c>
      <c r="L207" t="s">
        <v>656</v>
      </c>
      <c r="M207" t="s">
        <v>671</v>
      </c>
      <c r="N207" t="str">
        <f t="shared" si="55"/>
        <v>Europe - Germany - Berlin</v>
      </c>
      <c r="O207" t="s">
        <v>702</v>
      </c>
      <c r="P207" t="s">
        <v>708</v>
      </c>
      <c r="Q207" t="s">
        <v>718</v>
      </c>
      <c r="R207" t="s">
        <v>732</v>
      </c>
      <c r="S207" t="s">
        <v>939</v>
      </c>
      <c r="T207" s="6">
        <v>1178.42</v>
      </c>
      <c r="U207" s="8">
        <v>2446.56</v>
      </c>
      <c r="V207" s="8">
        <f t="shared" si="56"/>
        <v>2446.56</v>
      </c>
      <c r="W207" s="8" t="str">
        <f t="shared" si="57"/>
        <v>High</v>
      </c>
      <c r="X207" s="15">
        <v>2.9000000000000001E-2</v>
      </c>
      <c r="Y207" s="15">
        <f t="shared" si="58"/>
        <v>2.9000000000000001E-2</v>
      </c>
      <c r="Z207" t="str">
        <f t="shared" si="59"/>
        <v>No</v>
      </c>
      <c r="AA207" s="17">
        <v>11</v>
      </c>
      <c r="AB207" s="8">
        <f t="shared" si="60"/>
        <v>26131.70736</v>
      </c>
      <c r="AC207" s="8">
        <f t="shared" si="61"/>
        <v>12962.62</v>
      </c>
      <c r="AD207" s="8">
        <f t="shared" si="62"/>
        <v>13169.08736</v>
      </c>
      <c r="AE207" s="15">
        <f t="shared" si="63"/>
        <v>0.5039505141618883</v>
      </c>
      <c r="AF207" s="34">
        <f>MIN(Y207,'Scenario Modeling'!$B$2)</f>
        <v>2.9000000000000001E-2</v>
      </c>
      <c r="AG207">
        <f>ROUND(AA207 * (1 + 'Scenario Modeling'!$B$4), 0)</f>
        <v>11</v>
      </c>
      <c r="AH207">
        <f>T207 * (1 + 'Scenario Modeling'!$B$3)</f>
        <v>1178.42</v>
      </c>
      <c r="AI207" s="8">
        <f t="shared" si="64"/>
        <v>26131.70736</v>
      </c>
      <c r="AJ207" s="8">
        <f t="shared" si="65"/>
        <v>13169.08736</v>
      </c>
    </row>
    <row r="208" spans="1:36">
      <c r="A208" t="s">
        <v>220</v>
      </c>
      <c r="B208" s="4">
        <v>45109</v>
      </c>
      <c r="C208" s="28">
        <v>45109</v>
      </c>
      <c r="D208" s="28" t="str">
        <f t="shared" si="50"/>
        <v>Q3-2023</v>
      </c>
      <c r="E208" s="4">
        <v>45139</v>
      </c>
      <c r="F208" s="4">
        <v>45139</v>
      </c>
      <c r="G208" s="17">
        <f t="shared" si="51"/>
        <v>30</v>
      </c>
      <c r="H208" s="17">
        <f t="shared" si="52"/>
        <v>30</v>
      </c>
      <c r="I208" t="str">
        <f t="shared" si="53"/>
        <v>No</v>
      </c>
      <c r="J208" s="2">
        <f t="shared" si="54"/>
        <v>44945</v>
      </c>
      <c r="K208" t="s">
        <v>649</v>
      </c>
      <c r="L208" t="s">
        <v>658</v>
      </c>
      <c r="M208" t="s">
        <v>674</v>
      </c>
      <c r="N208" t="str">
        <f t="shared" si="55"/>
        <v>Europe - United Kingdom - Birmingham</v>
      </c>
      <c r="O208" t="s">
        <v>705</v>
      </c>
      <c r="P208" t="s">
        <v>707</v>
      </c>
      <c r="Q208" t="s">
        <v>717</v>
      </c>
      <c r="R208" t="s">
        <v>727</v>
      </c>
      <c r="S208" t="s">
        <v>940</v>
      </c>
      <c r="T208" s="6">
        <v>137.46</v>
      </c>
      <c r="U208" s="8">
        <v>188.3</v>
      </c>
      <c r="V208" s="8">
        <f t="shared" si="56"/>
        <v>188.3</v>
      </c>
      <c r="W208" s="8" t="str">
        <f t="shared" si="57"/>
        <v>Low</v>
      </c>
      <c r="X208" s="15">
        <v>3.7999999999999999E-2</v>
      </c>
      <c r="Y208" s="15">
        <f t="shared" si="58"/>
        <v>3.7999999999999999E-2</v>
      </c>
      <c r="Z208" t="str">
        <f t="shared" si="59"/>
        <v>No</v>
      </c>
      <c r="AA208" s="17">
        <v>37</v>
      </c>
      <c r="AB208" s="8">
        <f t="shared" si="60"/>
        <v>6702.3501999999999</v>
      </c>
      <c r="AC208" s="8">
        <f t="shared" si="61"/>
        <v>5086.0200000000004</v>
      </c>
      <c r="AD208" s="8">
        <f t="shared" si="62"/>
        <v>1616.3301999999994</v>
      </c>
      <c r="AE208" s="15">
        <f t="shared" si="63"/>
        <v>0.24115872071262398</v>
      </c>
      <c r="AF208" s="34">
        <f>MIN(Y208,'Scenario Modeling'!$B$2)</f>
        <v>3.7999999999999999E-2</v>
      </c>
      <c r="AG208">
        <f>ROUND(AA208 * (1 + 'Scenario Modeling'!$B$4), 0)</f>
        <v>37</v>
      </c>
      <c r="AH208">
        <f>T208 * (1 + 'Scenario Modeling'!$B$3)</f>
        <v>137.46</v>
      </c>
      <c r="AI208" s="8">
        <f t="shared" si="64"/>
        <v>6702.3501999999999</v>
      </c>
      <c r="AJ208" s="8">
        <f t="shared" si="65"/>
        <v>1616.3301999999994</v>
      </c>
    </row>
    <row r="209" spans="1:36">
      <c r="A209" t="s">
        <v>221</v>
      </c>
      <c r="B209" s="4">
        <v>45678</v>
      </c>
      <c r="C209" s="28">
        <v>45678</v>
      </c>
      <c r="D209" s="28" t="str">
        <f t="shared" si="50"/>
        <v>Q1-2025</v>
      </c>
      <c r="E209" s="4">
        <v>45702</v>
      </c>
      <c r="F209" s="4">
        <v>45702</v>
      </c>
      <c r="G209" s="17">
        <f t="shared" si="51"/>
        <v>24</v>
      </c>
      <c r="H209" s="17">
        <f t="shared" si="52"/>
        <v>24</v>
      </c>
      <c r="I209" t="str">
        <f t="shared" si="53"/>
        <v>No</v>
      </c>
      <c r="J209" s="2">
        <f t="shared" si="54"/>
        <v>44946</v>
      </c>
      <c r="K209" t="s">
        <v>646</v>
      </c>
      <c r="L209" t="s">
        <v>650</v>
      </c>
      <c r="M209" t="s">
        <v>664</v>
      </c>
      <c r="N209" t="str">
        <f t="shared" si="55"/>
        <v>Africa - Kenya - Nairobi</v>
      </c>
      <c r="O209" t="s">
        <v>705</v>
      </c>
      <c r="P209" t="s">
        <v>707</v>
      </c>
      <c r="Q209" t="s">
        <v>713</v>
      </c>
      <c r="R209" t="s">
        <v>733</v>
      </c>
      <c r="S209" t="s">
        <v>941</v>
      </c>
      <c r="T209" s="6">
        <v>1030.44</v>
      </c>
      <c r="U209" s="8">
        <v>2562.84</v>
      </c>
      <c r="V209" s="8">
        <f t="shared" si="56"/>
        <v>2562.84</v>
      </c>
      <c r="W209" s="8" t="str">
        <f t="shared" si="57"/>
        <v>High</v>
      </c>
      <c r="X209" s="15">
        <v>0.14799999999999999</v>
      </c>
      <c r="Y209" s="15">
        <f t="shared" si="58"/>
        <v>0.14799999999999999</v>
      </c>
      <c r="Z209" t="str">
        <f t="shared" si="59"/>
        <v>No</v>
      </c>
      <c r="AA209" s="17">
        <v>13</v>
      </c>
      <c r="AB209" s="8">
        <f t="shared" si="60"/>
        <v>28386.015839999996</v>
      </c>
      <c r="AC209" s="8">
        <f t="shared" si="61"/>
        <v>13395.720000000001</v>
      </c>
      <c r="AD209" s="8">
        <f t="shared" si="62"/>
        <v>14990.295839999995</v>
      </c>
      <c r="AE209" s="15">
        <f t="shared" si="63"/>
        <v>0.52808734852027039</v>
      </c>
      <c r="AF209" s="34">
        <f>MIN(Y209,'Scenario Modeling'!$B$2)</f>
        <v>0.14799999999999999</v>
      </c>
      <c r="AG209">
        <f>ROUND(AA209 * (1 + 'Scenario Modeling'!$B$4), 0)</f>
        <v>13</v>
      </c>
      <c r="AH209">
        <f>T209 * (1 + 'Scenario Modeling'!$B$3)</f>
        <v>1030.44</v>
      </c>
      <c r="AI209" s="8">
        <f t="shared" si="64"/>
        <v>28386.015839999996</v>
      </c>
      <c r="AJ209" s="8">
        <f t="shared" si="65"/>
        <v>14990.295839999995</v>
      </c>
    </row>
    <row r="210" spans="1:36">
      <c r="A210" t="s">
        <v>222</v>
      </c>
      <c r="B210" s="4">
        <v>45545</v>
      </c>
      <c r="C210" s="28">
        <v>45545</v>
      </c>
      <c r="D210" s="28" t="str">
        <f t="shared" si="50"/>
        <v>Q3-2024</v>
      </c>
      <c r="E210" s="4">
        <v>45572</v>
      </c>
      <c r="F210" s="4">
        <v>45572</v>
      </c>
      <c r="G210" s="17">
        <f t="shared" si="51"/>
        <v>27</v>
      </c>
      <c r="H210" s="17">
        <f t="shared" si="52"/>
        <v>27</v>
      </c>
      <c r="I210" t="str">
        <f t="shared" si="53"/>
        <v>No</v>
      </c>
      <c r="J210" s="2">
        <f t="shared" si="54"/>
        <v>44946</v>
      </c>
      <c r="K210" t="s">
        <v>646</v>
      </c>
      <c r="L210" t="s">
        <v>650</v>
      </c>
      <c r="M210" t="s">
        <v>662</v>
      </c>
      <c r="N210" t="str">
        <f t="shared" si="55"/>
        <v>Africa - Kenya - Kisumu</v>
      </c>
      <c r="O210" t="s">
        <v>704</v>
      </c>
      <c r="P210" t="s">
        <v>707</v>
      </c>
      <c r="Q210" t="s">
        <v>716</v>
      </c>
      <c r="R210" t="s">
        <v>728</v>
      </c>
      <c r="S210" t="s">
        <v>942</v>
      </c>
      <c r="T210" s="6">
        <v>1248.3900000000001</v>
      </c>
      <c r="U210" s="8">
        <v>1805.11</v>
      </c>
      <c r="V210" s="8">
        <f t="shared" si="56"/>
        <v>1805.11</v>
      </c>
      <c r="W210" s="8" t="str">
        <f t="shared" si="57"/>
        <v>High</v>
      </c>
      <c r="X210" s="15">
        <v>0.20300000000000001</v>
      </c>
      <c r="Y210" s="15">
        <f t="shared" si="58"/>
        <v>0.20300000000000001</v>
      </c>
      <c r="Z210" t="str">
        <f t="shared" si="59"/>
        <v>Yes</v>
      </c>
      <c r="AA210" s="17">
        <v>11</v>
      </c>
      <c r="AB210" s="8">
        <f t="shared" si="60"/>
        <v>15825.399369999997</v>
      </c>
      <c r="AC210" s="8">
        <f t="shared" si="61"/>
        <v>13732.29</v>
      </c>
      <c r="AD210" s="8">
        <f t="shared" si="62"/>
        <v>2093.1093699999965</v>
      </c>
      <c r="AE210" s="15">
        <f t="shared" si="63"/>
        <v>0.13226265707820786</v>
      </c>
      <c r="AF210" s="34">
        <f>MIN(Y210,'Scenario Modeling'!$B$2)</f>
        <v>0.20300000000000001</v>
      </c>
      <c r="AG210">
        <f>ROUND(AA210 * (1 + 'Scenario Modeling'!$B$4), 0)</f>
        <v>11</v>
      </c>
      <c r="AH210">
        <f>T210 * (1 + 'Scenario Modeling'!$B$3)</f>
        <v>1248.3900000000001</v>
      </c>
      <c r="AI210" s="8">
        <f t="shared" si="64"/>
        <v>15825.399369999997</v>
      </c>
      <c r="AJ210" s="8">
        <f t="shared" si="65"/>
        <v>2093.1093699999965</v>
      </c>
    </row>
    <row r="211" spans="1:36">
      <c r="A211" t="s">
        <v>223</v>
      </c>
      <c r="B211" s="4">
        <v>45859</v>
      </c>
      <c r="C211" s="28">
        <v>45859</v>
      </c>
      <c r="D211" s="28" t="str">
        <f t="shared" si="50"/>
        <v>Q3-2025</v>
      </c>
      <c r="E211" s="4">
        <v>45876</v>
      </c>
      <c r="F211" s="4">
        <v>45876</v>
      </c>
      <c r="G211" s="17">
        <f t="shared" si="51"/>
        <v>17</v>
      </c>
      <c r="H211" s="17">
        <f t="shared" si="52"/>
        <v>17</v>
      </c>
      <c r="I211" t="str">
        <f t="shared" si="53"/>
        <v>No</v>
      </c>
      <c r="J211" s="2">
        <f t="shared" si="54"/>
        <v>44941</v>
      </c>
      <c r="K211" t="s">
        <v>646</v>
      </c>
      <c r="L211" t="s">
        <v>651</v>
      </c>
      <c r="M211" t="s">
        <v>665</v>
      </c>
      <c r="N211" t="str">
        <f t="shared" si="55"/>
        <v>Africa - Nigeria - Lagos</v>
      </c>
      <c r="O211" t="s">
        <v>706</v>
      </c>
      <c r="P211" t="s">
        <v>711</v>
      </c>
      <c r="Q211" t="s">
        <v>724</v>
      </c>
      <c r="R211" t="s">
        <v>733</v>
      </c>
      <c r="S211" t="s">
        <v>943</v>
      </c>
      <c r="T211" s="6">
        <v>1204.95</v>
      </c>
      <c r="U211" s="8">
        <v>2065.73</v>
      </c>
      <c r="V211" s="8">
        <f t="shared" si="56"/>
        <v>2065.73</v>
      </c>
      <c r="W211" s="8" t="str">
        <f t="shared" si="57"/>
        <v>High</v>
      </c>
      <c r="X211" s="15">
        <v>0.13600000000000001</v>
      </c>
      <c r="Y211" s="15">
        <f t="shared" si="58"/>
        <v>0.13600000000000001</v>
      </c>
      <c r="Z211" t="str">
        <f t="shared" si="59"/>
        <v>No</v>
      </c>
      <c r="AA211" s="17">
        <v>10</v>
      </c>
      <c r="AB211" s="8">
        <f t="shared" si="60"/>
        <v>17847.907199999998</v>
      </c>
      <c r="AC211" s="8">
        <f t="shared" si="61"/>
        <v>12049.5</v>
      </c>
      <c r="AD211" s="8">
        <f t="shared" si="62"/>
        <v>5798.4071999999978</v>
      </c>
      <c r="AE211" s="15">
        <f t="shared" si="63"/>
        <v>0.32487882949100039</v>
      </c>
      <c r="AF211" s="34">
        <f>MIN(Y211,'Scenario Modeling'!$B$2)</f>
        <v>0.13600000000000001</v>
      </c>
      <c r="AG211">
        <f>ROUND(AA211 * (1 + 'Scenario Modeling'!$B$4), 0)</f>
        <v>10</v>
      </c>
      <c r="AH211">
        <f>T211 * (1 + 'Scenario Modeling'!$B$3)</f>
        <v>1204.95</v>
      </c>
      <c r="AI211" s="8">
        <f t="shared" si="64"/>
        <v>17847.907199999998</v>
      </c>
      <c r="AJ211" s="8">
        <f t="shared" si="65"/>
        <v>5798.4071999999978</v>
      </c>
    </row>
    <row r="212" spans="1:36">
      <c r="A212" t="s">
        <v>224</v>
      </c>
      <c r="B212" s="4">
        <v>45567</v>
      </c>
      <c r="C212" s="28">
        <v>45567</v>
      </c>
      <c r="D212" s="28" t="str">
        <f t="shared" si="50"/>
        <v>Q4-2024</v>
      </c>
      <c r="E212" s="4">
        <v>45588</v>
      </c>
      <c r="F212" s="4">
        <v>45588</v>
      </c>
      <c r="G212" s="17">
        <f t="shared" si="51"/>
        <v>21</v>
      </c>
      <c r="H212" s="17">
        <f t="shared" si="52"/>
        <v>21</v>
      </c>
      <c r="I212" t="str">
        <f t="shared" si="53"/>
        <v>No</v>
      </c>
      <c r="J212" s="2">
        <f t="shared" si="54"/>
        <v>44933</v>
      </c>
      <c r="K212" t="s">
        <v>646</v>
      </c>
      <c r="L212" t="s">
        <v>661</v>
      </c>
      <c r="M212" t="s">
        <v>687</v>
      </c>
      <c r="N212" t="str">
        <f t="shared" si="55"/>
        <v>Africa - South Africa - Durban</v>
      </c>
      <c r="O212" t="s">
        <v>701</v>
      </c>
      <c r="P212" t="s">
        <v>709</v>
      </c>
      <c r="Q212" t="s">
        <v>720</v>
      </c>
      <c r="R212" t="s">
        <v>727</v>
      </c>
      <c r="S212" t="s">
        <v>944</v>
      </c>
      <c r="T212" s="6">
        <v>1095.6099999999999</v>
      </c>
      <c r="U212" s="8">
        <v>2366.5100000000002</v>
      </c>
      <c r="V212" s="8">
        <f t="shared" si="56"/>
        <v>2366.5100000000002</v>
      </c>
      <c r="W212" s="8" t="str">
        <f t="shared" si="57"/>
        <v>High</v>
      </c>
      <c r="X212" s="15">
        <v>0.152</v>
      </c>
      <c r="Y212" s="15">
        <f t="shared" si="58"/>
        <v>0.152</v>
      </c>
      <c r="Z212" t="str">
        <f t="shared" si="59"/>
        <v>No</v>
      </c>
      <c r="AA212" s="17">
        <v>9</v>
      </c>
      <c r="AB212" s="8">
        <f t="shared" si="60"/>
        <v>18061.204320000004</v>
      </c>
      <c r="AC212" s="8">
        <f t="shared" si="61"/>
        <v>9860.49</v>
      </c>
      <c r="AD212" s="8">
        <f t="shared" si="62"/>
        <v>8200.7143200000046</v>
      </c>
      <c r="AE212" s="15">
        <f t="shared" si="63"/>
        <v>0.4540513564158607</v>
      </c>
      <c r="AF212" s="34">
        <f>MIN(Y212,'Scenario Modeling'!$B$2)</f>
        <v>0.152</v>
      </c>
      <c r="AG212">
        <f>ROUND(AA212 * (1 + 'Scenario Modeling'!$B$4), 0)</f>
        <v>9</v>
      </c>
      <c r="AH212">
        <f>T212 * (1 + 'Scenario Modeling'!$B$3)</f>
        <v>1095.6099999999999</v>
      </c>
      <c r="AI212" s="8">
        <f t="shared" si="64"/>
        <v>18061.204320000004</v>
      </c>
      <c r="AJ212" s="8">
        <f t="shared" si="65"/>
        <v>8200.7143200000046</v>
      </c>
    </row>
    <row r="213" spans="1:36">
      <c r="A213" t="s">
        <v>225</v>
      </c>
      <c r="B213" s="4">
        <v>45852</v>
      </c>
      <c r="C213" s="28">
        <v>45852</v>
      </c>
      <c r="D213" s="28" t="str">
        <f t="shared" si="50"/>
        <v>Q3-2025</v>
      </c>
      <c r="E213" s="4">
        <v>45873</v>
      </c>
      <c r="F213" s="4">
        <v>45873</v>
      </c>
      <c r="G213" s="17">
        <f t="shared" si="51"/>
        <v>21</v>
      </c>
      <c r="H213" s="17">
        <f t="shared" si="52"/>
        <v>21</v>
      </c>
      <c r="I213" t="str">
        <f t="shared" si="53"/>
        <v>No</v>
      </c>
      <c r="J213" s="2">
        <f t="shared" si="54"/>
        <v>44928</v>
      </c>
      <c r="K213" t="s">
        <v>648</v>
      </c>
      <c r="L213" t="s">
        <v>653</v>
      </c>
      <c r="M213" t="s">
        <v>681</v>
      </c>
      <c r="N213" t="str">
        <f t="shared" si="55"/>
        <v>Americas - Canada - Montreal</v>
      </c>
      <c r="O213" t="s">
        <v>704</v>
      </c>
      <c r="P213" t="s">
        <v>708</v>
      </c>
      <c r="Q213" t="s">
        <v>722</v>
      </c>
      <c r="R213" t="s">
        <v>732</v>
      </c>
      <c r="S213" t="s">
        <v>945</v>
      </c>
      <c r="T213" s="6">
        <v>90.3</v>
      </c>
      <c r="U213" s="8">
        <v>131.76</v>
      </c>
      <c r="V213" s="8">
        <f t="shared" si="56"/>
        <v>131.76</v>
      </c>
      <c r="W213" s="8" t="str">
        <f t="shared" si="57"/>
        <v>Low</v>
      </c>
      <c r="X213" s="15">
        <v>0.10199999999999999</v>
      </c>
      <c r="Y213" s="15">
        <f t="shared" si="58"/>
        <v>0.10199999999999999</v>
      </c>
      <c r="Z213" t="str">
        <f t="shared" si="59"/>
        <v>No</v>
      </c>
      <c r="AA213" s="17">
        <v>15</v>
      </c>
      <c r="AB213" s="8">
        <f t="shared" si="60"/>
        <v>1774.8072</v>
      </c>
      <c r="AC213" s="8">
        <f t="shared" si="61"/>
        <v>1354.5</v>
      </c>
      <c r="AD213" s="8">
        <f t="shared" si="62"/>
        <v>420.30719999999997</v>
      </c>
      <c r="AE213" s="15">
        <f t="shared" si="63"/>
        <v>0.23681851189244668</v>
      </c>
      <c r="AF213" s="34">
        <f>MIN(Y213,'Scenario Modeling'!$B$2)</f>
        <v>0.10199999999999999</v>
      </c>
      <c r="AG213">
        <f>ROUND(AA213 * (1 + 'Scenario Modeling'!$B$4), 0)</f>
        <v>15</v>
      </c>
      <c r="AH213">
        <f>T213 * (1 + 'Scenario Modeling'!$B$3)</f>
        <v>90.3</v>
      </c>
      <c r="AI213" s="8">
        <f t="shared" si="64"/>
        <v>1774.8072</v>
      </c>
      <c r="AJ213" s="8">
        <f t="shared" si="65"/>
        <v>420.30719999999997</v>
      </c>
    </row>
    <row r="214" spans="1:36">
      <c r="A214" t="s">
        <v>226</v>
      </c>
      <c r="B214" s="4">
        <v>45544</v>
      </c>
      <c r="C214" s="28">
        <v>45544</v>
      </c>
      <c r="D214" s="28" t="str">
        <f t="shared" si="50"/>
        <v>Q3-2024</v>
      </c>
      <c r="E214" s="4">
        <v>45566</v>
      </c>
      <c r="F214" s="4">
        <v>45566</v>
      </c>
      <c r="G214" s="17">
        <f t="shared" si="51"/>
        <v>22</v>
      </c>
      <c r="H214" s="17">
        <f t="shared" si="52"/>
        <v>22</v>
      </c>
      <c r="I214" t="str">
        <f t="shared" si="53"/>
        <v>No</v>
      </c>
      <c r="J214" s="2">
        <f t="shared" si="54"/>
        <v>44938</v>
      </c>
      <c r="K214" t="s">
        <v>647</v>
      </c>
      <c r="L214" t="s">
        <v>659</v>
      </c>
      <c r="M214" t="s">
        <v>676</v>
      </c>
      <c r="N214" t="str">
        <f t="shared" si="55"/>
        <v>Asia - China - Shenzhen</v>
      </c>
      <c r="O214" t="s">
        <v>704</v>
      </c>
      <c r="P214" t="s">
        <v>711</v>
      </c>
      <c r="Q214" t="s">
        <v>716</v>
      </c>
      <c r="R214" t="s">
        <v>728</v>
      </c>
      <c r="S214" t="s">
        <v>946</v>
      </c>
      <c r="T214" s="6">
        <v>1166.18</v>
      </c>
      <c r="U214" s="8">
        <v>1335.02</v>
      </c>
      <c r="V214" s="8">
        <f t="shared" si="56"/>
        <v>1335.02</v>
      </c>
      <c r="W214" s="8" t="str">
        <f t="shared" si="57"/>
        <v>Medium</v>
      </c>
      <c r="X214" s="15">
        <v>0.128</v>
      </c>
      <c r="Y214" s="15">
        <f t="shared" si="58"/>
        <v>0.128</v>
      </c>
      <c r="Z214" t="str">
        <f t="shared" si="59"/>
        <v>No</v>
      </c>
      <c r="AA214" s="17">
        <v>6</v>
      </c>
      <c r="AB214" s="8">
        <f t="shared" si="60"/>
        <v>6984.8246399999998</v>
      </c>
      <c r="AC214" s="8">
        <f t="shared" si="61"/>
        <v>6997.08</v>
      </c>
      <c r="AD214" s="8">
        <f t="shared" si="62"/>
        <v>-12.25536000000011</v>
      </c>
      <c r="AE214" s="15">
        <f t="shared" si="63"/>
        <v>-1.7545694604582242E-3</v>
      </c>
      <c r="AF214" s="34">
        <f>MIN(Y214,'Scenario Modeling'!$B$2)</f>
        <v>0.128</v>
      </c>
      <c r="AG214">
        <f>ROUND(AA214 * (1 + 'Scenario Modeling'!$B$4), 0)</f>
        <v>6</v>
      </c>
      <c r="AH214">
        <f>T214 * (1 + 'Scenario Modeling'!$B$3)</f>
        <v>1166.18</v>
      </c>
      <c r="AI214" s="8">
        <f t="shared" si="64"/>
        <v>6984.8246399999998</v>
      </c>
      <c r="AJ214" s="8">
        <f t="shared" si="65"/>
        <v>-12.25536000000011</v>
      </c>
    </row>
    <row r="215" spans="1:36">
      <c r="A215" t="s">
        <v>227</v>
      </c>
      <c r="B215" s="4">
        <v>45686</v>
      </c>
      <c r="C215" s="28">
        <v>45686</v>
      </c>
      <c r="D215" s="28" t="str">
        <f t="shared" si="50"/>
        <v>Q1-2025</v>
      </c>
      <c r="E215" s="4">
        <v>45694</v>
      </c>
      <c r="F215" s="4">
        <v>45694</v>
      </c>
      <c r="G215" s="17">
        <f t="shared" si="51"/>
        <v>8</v>
      </c>
      <c r="H215" s="17">
        <f t="shared" si="52"/>
        <v>8</v>
      </c>
      <c r="I215" t="str">
        <f t="shared" si="53"/>
        <v>No</v>
      </c>
      <c r="J215" s="2">
        <f t="shared" si="54"/>
        <v>44946</v>
      </c>
      <c r="K215" t="s">
        <v>646</v>
      </c>
      <c r="L215" t="s">
        <v>650</v>
      </c>
      <c r="M215" t="s">
        <v>662</v>
      </c>
      <c r="N215" t="str">
        <f t="shared" si="55"/>
        <v>Africa - Kenya - Kisumu</v>
      </c>
      <c r="O215" t="s">
        <v>702</v>
      </c>
      <c r="P215" t="s">
        <v>707</v>
      </c>
      <c r="Q215" t="s">
        <v>717</v>
      </c>
      <c r="R215" t="s">
        <v>730</v>
      </c>
      <c r="S215" t="s">
        <v>947</v>
      </c>
      <c r="T215" s="6">
        <v>1445.27</v>
      </c>
      <c r="U215" s="8">
        <v>2691.45</v>
      </c>
      <c r="V215" s="8">
        <f t="shared" si="56"/>
        <v>2691.45</v>
      </c>
      <c r="W215" s="8" t="str">
        <f t="shared" si="57"/>
        <v>High</v>
      </c>
      <c r="X215" s="15">
        <v>0</v>
      </c>
      <c r="Y215" s="15">
        <f t="shared" si="58"/>
        <v>0</v>
      </c>
      <c r="Z215" t="str">
        <f t="shared" si="59"/>
        <v>No</v>
      </c>
      <c r="AA215" s="17">
        <v>9</v>
      </c>
      <c r="AB215" s="8">
        <f t="shared" si="60"/>
        <v>24223.05</v>
      </c>
      <c r="AC215" s="8">
        <f t="shared" si="61"/>
        <v>13007.43</v>
      </c>
      <c r="AD215" s="8">
        <f t="shared" si="62"/>
        <v>11215.619999999999</v>
      </c>
      <c r="AE215" s="15">
        <f t="shared" si="63"/>
        <v>0.46301436028906351</v>
      </c>
      <c r="AF215" s="34">
        <f>MIN(Y215,'Scenario Modeling'!$B$2)</f>
        <v>0</v>
      </c>
      <c r="AG215">
        <f>ROUND(AA215 * (1 + 'Scenario Modeling'!$B$4), 0)</f>
        <v>9</v>
      </c>
      <c r="AH215">
        <f>T215 * (1 + 'Scenario Modeling'!$B$3)</f>
        <v>1445.27</v>
      </c>
      <c r="AI215" s="8">
        <f t="shared" si="64"/>
        <v>24223.05</v>
      </c>
      <c r="AJ215" s="8">
        <f t="shared" si="65"/>
        <v>11215.619999999999</v>
      </c>
    </row>
    <row r="216" spans="1:36">
      <c r="A216" t="s">
        <v>228</v>
      </c>
      <c r="B216" s="4">
        <v>45240</v>
      </c>
      <c r="C216" s="28">
        <v>45240</v>
      </c>
      <c r="D216" s="28" t="str">
        <f t="shared" si="50"/>
        <v>Q4-2023</v>
      </c>
      <c r="E216" s="4">
        <v>45258</v>
      </c>
      <c r="F216" s="4">
        <v>45258</v>
      </c>
      <c r="G216" s="17">
        <f t="shared" si="51"/>
        <v>18</v>
      </c>
      <c r="H216" s="17">
        <f t="shared" si="52"/>
        <v>18</v>
      </c>
      <c r="I216" t="str">
        <f t="shared" si="53"/>
        <v>No</v>
      </c>
      <c r="J216" s="2">
        <f t="shared" si="54"/>
        <v>44955</v>
      </c>
      <c r="K216" t="s">
        <v>648</v>
      </c>
      <c r="L216" t="s">
        <v>655</v>
      </c>
      <c r="M216" t="s">
        <v>672</v>
      </c>
      <c r="N216" t="str">
        <f t="shared" si="55"/>
        <v>Americas - Brazil - Brasília</v>
      </c>
      <c r="O216" t="s">
        <v>702</v>
      </c>
      <c r="P216" t="s">
        <v>709</v>
      </c>
      <c r="Q216" t="s">
        <v>716</v>
      </c>
      <c r="R216" t="s">
        <v>733</v>
      </c>
      <c r="S216" t="s">
        <v>948</v>
      </c>
      <c r="T216" s="6">
        <v>388.51</v>
      </c>
      <c r="U216" s="8">
        <v>776.46</v>
      </c>
      <c r="V216" s="8">
        <f t="shared" si="56"/>
        <v>776.46</v>
      </c>
      <c r="W216" s="8" t="str">
        <f t="shared" si="57"/>
        <v>Low</v>
      </c>
      <c r="X216" s="15">
        <v>0.157</v>
      </c>
      <c r="Y216" s="15">
        <f t="shared" si="58"/>
        <v>0.157</v>
      </c>
      <c r="Z216" t="str">
        <f t="shared" si="59"/>
        <v>No</v>
      </c>
      <c r="AA216" s="17">
        <v>12</v>
      </c>
      <c r="AB216" s="8">
        <f t="shared" si="60"/>
        <v>7854.6693599999999</v>
      </c>
      <c r="AC216" s="8">
        <f t="shared" si="61"/>
        <v>4662.12</v>
      </c>
      <c r="AD216" s="8">
        <f t="shared" si="62"/>
        <v>3192.54936</v>
      </c>
      <c r="AE216" s="15">
        <f t="shared" si="63"/>
        <v>0.40645241876864946</v>
      </c>
      <c r="AF216" s="34">
        <f>MIN(Y216,'Scenario Modeling'!$B$2)</f>
        <v>0.157</v>
      </c>
      <c r="AG216">
        <f>ROUND(AA216 * (1 + 'Scenario Modeling'!$B$4), 0)</f>
        <v>12</v>
      </c>
      <c r="AH216">
        <f>T216 * (1 + 'Scenario Modeling'!$B$3)</f>
        <v>388.51</v>
      </c>
      <c r="AI216" s="8">
        <f t="shared" si="64"/>
        <v>7854.6693599999999</v>
      </c>
      <c r="AJ216" s="8">
        <f t="shared" si="65"/>
        <v>3192.54936</v>
      </c>
    </row>
    <row r="217" spans="1:36">
      <c r="A217" t="s">
        <v>229</v>
      </c>
      <c r="B217" s="4">
        <v>45351</v>
      </c>
      <c r="C217" s="28">
        <v>45351</v>
      </c>
      <c r="D217" s="28" t="str">
        <f t="shared" si="50"/>
        <v>Q1-2024</v>
      </c>
      <c r="E217" s="4">
        <v>45381</v>
      </c>
      <c r="F217" s="4">
        <v>45381</v>
      </c>
      <c r="G217" s="17">
        <f t="shared" si="51"/>
        <v>30</v>
      </c>
      <c r="H217" s="17">
        <f t="shared" si="52"/>
        <v>30</v>
      </c>
      <c r="I217" t="str">
        <f t="shared" si="53"/>
        <v>No</v>
      </c>
      <c r="J217" s="2">
        <f t="shared" si="54"/>
        <v>44988</v>
      </c>
      <c r="K217" t="s">
        <v>647</v>
      </c>
      <c r="L217" t="s">
        <v>652</v>
      </c>
      <c r="M217" t="s">
        <v>694</v>
      </c>
      <c r="N217" t="str">
        <f t="shared" si="55"/>
        <v>Asia - Japan - Nagoya</v>
      </c>
      <c r="O217" t="s">
        <v>705</v>
      </c>
      <c r="P217" t="s">
        <v>711</v>
      </c>
      <c r="Q217" t="s">
        <v>714</v>
      </c>
      <c r="R217" t="s">
        <v>729</v>
      </c>
      <c r="S217" t="s">
        <v>949</v>
      </c>
      <c r="T217" s="6">
        <v>231.11</v>
      </c>
      <c r="U217" s="8">
        <v>318.17</v>
      </c>
      <c r="V217" s="8">
        <f t="shared" si="56"/>
        <v>318.17</v>
      </c>
      <c r="W217" s="8" t="str">
        <f t="shared" si="57"/>
        <v>Low</v>
      </c>
      <c r="X217" s="15">
        <v>0.20100000000000001</v>
      </c>
      <c r="Y217" s="15">
        <f t="shared" si="58"/>
        <v>0.20100000000000001</v>
      </c>
      <c r="Z217" t="str">
        <f t="shared" si="59"/>
        <v>Yes</v>
      </c>
      <c r="AA217" s="17">
        <v>60</v>
      </c>
      <c r="AB217" s="8">
        <f t="shared" si="60"/>
        <v>15253.069799999999</v>
      </c>
      <c r="AC217" s="8">
        <f t="shared" si="61"/>
        <v>13866.6</v>
      </c>
      <c r="AD217" s="8">
        <f t="shared" si="62"/>
        <v>1386.4697999999989</v>
      </c>
      <c r="AE217" s="15">
        <f t="shared" si="63"/>
        <v>9.0897754889969692E-2</v>
      </c>
      <c r="AF217" s="34">
        <f>MIN(Y217,'Scenario Modeling'!$B$2)</f>
        <v>0.20100000000000001</v>
      </c>
      <c r="AG217">
        <f>ROUND(AA217 * (1 + 'Scenario Modeling'!$B$4), 0)</f>
        <v>60</v>
      </c>
      <c r="AH217">
        <f>T217 * (1 + 'Scenario Modeling'!$B$3)</f>
        <v>231.11</v>
      </c>
      <c r="AI217" s="8">
        <f t="shared" si="64"/>
        <v>15253.069799999999</v>
      </c>
      <c r="AJ217" s="8">
        <f t="shared" si="65"/>
        <v>1386.4697999999989</v>
      </c>
    </row>
    <row r="218" spans="1:36">
      <c r="A218" t="s">
        <v>230</v>
      </c>
      <c r="B218" s="4">
        <v>45280</v>
      </c>
      <c r="C218" s="28">
        <v>45280</v>
      </c>
      <c r="D218" s="28" t="str">
        <f t="shared" si="50"/>
        <v>Q4-2023</v>
      </c>
      <c r="E218" s="4">
        <v>45305</v>
      </c>
      <c r="F218" s="4">
        <v>45305</v>
      </c>
      <c r="G218" s="17">
        <f t="shared" si="51"/>
        <v>25</v>
      </c>
      <c r="H218" s="17">
        <f t="shared" si="52"/>
        <v>25</v>
      </c>
      <c r="I218" t="str">
        <f t="shared" si="53"/>
        <v>No</v>
      </c>
      <c r="J218" s="2">
        <f t="shared" si="54"/>
        <v>44955</v>
      </c>
      <c r="K218" t="s">
        <v>647</v>
      </c>
      <c r="L218" t="s">
        <v>654</v>
      </c>
      <c r="M218" t="s">
        <v>691</v>
      </c>
      <c r="N218" t="str">
        <f t="shared" si="55"/>
        <v>Asia - India - Mumbai</v>
      </c>
      <c r="O218" t="s">
        <v>703</v>
      </c>
      <c r="P218" t="s">
        <v>709</v>
      </c>
      <c r="Q218" t="s">
        <v>716</v>
      </c>
      <c r="R218" t="s">
        <v>732</v>
      </c>
      <c r="S218" t="s">
        <v>950</v>
      </c>
      <c r="T218" s="6">
        <v>1085.6099999999999</v>
      </c>
      <c r="U218" s="8">
        <v>1246.4100000000001</v>
      </c>
      <c r="V218" s="8">
        <f t="shared" si="56"/>
        <v>1246.4100000000001</v>
      </c>
      <c r="W218" s="8" t="str">
        <f t="shared" si="57"/>
        <v>Medium</v>
      </c>
      <c r="X218" s="15">
        <v>0.113</v>
      </c>
      <c r="Y218" s="15">
        <f t="shared" si="58"/>
        <v>0.113</v>
      </c>
      <c r="Z218" t="str">
        <f t="shared" si="59"/>
        <v>No</v>
      </c>
      <c r="AA218" s="17">
        <v>7</v>
      </c>
      <c r="AB218" s="8">
        <f t="shared" si="60"/>
        <v>7738.9596900000006</v>
      </c>
      <c r="AC218" s="8">
        <f t="shared" si="61"/>
        <v>7599.2699999999995</v>
      </c>
      <c r="AD218" s="8">
        <f t="shared" si="62"/>
        <v>139.68969000000106</v>
      </c>
      <c r="AE218" s="15">
        <f t="shared" si="63"/>
        <v>1.8050189637310417E-2</v>
      </c>
      <c r="AF218" s="34">
        <f>MIN(Y218,'Scenario Modeling'!$B$2)</f>
        <v>0.113</v>
      </c>
      <c r="AG218">
        <f>ROUND(AA218 * (1 + 'Scenario Modeling'!$B$4), 0)</f>
        <v>7</v>
      </c>
      <c r="AH218">
        <f>T218 * (1 + 'Scenario Modeling'!$B$3)</f>
        <v>1085.6099999999999</v>
      </c>
      <c r="AI218" s="8">
        <f t="shared" si="64"/>
        <v>7738.9596900000006</v>
      </c>
      <c r="AJ218" s="8">
        <f t="shared" si="65"/>
        <v>139.68969000000106</v>
      </c>
    </row>
    <row r="219" spans="1:36">
      <c r="A219" t="s">
        <v>231</v>
      </c>
      <c r="B219" s="4">
        <v>44948</v>
      </c>
      <c r="C219" s="28">
        <v>44948</v>
      </c>
      <c r="D219" s="28" t="str">
        <f t="shared" si="50"/>
        <v>Q1-2023</v>
      </c>
      <c r="E219" s="4">
        <v>44947</v>
      </c>
      <c r="F219" s="4">
        <f>E219+4</f>
        <v>44951</v>
      </c>
      <c r="G219" s="17">
        <f t="shared" si="51"/>
        <v>-1</v>
      </c>
      <c r="H219" s="17">
        <f t="shared" si="52"/>
        <v>3</v>
      </c>
      <c r="I219" t="str">
        <f t="shared" si="53"/>
        <v>Yes</v>
      </c>
      <c r="J219" s="2">
        <f t="shared" si="54"/>
        <v>44948</v>
      </c>
      <c r="K219" t="s">
        <v>649</v>
      </c>
      <c r="L219" t="s">
        <v>656</v>
      </c>
      <c r="M219" t="s">
        <v>684</v>
      </c>
      <c r="N219" t="str">
        <f t="shared" si="55"/>
        <v>Europe - Germany - Munich</v>
      </c>
      <c r="O219" t="s">
        <v>701</v>
      </c>
      <c r="P219" t="s">
        <v>711</v>
      </c>
      <c r="Q219" t="s">
        <v>721</v>
      </c>
      <c r="R219" t="s">
        <v>732</v>
      </c>
      <c r="S219" t="s">
        <v>951</v>
      </c>
      <c r="T219" s="6">
        <v>150.86000000000001</v>
      </c>
      <c r="U219" s="8">
        <v>346.96</v>
      </c>
      <c r="V219" s="8">
        <f t="shared" si="56"/>
        <v>346.96</v>
      </c>
      <c r="W219" s="8" t="str">
        <f t="shared" si="57"/>
        <v>Low</v>
      </c>
      <c r="X219" s="15">
        <v>0.19600000000000001</v>
      </c>
      <c r="Y219" s="15">
        <f t="shared" si="58"/>
        <v>0.19600000000000001</v>
      </c>
      <c r="Z219" t="str">
        <f t="shared" si="59"/>
        <v>No</v>
      </c>
      <c r="AA219" s="17">
        <v>8</v>
      </c>
      <c r="AB219" s="8">
        <f t="shared" si="60"/>
        <v>2231.6467200000002</v>
      </c>
      <c r="AC219" s="8">
        <f t="shared" si="61"/>
        <v>1206.8800000000001</v>
      </c>
      <c r="AD219" s="8">
        <f t="shared" si="62"/>
        <v>1024.7667200000001</v>
      </c>
      <c r="AE219" s="15">
        <f t="shared" si="63"/>
        <v>0.45919755614365343</v>
      </c>
      <c r="AF219" s="34">
        <f>MIN(Y219,'Scenario Modeling'!$B$2)</f>
        <v>0.19600000000000001</v>
      </c>
      <c r="AG219">
        <f>ROUND(AA219 * (1 + 'Scenario Modeling'!$B$4), 0)</f>
        <v>8</v>
      </c>
      <c r="AH219">
        <f>T219 * (1 + 'Scenario Modeling'!$B$3)</f>
        <v>150.86000000000001</v>
      </c>
      <c r="AI219" s="8">
        <f t="shared" si="64"/>
        <v>2231.6467200000002</v>
      </c>
      <c r="AJ219" s="8">
        <f t="shared" si="65"/>
        <v>1024.7667200000001</v>
      </c>
    </row>
    <row r="220" spans="1:36">
      <c r="A220" t="s">
        <v>232</v>
      </c>
      <c r="B220" s="4">
        <v>45576</v>
      </c>
      <c r="C220" s="28">
        <v>45576</v>
      </c>
      <c r="D220" s="28" t="str">
        <f t="shared" si="50"/>
        <v>Q4-2024</v>
      </c>
      <c r="E220" s="4">
        <v>45605</v>
      </c>
      <c r="F220" s="4">
        <v>45605</v>
      </c>
      <c r="G220" s="17">
        <f t="shared" si="51"/>
        <v>29</v>
      </c>
      <c r="H220" s="17">
        <f t="shared" si="52"/>
        <v>29</v>
      </c>
      <c r="I220" t="str">
        <f t="shared" si="53"/>
        <v>No</v>
      </c>
      <c r="J220" s="2">
        <f t="shared" si="54"/>
        <v>44938</v>
      </c>
      <c r="K220" t="s">
        <v>647</v>
      </c>
      <c r="L220" t="s">
        <v>659</v>
      </c>
      <c r="M220" t="s">
        <v>685</v>
      </c>
      <c r="N220" t="str">
        <f t="shared" si="55"/>
        <v>Asia - China - Shanghai</v>
      </c>
      <c r="O220" t="s">
        <v>703</v>
      </c>
      <c r="P220" t="s">
        <v>708</v>
      </c>
      <c r="Q220" t="s">
        <v>721</v>
      </c>
      <c r="R220" t="s">
        <v>728</v>
      </c>
      <c r="S220" t="s">
        <v>952</v>
      </c>
      <c r="T220" s="6">
        <v>391.64</v>
      </c>
      <c r="U220" s="8">
        <v>504.76</v>
      </c>
      <c r="V220" s="8">
        <f t="shared" si="56"/>
        <v>504.76</v>
      </c>
      <c r="W220" s="8" t="str">
        <f t="shared" si="57"/>
        <v>Low</v>
      </c>
      <c r="X220" s="15">
        <v>4.0000000000000001E-3</v>
      </c>
      <c r="Y220" s="15">
        <f t="shared" si="58"/>
        <v>4.0000000000000001E-3</v>
      </c>
      <c r="Z220" t="str">
        <f t="shared" si="59"/>
        <v>No</v>
      </c>
      <c r="AA220" s="17">
        <v>13</v>
      </c>
      <c r="AB220" s="8">
        <f t="shared" si="60"/>
        <v>6535.6324800000002</v>
      </c>
      <c r="AC220" s="8">
        <f t="shared" si="61"/>
        <v>5091.32</v>
      </c>
      <c r="AD220" s="8">
        <f t="shared" si="62"/>
        <v>1444.3124800000005</v>
      </c>
      <c r="AE220" s="15">
        <f t="shared" si="63"/>
        <v>0.22099046793402319</v>
      </c>
      <c r="AF220" s="34">
        <f>MIN(Y220,'Scenario Modeling'!$B$2)</f>
        <v>4.0000000000000001E-3</v>
      </c>
      <c r="AG220">
        <f>ROUND(AA220 * (1 + 'Scenario Modeling'!$B$4), 0)</f>
        <v>13</v>
      </c>
      <c r="AH220">
        <f>T220 * (1 + 'Scenario Modeling'!$B$3)</f>
        <v>391.64</v>
      </c>
      <c r="AI220" s="8">
        <f t="shared" si="64"/>
        <v>6535.6324800000002</v>
      </c>
      <c r="AJ220" s="8">
        <f t="shared" si="65"/>
        <v>1444.3124800000005</v>
      </c>
    </row>
    <row r="221" spans="1:36">
      <c r="A221" t="s">
        <v>233</v>
      </c>
      <c r="B221" s="4">
        <v>45554</v>
      </c>
      <c r="C221" s="28">
        <v>45554</v>
      </c>
      <c r="D221" s="28" t="str">
        <f t="shared" si="50"/>
        <v>Q3-2024</v>
      </c>
      <c r="E221" s="4">
        <v>45579</v>
      </c>
      <c r="F221" s="4">
        <v>45579</v>
      </c>
      <c r="G221" s="17">
        <f t="shared" si="51"/>
        <v>25</v>
      </c>
      <c r="H221" s="17">
        <f t="shared" si="52"/>
        <v>25</v>
      </c>
      <c r="I221" t="str">
        <f t="shared" si="53"/>
        <v>No</v>
      </c>
      <c r="J221" s="2">
        <f t="shared" si="54"/>
        <v>44955</v>
      </c>
      <c r="K221" t="s">
        <v>648</v>
      </c>
      <c r="L221" t="s">
        <v>655</v>
      </c>
      <c r="M221" t="s">
        <v>692</v>
      </c>
      <c r="N221" t="str">
        <f t="shared" si="55"/>
        <v>Americas - Brazil - Rio de Janeiro</v>
      </c>
      <c r="O221" t="s">
        <v>705</v>
      </c>
      <c r="P221" t="s">
        <v>707</v>
      </c>
      <c r="Q221" t="s">
        <v>723</v>
      </c>
      <c r="R221" t="s">
        <v>728</v>
      </c>
      <c r="S221" t="s">
        <v>953</v>
      </c>
      <c r="T221" s="6">
        <v>386.96</v>
      </c>
      <c r="U221" s="8">
        <v>937.46</v>
      </c>
      <c r="V221" s="8">
        <f t="shared" si="56"/>
        <v>937.46</v>
      </c>
      <c r="W221" s="8" t="str">
        <f t="shared" si="57"/>
        <v>Medium</v>
      </c>
      <c r="X221" s="15">
        <v>0.26600000000000001</v>
      </c>
      <c r="Y221" s="15">
        <f t="shared" si="58"/>
        <v>0.26600000000000001</v>
      </c>
      <c r="Z221" t="str">
        <f t="shared" si="59"/>
        <v>Yes</v>
      </c>
      <c r="AA221" s="17">
        <v>41</v>
      </c>
      <c r="AB221" s="8">
        <f t="shared" si="60"/>
        <v>28211.92124</v>
      </c>
      <c r="AC221" s="8">
        <f t="shared" si="61"/>
        <v>15865.359999999999</v>
      </c>
      <c r="AD221" s="8">
        <f t="shared" si="62"/>
        <v>12346.561240000001</v>
      </c>
      <c r="AE221" s="15">
        <f t="shared" si="63"/>
        <v>0.43763631462626335</v>
      </c>
      <c r="AF221" s="34">
        <f>MIN(Y221,'Scenario Modeling'!$B$2)</f>
        <v>0.25</v>
      </c>
      <c r="AG221">
        <f>ROUND(AA221 * (1 + 'Scenario Modeling'!$B$4), 0)</f>
        <v>41</v>
      </c>
      <c r="AH221">
        <f>T221 * (1 + 'Scenario Modeling'!$B$3)</f>
        <v>386.96</v>
      </c>
      <c r="AI221" s="8">
        <f t="shared" si="64"/>
        <v>28826.895</v>
      </c>
      <c r="AJ221" s="8">
        <f t="shared" si="65"/>
        <v>12961.535000000002</v>
      </c>
    </row>
    <row r="222" spans="1:36">
      <c r="A222" t="s">
        <v>234</v>
      </c>
      <c r="B222" s="4">
        <v>45894</v>
      </c>
      <c r="C222" s="28">
        <v>45894</v>
      </c>
      <c r="D222" s="28" t="str">
        <f t="shared" si="50"/>
        <v>Q3-2025</v>
      </c>
      <c r="E222" s="4">
        <v>45924</v>
      </c>
      <c r="F222" s="4">
        <v>45924</v>
      </c>
      <c r="G222" s="17">
        <f t="shared" si="51"/>
        <v>30</v>
      </c>
      <c r="H222" s="17">
        <f t="shared" si="52"/>
        <v>30</v>
      </c>
      <c r="I222" t="str">
        <f t="shared" si="53"/>
        <v>No</v>
      </c>
      <c r="J222" s="2">
        <f t="shared" si="54"/>
        <v>44946</v>
      </c>
      <c r="K222" t="s">
        <v>646</v>
      </c>
      <c r="L222" t="s">
        <v>650</v>
      </c>
      <c r="M222" t="s">
        <v>664</v>
      </c>
      <c r="N222" t="str">
        <f t="shared" si="55"/>
        <v>Africa - Kenya - Nairobi</v>
      </c>
      <c r="O222" t="s">
        <v>704</v>
      </c>
      <c r="P222" t="s">
        <v>711</v>
      </c>
      <c r="Q222" t="s">
        <v>717</v>
      </c>
      <c r="R222" t="s">
        <v>727</v>
      </c>
      <c r="S222" t="s">
        <v>954</v>
      </c>
      <c r="T222" s="6">
        <v>589.14</v>
      </c>
      <c r="U222" s="8">
        <v>1300.58</v>
      </c>
      <c r="V222" s="8">
        <f t="shared" si="56"/>
        <v>1300.58</v>
      </c>
      <c r="W222" s="8" t="str">
        <f t="shared" si="57"/>
        <v>Medium</v>
      </c>
      <c r="X222" s="15">
        <v>5.5E-2</v>
      </c>
      <c r="Y222" s="15">
        <f t="shared" si="58"/>
        <v>5.5E-2</v>
      </c>
      <c r="Z222" t="str">
        <f t="shared" si="59"/>
        <v>No</v>
      </c>
      <c r="AA222" s="17">
        <v>11</v>
      </c>
      <c r="AB222" s="8">
        <f t="shared" si="60"/>
        <v>13519.529099999998</v>
      </c>
      <c r="AC222" s="8">
        <f t="shared" si="61"/>
        <v>6480.54</v>
      </c>
      <c r="AD222" s="8">
        <f t="shared" si="62"/>
        <v>7038.989099999998</v>
      </c>
      <c r="AE222" s="15">
        <f t="shared" si="63"/>
        <v>0.52065342275863724</v>
      </c>
      <c r="AF222" s="34">
        <f>MIN(Y222,'Scenario Modeling'!$B$2)</f>
        <v>5.5E-2</v>
      </c>
      <c r="AG222">
        <f>ROUND(AA222 * (1 + 'Scenario Modeling'!$B$4), 0)</f>
        <v>11</v>
      </c>
      <c r="AH222">
        <f>T222 * (1 + 'Scenario Modeling'!$B$3)</f>
        <v>589.14</v>
      </c>
      <c r="AI222" s="8">
        <f t="shared" si="64"/>
        <v>13519.529099999998</v>
      </c>
      <c r="AJ222" s="8">
        <f t="shared" si="65"/>
        <v>7038.989099999998</v>
      </c>
    </row>
    <row r="223" spans="1:36">
      <c r="A223" t="s">
        <v>235</v>
      </c>
      <c r="B223" s="4">
        <v>45194</v>
      </c>
      <c r="C223" s="28">
        <v>45194</v>
      </c>
      <c r="D223" s="28" t="str">
        <f t="shared" si="50"/>
        <v>Q3-2023</v>
      </c>
      <c r="E223" s="4">
        <v>45201</v>
      </c>
      <c r="F223" s="4">
        <v>45201</v>
      </c>
      <c r="G223" s="17">
        <f t="shared" si="51"/>
        <v>7</v>
      </c>
      <c r="H223" s="17">
        <f t="shared" si="52"/>
        <v>7</v>
      </c>
      <c r="I223" t="str">
        <f t="shared" si="53"/>
        <v>Yes</v>
      </c>
      <c r="J223" s="2">
        <f t="shared" si="54"/>
        <v>44939</v>
      </c>
      <c r="K223" t="s">
        <v>648</v>
      </c>
      <c r="L223" t="s">
        <v>660</v>
      </c>
      <c r="M223" t="s">
        <v>700</v>
      </c>
      <c r="N223" t="str">
        <f t="shared" si="55"/>
        <v>Americas - USA - New York</v>
      </c>
      <c r="O223" t="s">
        <v>702</v>
      </c>
      <c r="P223" t="s">
        <v>709</v>
      </c>
      <c r="Q223" t="s">
        <v>714</v>
      </c>
      <c r="R223" t="s">
        <v>733</v>
      </c>
      <c r="S223" t="s">
        <v>955</v>
      </c>
      <c r="T223" s="6">
        <v>145.58000000000001</v>
      </c>
      <c r="U223" s="8">
        <v>228.15</v>
      </c>
      <c r="V223" s="8">
        <f t="shared" si="56"/>
        <v>228.15</v>
      </c>
      <c r="W223" s="8" t="str">
        <f t="shared" si="57"/>
        <v>Low</v>
      </c>
      <c r="X223" s="15">
        <v>0.20399999999999999</v>
      </c>
      <c r="Y223" s="15">
        <f t="shared" si="58"/>
        <v>0.20399999999999999</v>
      </c>
      <c r="Z223" t="str">
        <f t="shared" si="59"/>
        <v>Yes</v>
      </c>
      <c r="AA223" s="17">
        <v>5</v>
      </c>
      <c r="AB223" s="8">
        <f t="shared" si="60"/>
        <v>908.03700000000003</v>
      </c>
      <c r="AC223" s="8">
        <f t="shared" si="61"/>
        <v>727.90000000000009</v>
      </c>
      <c r="AD223" s="8">
        <f t="shared" si="62"/>
        <v>180.13699999999994</v>
      </c>
      <c r="AE223" s="15">
        <f t="shared" si="63"/>
        <v>0.19838068272548359</v>
      </c>
      <c r="AF223" s="34">
        <f>MIN(Y223,'Scenario Modeling'!$B$2)</f>
        <v>0.20399999999999999</v>
      </c>
      <c r="AG223">
        <f>ROUND(AA223 * (1 + 'Scenario Modeling'!$B$4), 0)</f>
        <v>5</v>
      </c>
      <c r="AH223">
        <f>T223 * (1 + 'Scenario Modeling'!$B$3)</f>
        <v>145.58000000000001</v>
      </c>
      <c r="AI223" s="8">
        <f t="shared" si="64"/>
        <v>908.03700000000003</v>
      </c>
      <c r="AJ223" s="8">
        <f t="shared" si="65"/>
        <v>180.13699999999994</v>
      </c>
    </row>
    <row r="224" spans="1:36">
      <c r="A224" t="s">
        <v>236</v>
      </c>
      <c r="B224" s="4">
        <v>45164</v>
      </c>
      <c r="C224" s="28">
        <v>45164</v>
      </c>
      <c r="D224" s="28" t="str">
        <f t="shared" si="50"/>
        <v>Q3-2023</v>
      </c>
      <c r="E224" s="4">
        <v>45179</v>
      </c>
      <c r="F224" s="4">
        <v>45179</v>
      </c>
      <c r="G224" s="17">
        <f t="shared" si="51"/>
        <v>15</v>
      </c>
      <c r="H224" s="17">
        <f t="shared" si="52"/>
        <v>15</v>
      </c>
      <c r="I224" t="str">
        <f t="shared" si="53"/>
        <v>No</v>
      </c>
      <c r="J224" s="2">
        <f t="shared" si="54"/>
        <v>44933</v>
      </c>
      <c r="K224" t="s">
        <v>646</v>
      </c>
      <c r="L224" t="s">
        <v>661</v>
      </c>
      <c r="M224" t="s">
        <v>695</v>
      </c>
      <c r="N224" t="str">
        <f t="shared" si="55"/>
        <v>Africa - South Africa - Cape Town</v>
      </c>
      <c r="O224" t="s">
        <v>703</v>
      </c>
      <c r="P224" t="s">
        <v>711</v>
      </c>
      <c r="Q224" t="s">
        <v>725</v>
      </c>
      <c r="R224" t="s">
        <v>727</v>
      </c>
      <c r="S224" t="s">
        <v>956</v>
      </c>
      <c r="T224" s="6">
        <v>241.14</v>
      </c>
      <c r="U224" s="8">
        <v>496.52</v>
      </c>
      <c r="V224" s="8">
        <f t="shared" si="56"/>
        <v>496.52</v>
      </c>
      <c r="W224" s="8" t="str">
        <f t="shared" si="57"/>
        <v>Low</v>
      </c>
      <c r="X224" s="15">
        <v>9.2999999999999999E-2</v>
      </c>
      <c r="Y224" s="15">
        <f t="shared" si="58"/>
        <v>9.2999999999999999E-2</v>
      </c>
      <c r="Z224" t="str">
        <f t="shared" si="59"/>
        <v>No</v>
      </c>
      <c r="AA224" s="17">
        <v>10</v>
      </c>
      <c r="AB224" s="8">
        <f t="shared" si="60"/>
        <v>4503.4363999999996</v>
      </c>
      <c r="AC224" s="8">
        <f t="shared" si="61"/>
        <v>2411.3999999999996</v>
      </c>
      <c r="AD224" s="8">
        <f t="shared" si="62"/>
        <v>2092.0364</v>
      </c>
      <c r="AE224" s="15">
        <f t="shared" si="63"/>
        <v>0.46454223268257994</v>
      </c>
      <c r="AF224" s="34">
        <f>MIN(Y224,'Scenario Modeling'!$B$2)</f>
        <v>9.2999999999999999E-2</v>
      </c>
      <c r="AG224">
        <f>ROUND(AA224 * (1 + 'Scenario Modeling'!$B$4), 0)</f>
        <v>10</v>
      </c>
      <c r="AH224">
        <f>T224 * (1 + 'Scenario Modeling'!$B$3)</f>
        <v>241.14</v>
      </c>
      <c r="AI224" s="8">
        <f t="shared" si="64"/>
        <v>4503.4363999999996</v>
      </c>
      <c r="AJ224" s="8">
        <f t="shared" si="65"/>
        <v>2092.0364</v>
      </c>
    </row>
    <row r="225" spans="1:36">
      <c r="A225" t="s">
        <v>237</v>
      </c>
      <c r="B225" s="4">
        <v>45854</v>
      </c>
      <c r="C225" s="28">
        <v>45854</v>
      </c>
      <c r="D225" s="28" t="str">
        <f t="shared" si="50"/>
        <v>Q3-2025</v>
      </c>
      <c r="E225" s="4">
        <v>45855</v>
      </c>
      <c r="F225" s="4">
        <v>45855</v>
      </c>
      <c r="G225" s="17">
        <f t="shared" si="51"/>
        <v>1</v>
      </c>
      <c r="H225" s="17">
        <f t="shared" si="52"/>
        <v>1</v>
      </c>
      <c r="I225" t="str">
        <f t="shared" si="53"/>
        <v>Yes</v>
      </c>
      <c r="J225" s="2">
        <f t="shared" si="54"/>
        <v>44933</v>
      </c>
      <c r="K225" t="s">
        <v>646</v>
      </c>
      <c r="L225" t="s">
        <v>661</v>
      </c>
      <c r="M225" t="s">
        <v>687</v>
      </c>
      <c r="N225" t="str">
        <f t="shared" si="55"/>
        <v>Africa - South Africa - Durban</v>
      </c>
      <c r="O225" t="s">
        <v>705</v>
      </c>
      <c r="P225" t="s">
        <v>710</v>
      </c>
      <c r="Q225" t="s">
        <v>717</v>
      </c>
      <c r="R225" t="s">
        <v>729</v>
      </c>
      <c r="S225" t="s">
        <v>957</v>
      </c>
      <c r="T225" s="6">
        <v>1198.9000000000001</v>
      </c>
      <c r="U225" s="8">
        <v>2941.2</v>
      </c>
      <c r="V225" s="8">
        <f t="shared" si="56"/>
        <v>2941.2</v>
      </c>
      <c r="W225" s="8" t="str">
        <f t="shared" si="57"/>
        <v>High</v>
      </c>
      <c r="X225" s="15">
        <v>5.0999999999999997E-2</v>
      </c>
      <c r="Y225" s="15">
        <f t="shared" si="58"/>
        <v>5.0999999999999997E-2</v>
      </c>
      <c r="Z225" t="str">
        <f t="shared" si="59"/>
        <v>No</v>
      </c>
      <c r="AA225" s="17">
        <v>24</v>
      </c>
      <c r="AB225" s="8">
        <f t="shared" si="60"/>
        <v>66988.771199999988</v>
      </c>
      <c r="AC225" s="8">
        <f t="shared" si="61"/>
        <v>28773.600000000002</v>
      </c>
      <c r="AD225" s="8">
        <f t="shared" si="62"/>
        <v>38215.171199999982</v>
      </c>
      <c r="AE225" s="15">
        <f t="shared" si="63"/>
        <v>0.57047129713583977</v>
      </c>
      <c r="AF225" s="34">
        <f>MIN(Y225,'Scenario Modeling'!$B$2)</f>
        <v>5.0999999999999997E-2</v>
      </c>
      <c r="AG225">
        <f>ROUND(AA225 * (1 + 'Scenario Modeling'!$B$4), 0)</f>
        <v>24</v>
      </c>
      <c r="AH225">
        <f>T225 * (1 + 'Scenario Modeling'!$B$3)</f>
        <v>1198.9000000000001</v>
      </c>
      <c r="AI225" s="8">
        <f t="shared" si="64"/>
        <v>66988.771199999988</v>
      </c>
      <c r="AJ225" s="8">
        <f t="shared" si="65"/>
        <v>38215.171199999982</v>
      </c>
    </row>
    <row r="226" spans="1:36">
      <c r="A226" t="s">
        <v>238</v>
      </c>
      <c r="B226" s="4">
        <v>45035</v>
      </c>
      <c r="C226" s="28">
        <v>45035</v>
      </c>
      <c r="D226" s="28" t="str">
        <f t="shared" si="50"/>
        <v>Q2-2023</v>
      </c>
      <c r="E226" s="4">
        <v>45053</v>
      </c>
      <c r="F226" s="4">
        <v>45053</v>
      </c>
      <c r="G226" s="17">
        <f t="shared" si="51"/>
        <v>18</v>
      </c>
      <c r="H226" s="17">
        <f t="shared" si="52"/>
        <v>18</v>
      </c>
      <c r="I226" t="str">
        <f t="shared" si="53"/>
        <v>No</v>
      </c>
      <c r="J226" s="2">
        <f t="shared" si="54"/>
        <v>44945</v>
      </c>
      <c r="K226" t="s">
        <v>649</v>
      </c>
      <c r="L226" t="s">
        <v>658</v>
      </c>
      <c r="M226" t="s">
        <v>674</v>
      </c>
      <c r="N226" t="str">
        <f t="shared" si="55"/>
        <v>Europe - United Kingdom - Birmingham</v>
      </c>
      <c r="O226" t="s">
        <v>706</v>
      </c>
      <c r="P226" t="s">
        <v>707</v>
      </c>
      <c r="Q226" t="s">
        <v>725</v>
      </c>
      <c r="R226" t="s">
        <v>731</v>
      </c>
      <c r="S226" t="s">
        <v>958</v>
      </c>
      <c r="T226" s="6">
        <v>1089.1500000000001</v>
      </c>
      <c r="U226" s="8">
        <v>1088.2</v>
      </c>
      <c r="V226" s="8">
        <f t="shared" si="56"/>
        <v>1088.2</v>
      </c>
      <c r="W226" s="8" t="str">
        <f t="shared" si="57"/>
        <v>Medium</v>
      </c>
      <c r="X226" s="15">
        <v>5.0999999999999997E-2</v>
      </c>
      <c r="Y226" s="15">
        <f t="shared" si="58"/>
        <v>5.0999999999999997E-2</v>
      </c>
      <c r="Z226" t="str">
        <f t="shared" si="59"/>
        <v>No</v>
      </c>
      <c r="AA226" s="17">
        <v>15</v>
      </c>
      <c r="AB226" s="8">
        <f t="shared" si="60"/>
        <v>15490.527</v>
      </c>
      <c r="AC226" s="8">
        <f t="shared" si="61"/>
        <v>16337.250000000002</v>
      </c>
      <c r="AD226" s="8">
        <f t="shared" si="62"/>
        <v>-846.72300000000178</v>
      </c>
      <c r="AE226" s="15">
        <f t="shared" si="63"/>
        <v>-5.4660696824582002E-2</v>
      </c>
      <c r="AF226" s="34">
        <f>MIN(Y226,'Scenario Modeling'!$B$2)</f>
        <v>5.0999999999999997E-2</v>
      </c>
      <c r="AG226">
        <f>ROUND(AA226 * (1 + 'Scenario Modeling'!$B$4), 0)</f>
        <v>15</v>
      </c>
      <c r="AH226">
        <f>T226 * (1 + 'Scenario Modeling'!$B$3)</f>
        <v>1089.1500000000001</v>
      </c>
      <c r="AI226" s="8">
        <f t="shared" si="64"/>
        <v>15490.527</v>
      </c>
      <c r="AJ226" s="8">
        <f t="shared" si="65"/>
        <v>-846.72300000000178</v>
      </c>
    </row>
    <row r="227" spans="1:36">
      <c r="A227" t="s">
        <v>239</v>
      </c>
      <c r="B227" s="4">
        <v>45279</v>
      </c>
      <c r="C227" s="28">
        <v>45279</v>
      </c>
      <c r="D227" s="28" t="str">
        <f t="shared" si="50"/>
        <v>Q4-2023</v>
      </c>
      <c r="E227" s="4">
        <v>45280</v>
      </c>
      <c r="F227" s="4">
        <v>45280</v>
      </c>
      <c r="G227" s="17">
        <f t="shared" si="51"/>
        <v>1</v>
      </c>
      <c r="H227" s="17">
        <f t="shared" si="52"/>
        <v>1</v>
      </c>
      <c r="I227" t="str">
        <f t="shared" si="53"/>
        <v>Yes</v>
      </c>
      <c r="J227" s="2">
        <f t="shared" si="54"/>
        <v>44955</v>
      </c>
      <c r="K227" t="s">
        <v>648</v>
      </c>
      <c r="L227" t="s">
        <v>655</v>
      </c>
      <c r="M227" t="s">
        <v>692</v>
      </c>
      <c r="N227" t="str">
        <f t="shared" si="55"/>
        <v>Americas - Brazil - Rio de Janeiro</v>
      </c>
      <c r="O227" t="s">
        <v>704</v>
      </c>
      <c r="P227" t="s">
        <v>710</v>
      </c>
      <c r="Q227" t="s">
        <v>713</v>
      </c>
      <c r="R227" t="s">
        <v>730</v>
      </c>
      <c r="S227" t="s">
        <v>959</v>
      </c>
      <c r="T227" s="6">
        <v>1080.43</v>
      </c>
      <c r="U227" s="8">
        <v>2529.15</v>
      </c>
      <c r="V227" s="8">
        <f t="shared" si="56"/>
        <v>2529.15</v>
      </c>
      <c r="W227" s="8" t="str">
        <f t="shared" si="57"/>
        <v>High</v>
      </c>
      <c r="X227" s="15">
        <v>0.14699999999999999</v>
      </c>
      <c r="Y227" s="15">
        <f t="shared" si="58"/>
        <v>0.14699999999999999</v>
      </c>
      <c r="Z227" t="str">
        <f t="shared" si="59"/>
        <v>No</v>
      </c>
      <c r="AA227" s="17">
        <v>10</v>
      </c>
      <c r="AB227" s="8">
        <f t="shared" si="60"/>
        <v>21573.6495</v>
      </c>
      <c r="AC227" s="8">
        <f t="shared" si="61"/>
        <v>10804.300000000001</v>
      </c>
      <c r="AD227" s="8">
        <f t="shared" si="62"/>
        <v>10769.349499999998</v>
      </c>
      <c r="AE227" s="15">
        <f t="shared" si="63"/>
        <v>0.49918997247081437</v>
      </c>
      <c r="AF227" s="34">
        <f>MIN(Y227,'Scenario Modeling'!$B$2)</f>
        <v>0.14699999999999999</v>
      </c>
      <c r="AG227">
        <f>ROUND(AA227 * (1 + 'Scenario Modeling'!$B$4), 0)</f>
        <v>10</v>
      </c>
      <c r="AH227">
        <f>T227 * (1 + 'Scenario Modeling'!$B$3)</f>
        <v>1080.43</v>
      </c>
      <c r="AI227" s="8">
        <f t="shared" si="64"/>
        <v>21573.6495</v>
      </c>
      <c r="AJ227" s="8">
        <f t="shared" si="65"/>
        <v>10769.349499999998</v>
      </c>
    </row>
    <row r="228" spans="1:36">
      <c r="A228" t="s">
        <v>240</v>
      </c>
      <c r="B228" s="4">
        <v>45137</v>
      </c>
      <c r="C228" s="28">
        <v>45137</v>
      </c>
      <c r="D228" s="28" t="str">
        <f t="shared" si="50"/>
        <v>Q3-2023</v>
      </c>
      <c r="E228" s="4">
        <v>45145</v>
      </c>
      <c r="F228" s="4">
        <v>45145</v>
      </c>
      <c r="G228" s="17">
        <f t="shared" si="51"/>
        <v>8</v>
      </c>
      <c r="H228" s="17">
        <f t="shared" si="52"/>
        <v>8</v>
      </c>
      <c r="I228" t="str">
        <f t="shared" si="53"/>
        <v>No</v>
      </c>
      <c r="J228" s="2">
        <f t="shared" si="54"/>
        <v>44988</v>
      </c>
      <c r="K228" t="s">
        <v>647</v>
      </c>
      <c r="L228" t="s">
        <v>652</v>
      </c>
      <c r="M228" t="s">
        <v>694</v>
      </c>
      <c r="N228" t="str">
        <f t="shared" si="55"/>
        <v>Asia - Japan - Nagoya</v>
      </c>
      <c r="O228" t="s">
        <v>702</v>
      </c>
      <c r="P228" t="s">
        <v>709</v>
      </c>
      <c r="Q228" t="s">
        <v>720</v>
      </c>
      <c r="R228" t="s">
        <v>729</v>
      </c>
      <c r="S228" t="s">
        <v>960</v>
      </c>
      <c r="T228" s="6">
        <v>1352.44</v>
      </c>
      <c r="U228" s="8">
        <v>2698.01</v>
      </c>
      <c r="V228" s="8">
        <f t="shared" si="56"/>
        <v>2698.01</v>
      </c>
      <c r="W228" s="8" t="str">
        <f t="shared" si="57"/>
        <v>High</v>
      </c>
      <c r="X228" s="15">
        <v>0.13100000000000001</v>
      </c>
      <c r="Y228" s="15">
        <f t="shared" si="58"/>
        <v>0.13100000000000001</v>
      </c>
      <c r="Z228" t="str">
        <f t="shared" si="59"/>
        <v>No</v>
      </c>
      <c r="AA228" s="17">
        <v>13</v>
      </c>
      <c r="AB228" s="8">
        <f t="shared" si="60"/>
        <v>30479.418970000002</v>
      </c>
      <c r="AC228" s="8">
        <f t="shared" si="61"/>
        <v>17581.72</v>
      </c>
      <c r="AD228" s="8">
        <f t="shared" si="62"/>
        <v>12897.698970000001</v>
      </c>
      <c r="AE228" s="15">
        <f t="shared" si="63"/>
        <v>0.42316091992090887</v>
      </c>
      <c r="AF228" s="34">
        <f>MIN(Y228,'Scenario Modeling'!$B$2)</f>
        <v>0.13100000000000001</v>
      </c>
      <c r="AG228">
        <f>ROUND(AA228 * (1 + 'Scenario Modeling'!$B$4), 0)</f>
        <v>13</v>
      </c>
      <c r="AH228">
        <f>T228 * (1 + 'Scenario Modeling'!$B$3)</f>
        <v>1352.44</v>
      </c>
      <c r="AI228" s="8">
        <f t="shared" si="64"/>
        <v>30479.418970000002</v>
      </c>
      <c r="AJ228" s="8">
        <f t="shared" si="65"/>
        <v>12897.698970000001</v>
      </c>
    </row>
    <row r="229" spans="1:36">
      <c r="A229" t="s">
        <v>241</v>
      </c>
      <c r="B229" s="4">
        <v>45203</v>
      </c>
      <c r="C229" s="28">
        <v>45203</v>
      </c>
      <c r="D229" s="28" t="str">
        <f t="shared" si="50"/>
        <v>Q4-2023</v>
      </c>
      <c r="E229" s="4">
        <v>45228</v>
      </c>
      <c r="F229" s="4">
        <v>45228</v>
      </c>
      <c r="G229" s="17">
        <f t="shared" si="51"/>
        <v>25</v>
      </c>
      <c r="H229" s="17">
        <f t="shared" si="52"/>
        <v>25</v>
      </c>
      <c r="I229" t="str">
        <f t="shared" si="53"/>
        <v>No</v>
      </c>
      <c r="J229" s="2">
        <f t="shared" si="54"/>
        <v>44939</v>
      </c>
      <c r="K229" t="s">
        <v>648</v>
      </c>
      <c r="L229" t="s">
        <v>660</v>
      </c>
      <c r="M229" t="s">
        <v>686</v>
      </c>
      <c r="N229" t="str">
        <f t="shared" si="55"/>
        <v>Americas - USA - San Francisco</v>
      </c>
      <c r="O229" t="s">
        <v>705</v>
      </c>
      <c r="P229" t="s">
        <v>710</v>
      </c>
      <c r="Q229" t="s">
        <v>719</v>
      </c>
      <c r="R229" t="s">
        <v>733</v>
      </c>
      <c r="S229" t="s">
        <v>961</v>
      </c>
      <c r="T229" s="6">
        <v>1239.8399999999999</v>
      </c>
      <c r="U229" s="8">
        <v>1482.75</v>
      </c>
      <c r="V229" s="8">
        <f t="shared" si="56"/>
        <v>1482.75</v>
      </c>
      <c r="W229" s="8" t="str">
        <f t="shared" si="57"/>
        <v>Medium</v>
      </c>
      <c r="X229" s="15">
        <v>6.7000000000000004E-2</v>
      </c>
      <c r="Y229" s="15">
        <f t="shared" si="58"/>
        <v>6.7000000000000004E-2</v>
      </c>
      <c r="Z229" t="str">
        <f t="shared" si="59"/>
        <v>No</v>
      </c>
      <c r="AA229" s="17">
        <v>4</v>
      </c>
      <c r="AB229" s="8">
        <f t="shared" si="60"/>
        <v>5533.6230000000005</v>
      </c>
      <c r="AC229" s="8">
        <f t="shared" si="61"/>
        <v>4959.3599999999997</v>
      </c>
      <c r="AD229" s="8">
        <f t="shared" si="62"/>
        <v>574.26300000000083</v>
      </c>
      <c r="AE229" s="15">
        <f t="shared" si="63"/>
        <v>0.10377703721413634</v>
      </c>
      <c r="AF229" s="34">
        <f>MIN(Y229,'Scenario Modeling'!$B$2)</f>
        <v>6.7000000000000004E-2</v>
      </c>
      <c r="AG229">
        <f>ROUND(AA229 * (1 + 'Scenario Modeling'!$B$4), 0)</f>
        <v>4</v>
      </c>
      <c r="AH229">
        <f>T229 * (1 + 'Scenario Modeling'!$B$3)</f>
        <v>1239.8399999999999</v>
      </c>
      <c r="AI229" s="8">
        <f t="shared" si="64"/>
        <v>5533.6230000000005</v>
      </c>
      <c r="AJ229" s="8">
        <f t="shared" si="65"/>
        <v>574.26300000000083</v>
      </c>
    </row>
    <row r="230" spans="1:36">
      <c r="A230" t="s">
        <v>242</v>
      </c>
      <c r="B230" s="4">
        <v>45879</v>
      </c>
      <c r="C230" s="28">
        <v>45879</v>
      </c>
      <c r="D230" s="28" t="str">
        <f t="shared" si="50"/>
        <v>Q3-2025</v>
      </c>
      <c r="E230" s="4">
        <v>45899</v>
      </c>
      <c r="F230" s="4">
        <v>45899</v>
      </c>
      <c r="G230" s="17">
        <f t="shared" si="51"/>
        <v>20</v>
      </c>
      <c r="H230" s="17">
        <f t="shared" si="52"/>
        <v>20</v>
      </c>
      <c r="I230" t="str">
        <f t="shared" si="53"/>
        <v>No</v>
      </c>
      <c r="J230" s="2">
        <f t="shared" si="54"/>
        <v>44939</v>
      </c>
      <c r="K230" t="s">
        <v>648</v>
      </c>
      <c r="L230" t="s">
        <v>660</v>
      </c>
      <c r="M230" t="s">
        <v>686</v>
      </c>
      <c r="N230" t="str">
        <f t="shared" si="55"/>
        <v>Americas - USA - San Francisco</v>
      </c>
      <c r="O230" t="s">
        <v>701</v>
      </c>
      <c r="P230" t="s">
        <v>709</v>
      </c>
      <c r="Q230" t="s">
        <v>723</v>
      </c>
      <c r="R230" t="s">
        <v>728</v>
      </c>
      <c r="S230" t="s">
        <v>962</v>
      </c>
      <c r="T230" s="6">
        <v>933.29</v>
      </c>
      <c r="U230" s="8">
        <v>1456.81</v>
      </c>
      <c r="V230" s="8">
        <f t="shared" si="56"/>
        <v>1456.81</v>
      </c>
      <c r="W230" s="8" t="str">
        <f t="shared" si="57"/>
        <v>Medium</v>
      </c>
      <c r="X230" s="15">
        <v>0.123</v>
      </c>
      <c r="Y230" s="15">
        <f t="shared" si="58"/>
        <v>0.123</v>
      </c>
      <c r="Z230" t="str">
        <f t="shared" si="59"/>
        <v>No</v>
      </c>
      <c r="AA230" s="17">
        <v>13</v>
      </c>
      <c r="AB230" s="8">
        <f t="shared" si="60"/>
        <v>16609.090809999998</v>
      </c>
      <c r="AC230" s="8">
        <f t="shared" si="61"/>
        <v>12132.77</v>
      </c>
      <c r="AD230" s="8">
        <f t="shared" si="62"/>
        <v>4476.3208099999974</v>
      </c>
      <c r="AE230" s="15">
        <f t="shared" si="63"/>
        <v>0.26951028573489977</v>
      </c>
      <c r="AF230" s="34">
        <f>MIN(Y230,'Scenario Modeling'!$B$2)</f>
        <v>0.123</v>
      </c>
      <c r="AG230">
        <f>ROUND(AA230 * (1 + 'Scenario Modeling'!$B$4), 0)</f>
        <v>13</v>
      </c>
      <c r="AH230">
        <f>T230 * (1 + 'Scenario Modeling'!$B$3)</f>
        <v>933.29</v>
      </c>
      <c r="AI230" s="8">
        <f t="shared" si="64"/>
        <v>16609.090809999998</v>
      </c>
      <c r="AJ230" s="8">
        <f t="shared" si="65"/>
        <v>4476.3208099999974</v>
      </c>
    </row>
    <row r="231" spans="1:36">
      <c r="A231" t="s">
        <v>243</v>
      </c>
      <c r="B231" s="4">
        <v>44992</v>
      </c>
      <c r="C231" s="28">
        <v>44992</v>
      </c>
      <c r="D231" s="28" t="str">
        <f t="shared" si="50"/>
        <v>Q1-2023</v>
      </c>
      <c r="E231" s="4">
        <v>45017</v>
      </c>
      <c r="F231" s="4">
        <v>45017</v>
      </c>
      <c r="G231" s="17">
        <f t="shared" si="51"/>
        <v>25</v>
      </c>
      <c r="H231" s="17">
        <f t="shared" si="52"/>
        <v>25</v>
      </c>
      <c r="I231" t="str">
        <f t="shared" si="53"/>
        <v>No</v>
      </c>
      <c r="J231" s="2">
        <f t="shared" si="54"/>
        <v>44946</v>
      </c>
      <c r="K231" t="s">
        <v>646</v>
      </c>
      <c r="L231" t="s">
        <v>650</v>
      </c>
      <c r="M231" t="s">
        <v>664</v>
      </c>
      <c r="N231" t="str">
        <f t="shared" si="55"/>
        <v>Africa - Kenya - Nairobi</v>
      </c>
      <c r="O231" t="s">
        <v>704</v>
      </c>
      <c r="P231" t="s">
        <v>709</v>
      </c>
      <c r="Q231" t="s">
        <v>726</v>
      </c>
      <c r="R231" t="s">
        <v>728</v>
      </c>
      <c r="S231" t="s">
        <v>963</v>
      </c>
      <c r="T231" s="6">
        <v>1024.0999999999999</v>
      </c>
      <c r="U231" s="8">
        <v>918.19</v>
      </c>
      <c r="V231" s="8">
        <f t="shared" si="56"/>
        <v>918.19</v>
      </c>
      <c r="W231" s="8" t="str">
        <f t="shared" si="57"/>
        <v>Medium</v>
      </c>
      <c r="X231" s="15">
        <v>0.189</v>
      </c>
      <c r="Y231" s="15">
        <f t="shared" si="58"/>
        <v>0.189</v>
      </c>
      <c r="Z231" t="str">
        <f t="shared" si="59"/>
        <v>No</v>
      </c>
      <c r="AA231" s="17">
        <v>10</v>
      </c>
      <c r="AB231" s="8">
        <f t="shared" si="60"/>
        <v>7446.5209000000004</v>
      </c>
      <c r="AC231" s="8">
        <f t="shared" si="61"/>
        <v>10241</v>
      </c>
      <c r="AD231" s="8">
        <f t="shared" si="62"/>
        <v>-2794.4790999999996</v>
      </c>
      <c r="AE231" s="15">
        <f t="shared" si="63"/>
        <v>-0.37527311579827827</v>
      </c>
      <c r="AF231" s="34">
        <f>MIN(Y231,'Scenario Modeling'!$B$2)</f>
        <v>0.189</v>
      </c>
      <c r="AG231">
        <f>ROUND(AA231 * (1 + 'Scenario Modeling'!$B$4), 0)</f>
        <v>10</v>
      </c>
      <c r="AH231">
        <f>T231 * (1 + 'Scenario Modeling'!$B$3)</f>
        <v>1024.0999999999999</v>
      </c>
      <c r="AI231" s="8">
        <f t="shared" si="64"/>
        <v>7446.5209000000004</v>
      </c>
      <c r="AJ231" s="8">
        <f t="shared" si="65"/>
        <v>-2794.4790999999996</v>
      </c>
    </row>
    <row r="232" spans="1:36">
      <c r="A232" t="s">
        <v>244</v>
      </c>
      <c r="B232" s="4">
        <v>45069</v>
      </c>
      <c r="C232" s="28">
        <v>45069</v>
      </c>
      <c r="D232" s="28" t="str">
        <f t="shared" si="50"/>
        <v>Q2-2023</v>
      </c>
      <c r="E232" s="4">
        <v>45087</v>
      </c>
      <c r="F232" s="4">
        <v>45087</v>
      </c>
      <c r="G232" s="17">
        <f t="shared" si="51"/>
        <v>18</v>
      </c>
      <c r="H232" s="17">
        <f t="shared" si="52"/>
        <v>18</v>
      </c>
      <c r="I232" t="str">
        <f t="shared" si="53"/>
        <v>No</v>
      </c>
      <c r="J232" s="2">
        <f t="shared" si="54"/>
        <v>44938</v>
      </c>
      <c r="K232" t="s">
        <v>647</v>
      </c>
      <c r="L232" t="s">
        <v>659</v>
      </c>
      <c r="M232" t="s">
        <v>685</v>
      </c>
      <c r="N232" t="str">
        <f t="shared" si="55"/>
        <v>Asia - China - Shanghai</v>
      </c>
      <c r="O232" t="s">
        <v>701</v>
      </c>
      <c r="P232" t="s">
        <v>710</v>
      </c>
      <c r="Q232" t="s">
        <v>718</v>
      </c>
      <c r="R232" t="s">
        <v>727</v>
      </c>
      <c r="S232" t="s">
        <v>964</v>
      </c>
      <c r="T232" s="6">
        <v>54.62</v>
      </c>
      <c r="U232" s="8">
        <v>48.94</v>
      </c>
      <c r="V232" s="8">
        <f t="shared" si="56"/>
        <v>48.94</v>
      </c>
      <c r="W232" s="8" t="str">
        <f t="shared" si="57"/>
        <v>Low</v>
      </c>
      <c r="X232" s="15">
        <v>0.14799999999999999</v>
      </c>
      <c r="Y232" s="15">
        <f t="shared" si="58"/>
        <v>0.14799999999999999</v>
      </c>
      <c r="Z232" t="str">
        <f t="shared" si="59"/>
        <v>No</v>
      </c>
      <c r="AA232" s="17">
        <v>16</v>
      </c>
      <c r="AB232" s="8">
        <f t="shared" si="60"/>
        <v>667.15008</v>
      </c>
      <c r="AC232" s="8">
        <f t="shared" si="61"/>
        <v>873.92</v>
      </c>
      <c r="AD232" s="8">
        <f t="shared" si="62"/>
        <v>-206.76991999999996</v>
      </c>
      <c r="AE232" s="15">
        <f t="shared" si="63"/>
        <v>-0.3099301434543783</v>
      </c>
      <c r="AF232" s="34">
        <f>MIN(Y232,'Scenario Modeling'!$B$2)</f>
        <v>0.14799999999999999</v>
      </c>
      <c r="AG232">
        <f>ROUND(AA232 * (1 + 'Scenario Modeling'!$B$4), 0)</f>
        <v>16</v>
      </c>
      <c r="AH232">
        <f>T232 * (1 + 'Scenario Modeling'!$B$3)</f>
        <v>54.62</v>
      </c>
      <c r="AI232" s="8">
        <f t="shared" si="64"/>
        <v>667.15008</v>
      </c>
      <c r="AJ232" s="8">
        <f t="shared" si="65"/>
        <v>-206.76991999999996</v>
      </c>
    </row>
    <row r="233" spans="1:36">
      <c r="A233" t="s">
        <v>245</v>
      </c>
      <c r="B233" s="4">
        <v>45771</v>
      </c>
      <c r="C233" s="28">
        <v>45771</v>
      </c>
      <c r="D233" s="28" t="str">
        <f t="shared" si="50"/>
        <v>Q2-2025</v>
      </c>
      <c r="E233" s="4">
        <v>45783</v>
      </c>
      <c r="F233" s="4">
        <v>45783</v>
      </c>
      <c r="G233" s="17">
        <f t="shared" si="51"/>
        <v>12</v>
      </c>
      <c r="H233" s="17">
        <f t="shared" si="52"/>
        <v>12</v>
      </c>
      <c r="I233" t="str">
        <f t="shared" si="53"/>
        <v>No</v>
      </c>
      <c r="J233" s="2">
        <f t="shared" si="54"/>
        <v>44955</v>
      </c>
      <c r="K233" t="s">
        <v>648</v>
      </c>
      <c r="L233" t="s">
        <v>655</v>
      </c>
      <c r="M233" t="s">
        <v>672</v>
      </c>
      <c r="N233" t="str">
        <f t="shared" si="55"/>
        <v>Americas - Brazil - Brasília</v>
      </c>
      <c r="O233" t="s">
        <v>704</v>
      </c>
      <c r="P233" t="s">
        <v>708</v>
      </c>
      <c r="Q233" t="s">
        <v>712</v>
      </c>
      <c r="R233" t="s">
        <v>730</v>
      </c>
      <c r="S233" t="s">
        <v>965</v>
      </c>
      <c r="T233" s="6">
        <v>394.13</v>
      </c>
      <c r="U233" s="8">
        <v>932.29</v>
      </c>
      <c r="V233" s="8">
        <f t="shared" si="56"/>
        <v>932.29</v>
      </c>
      <c r="W233" s="8" t="str">
        <f t="shared" si="57"/>
        <v>Medium</v>
      </c>
      <c r="X233" s="15">
        <v>0.109</v>
      </c>
      <c r="Y233" s="15">
        <f t="shared" si="58"/>
        <v>0.109</v>
      </c>
      <c r="Z233" t="str">
        <f t="shared" si="59"/>
        <v>No</v>
      </c>
      <c r="AA233" s="17">
        <v>7</v>
      </c>
      <c r="AB233" s="8">
        <f t="shared" si="60"/>
        <v>5814.6927299999998</v>
      </c>
      <c r="AC233" s="8">
        <f t="shared" si="61"/>
        <v>2758.91</v>
      </c>
      <c r="AD233" s="8">
        <f t="shared" si="62"/>
        <v>3055.7827299999999</v>
      </c>
      <c r="AE233" s="15">
        <f t="shared" si="63"/>
        <v>0.5255278089303268</v>
      </c>
      <c r="AF233" s="34">
        <f>MIN(Y233,'Scenario Modeling'!$B$2)</f>
        <v>0.109</v>
      </c>
      <c r="AG233">
        <f>ROUND(AA233 * (1 + 'Scenario Modeling'!$B$4), 0)</f>
        <v>7</v>
      </c>
      <c r="AH233">
        <f>T233 * (1 + 'Scenario Modeling'!$B$3)</f>
        <v>394.13</v>
      </c>
      <c r="AI233" s="8">
        <f t="shared" si="64"/>
        <v>5814.6927299999998</v>
      </c>
      <c r="AJ233" s="8">
        <f t="shared" si="65"/>
        <v>3055.7827299999999</v>
      </c>
    </row>
    <row r="234" spans="1:36">
      <c r="A234" t="s">
        <v>246</v>
      </c>
      <c r="B234" s="4">
        <v>45538</v>
      </c>
      <c r="C234" s="28">
        <v>45538</v>
      </c>
      <c r="D234" s="28" t="str">
        <f t="shared" si="50"/>
        <v>Q3-2024</v>
      </c>
      <c r="E234" s="4">
        <v>45543</v>
      </c>
      <c r="F234" s="4">
        <v>45543</v>
      </c>
      <c r="G234" s="17">
        <f t="shared" si="51"/>
        <v>5</v>
      </c>
      <c r="H234" s="17">
        <f t="shared" si="52"/>
        <v>5</v>
      </c>
      <c r="I234" t="str">
        <f t="shared" si="53"/>
        <v>Yes</v>
      </c>
      <c r="J234" s="2">
        <f t="shared" si="54"/>
        <v>44941</v>
      </c>
      <c r="K234" t="s">
        <v>646</v>
      </c>
      <c r="L234" t="s">
        <v>651</v>
      </c>
      <c r="M234" t="s">
        <v>665</v>
      </c>
      <c r="N234" t="str">
        <f t="shared" si="55"/>
        <v>Africa - Nigeria - Lagos</v>
      </c>
      <c r="O234" t="s">
        <v>705</v>
      </c>
      <c r="P234" t="s">
        <v>711</v>
      </c>
      <c r="Q234" t="s">
        <v>723</v>
      </c>
      <c r="R234" t="s">
        <v>728</v>
      </c>
      <c r="S234" t="s">
        <v>966</v>
      </c>
      <c r="T234" s="6">
        <v>197.63</v>
      </c>
      <c r="U234" s="8">
        <v>325.79000000000002</v>
      </c>
      <c r="V234" s="8">
        <f t="shared" si="56"/>
        <v>325.79000000000002</v>
      </c>
      <c r="W234" s="8" t="str">
        <f t="shared" si="57"/>
        <v>Low</v>
      </c>
      <c r="X234" s="15">
        <v>0.11600000000000001</v>
      </c>
      <c r="Y234" s="15">
        <f t="shared" si="58"/>
        <v>0.11600000000000001</v>
      </c>
      <c r="Z234" t="str">
        <f t="shared" si="59"/>
        <v>No</v>
      </c>
      <c r="AA234" s="17">
        <v>10</v>
      </c>
      <c r="AB234" s="8">
        <f t="shared" si="60"/>
        <v>2879.9836</v>
      </c>
      <c r="AC234" s="8">
        <f t="shared" si="61"/>
        <v>1976.3</v>
      </c>
      <c r="AD234" s="8">
        <f t="shared" si="62"/>
        <v>903.68360000000007</v>
      </c>
      <c r="AE234" s="15">
        <f t="shared" si="63"/>
        <v>0.31378081458519419</v>
      </c>
      <c r="AF234" s="34">
        <f>MIN(Y234,'Scenario Modeling'!$B$2)</f>
        <v>0.11600000000000001</v>
      </c>
      <c r="AG234">
        <f>ROUND(AA234 * (1 + 'Scenario Modeling'!$B$4), 0)</f>
        <v>10</v>
      </c>
      <c r="AH234">
        <f>T234 * (1 + 'Scenario Modeling'!$B$3)</f>
        <v>197.63</v>
      </c>
      <c r="AI234" s="8">
        <f t="shared" si="64"/>
        <v>2879.9836</v>
      </c>
      <c r="AJ234" s="8">
        <f t="shared" si="65"/>
        <v>903.68360000000007</v>
      </c>
    </row>
    <row r="235" spans="1:36">
      <c r="A235" t="s">
        <v>247</v>
      </c>
      <c r="B235" s="4">
        <v>45540</v>
      </c>
      <c r="C235" s="28">
        <v>45540</v>
      </c>
      <c r="D235" s="28" t="str">
        <f t="shared" si="50"/>
        <v>Q3-2024</v>
      </c>
      <c r="E235" s="4">
        <v>45560</v>
      </c>
      <c r="F235" s="4">
        <v>45560</v>
      </c>
      <c r="G235" s="17">
        <f t="shared" si="51"/>
        <v>20</v>
      </c>
      <c r="H235" s="17">
        <f t="shared" si="52"/>
        <v>20</v>
      </c>
      <c r="I235" t="str">
        <f t="shared" si="53"/>
        <v>No</v>
      </c>
      <c r="J235" s="2">
        <f t="shared" si="54"/>
        <v>44988</v>
      </c>
      <c r="K235" t="s">
        <v>647</v>
      </c>
      <c r="L235" t="s">
        <v>652</v>
      </c>
      <c r="M235" t="s">
        <v>666</v>
      </c>
      <c r="N235" t="str">
        <f t="shared" si="55"/>
        <v>Asia - Japan - Osaka</v>
      </c>
      <c r="O235" t="s">
        <v>706</v>
      </c>
      <c r="P235" t="s">
        <v>710</v>
      </c>
      <c r="Q235" t="s">
        <v>726</v>
      </c>
      <c r="R235" t="s">
        <v>732</v>
      </c>
      <c r="S235" t="s">
        <v>967</v>
      </c>
      <c r="T235" s="6">
        <v>195.54</v>
      </c>
      <c r="U235" s="8">
        <v>405.97</v>
      </c>
      <c r="V235" s="8">
        <f t="shared" si="56"/>
        <v>405.97</v>
      </c>
      <c r="W235" s="8" t="str">
        <f t="shared" si="57"/>
        <v>Low</v>
      </c>
      <c r="X235" s="15">
        <v>0.187</v>
      </c>
      <c r="Y235" s="15">
        <f t="shared" si="58"/>
        <v>0.187</v>
      </c>
      <c r="Z235" t="str">
        <f t="shared" si="59"/>
        <v>No</v>
      </c>
      <c r="AA235" s="17">
        <v>16</v>
      </c>
      <c r="AB235" s="8">
        <f t="shared" si="60"/>
        <v>5280.8577599999999</v>
      </c>
      <c r="AC235" s="8">
        <f t="shared" si="61"/>
        <v>3128.64</v>
      </c>
      <c r="AD235" s="8">
        <f t="shared" si="62"/>
        <v>2152.21776</v>
      </c>
      <c r="AE235" s="15">
        <f t="shared" si="63"/>
        <v>0.40755079152141377</v>
      </c>
      <c r="AF235" s="34">
        <f>MIN(Y235,'Scenario Modeling'!$B$2)</f>
        <v>0.187</v>
      </c>
      <c r="AG235">
        <f>ROUND(AA235 * (1 + 'Scenario Modeling'!$B$4), 0)</f>
        <v>16</v>
      </c>
      <c r="AH235">
        <f>T235 * (1 + 'Scenario Modeling'!$B$3)</f>
        <v>195.54</v>
      </c>
      <c r="AI235" s="8">
        <f t="shared" si="64"/>
        <v>5280.8577599999999</v>
      </c>
      <c r="AJ235" s="8">
        <f t="shared" si="65"/>
        <v>2152.21776</v>
      </c>
    </row>
    <row r="236" spans="1:36">
      <c r="A236" t="s">
        <v>248</v>
      </c>
      <c r="B236" s="4">
        <v>44999</v>
      </c>
      <c r="C236" s="28">
        <v>44999</v>
      </c>
      <c r="D236" s="28" t="str">
        <f t="shared" si="50"/>
        <v>Q1-2023</v>
      </c>
      <c r="E236" s="4">
        <v>45015</v>
      </c>
      <c r="F236" s="4">
        <v>45015</v>
      </c>
      <c r="G236" s="17">
        <f t="shared" si="51"/>
        <v>16</v>
      </c>
      <c r="H236" s="17">
        <f t="shared" si="52"/>
        <v>16</v>
      </c>
      <c r="I236" t="str">
        <f t="shared" si="53"/>
        <v>No</v>
      </c>
      <c r="J236" s="2">
        <f t="shared" si="54"/>
        <v>44933</v>
      </c>
      <c r="K236" t="s">
        <v>646</v>
      </c>
      <c r="L236" t="s">
        <v>661</v>
      </c>
      <c r="M236" t="s">
        <v>695</v>
      </c>
      <c r="N236" t="str">
        <f t="shared" si="55"/>
        <v>Africa - South Africa - Cape Town</v>
      </c>
      <c r="O236" t="s">
        <v>704</v>
      </c>
      <c r="P236" t="s">
        <v>710</v>
      </c>
      <c r="Q236" t="s">
        <v>723</v>
      </c>
      <c r="R236" t="s">
        <v>727</v>
      </c>
      <c r="S236" t="s">
        <v>968</v>
      </c>
      <c r="T236" s="6">
        <v>1309.77</v>
      </c>
      <c r="U236" s="8">
        <v>1589.07</v>
      </c>
      <c r="V236" s="8">
        <f t="shared" si="56"/>
        <v>1589.07</v>
      </c>
      <c r="W236" s="8" t="str">
        <f t="shared" si="57"/>
        <v>Medium</v>
      </c>
      <c r="X236" s="15">
        <v>0.10199999999999999</v>
      </c>
      <c r="Y236" s="15">
        <f t="shared" si="58"/>
        <v>0.10199999999999999</v>
      </c>
      <c r="Z236" t="str">
        <f t="shared" si="59"/>
        <v>No</v>
      </c>
      <c r="AA236" s="17">
        <v>10</v>
      </c>
      <c r="AB236" s="8">
        <f t="shared" si="60"/>
        <v>14269.848599999999</v>
      </c>
      <c r="AC236" s="8">
        <f t="shared" si="61"/>
        <v>13097.7</v>
      </c>
      <c r="AD236" s="8">
        <f t="shared" si="62"/>
        <v>1172.1485999999986</v>
      </c>
      <c r="AE236" s="15">
        <f t="shared" si="63"/>
        <v>8.2141628328137886E-2</v>
      </c>
      <c r="AF236" s="34">
        <f>MIN(Y236,'Scenario Modeling'!$B$2)</f>
        <v>0.10199999999999999</v>
      </c>
      <c r="AG236">
        <f>ROUND(AA236 * (1 + 'Scenario Modeling'!$B$4), 0)</f>
        <v>10</v>
      </c>
      <c r="AH236">
        <f>T236 * (1 + 'Scenario Modeling'!$B$3)</f>
        <v>1309.77</v>
      </c>
      <c r="AI236" s="8">
        <f t="shared" si="64"/>
        <v>14269.848599999999</v>
      </c>
      <c r="AJ236" s="8">
        <f t="shared" si="65"/>
        <v>1172.1485999999986</v>
      </c>
    </row>
    <row r="237" spans="1:36">
      <c r="A237" t="s">
        <v>249</v>
      </c>
      <c r="B237" s="4">
        <v>45302</v>
      </c>
      <c r="C237" s="28">
        <v>45302</v>
      </c>
      <c r="D237" s="28" t="str">
        <f t="shared" si="50"/>
        <v>Q1-2024</v>
      </c>
      <c r="E237" s="4">
        <v>45324</v>
      </c>
      <c r="F237" s="4">
        <v>45324</v>
      </c>
      <c r="G237" s="17">
        <f t="shared" si="51"/>
        <v>22</v>
      </c>
      <c r="H237" s="17">
        <f t="shared" si="52"/>
        <v>22</v>
      </c>
      <c r="I237" t="str">
        <f t="shared" si="53"/>
        <v>No</v>
      </c>
      <c r="J237" s="2">
        <f t="shared" si="54"/>
        <v>44988</v>
      </c>
      <c r="K237" t="s">
        <v>647</v>
      </c>
      <c r="L237" t="s">
        <v>652</v>
      </c>
      <c r="M237" t="s">
        <v>694</v>
      </c>
      <c r="N237" t="str">
        <f t="shared" si="55"/>
        <v>Asia - Japan - Nagoya</v>
      </c>
      <c r="O237" t="s">
        <v>705</v>
      </c>
      <c r="P237" t="s">
        <v>708</v>
      </c>
      <c r="Q237" t="s">
        <v>717</v>
      </c>
      <c r="R237" t="s">
        <v>728</v>
      </c>
      <c r="S237" t="s">
        <v>969</v>
      </c>
      <c r="T237" s="6">
        <v>1237.68</v>
      </c>
      <c r="U237" s="8">
        <v>1432.8</v>
      </c>
      <c r="V237" s="8">
        <f t="shared" si="56"/>
        <v>1432.8</v>
      </c>
      <c r="W237" s="8" t="str">
        <f t="shared" si="57"/>
        <v>Medium</v>
      </c>
      <c r="X237" s="15">
        <v>6.8000000000000005E-2</v>
      </c>
      <c r="Y237" s="15">
        <f t="shared" si="58"/>
        <v>6.8000000000000005E-2</v>
      </c>
      <c r="Z237" t="str">
        <f t="shared" si="59"/>
        <v>No</v>
      </c>
      <c r="AA237" s="17">
        <v>13</v>
      </c>
      <c r="AB237" s="8">
        <f t="shared" si="60"/>
        <v>17359.804799999998</v>
      </c>
      <c r="AC237" s="8">
        <f t="shared" si="61"/>
        <v>16089.84</v>
      </c>
      <c r="AD237" s="8">
        <f t="shared" si="62"/>
        <v>1269.9647999999979</v>
      </c>
      <c r="AE237" s="15">
        <f t="shared" si="63"/>
        <v>7.315547695559331E-2</v>
      </c>
      <c r="AF237" s="34">
        <f>MIN(Y237,'Scenario Modeling'!$B$2)</f>
        <v>6.8000000000000005E-2</v>
      </c>
      <c r="AG237">
        <f>ROUND(AA237 * (1 + 'Scenario Modeling'!$B$4), 0)</f>
        <v>13</v>
      </c>
      <c r="AH237">
        <f>T237 * (1 + 'Scenario Modeling'!$B$3)</f>
        <v>1237.68</v>
      </c>
      <c r="AI237" s="8">
        <f t="shared" si="64"/>
        <v>17359.804799999998</v>
      </c>
      <c r="AJ237" s="8">
        <f t="shared" si="65"/>
        <v>1269.9647999999979</v>
      </c>
    </row>
    <row r="238" spans="1:36">
      <c r="A238" t="s">
        <v>250</v>
      </c>
      <c r="B238" s="4">
        <v>45548</v>
      </c>
      <c r="C238" s="28">
        <v>45548</v>
      </c>
      <c r="D238" s="28" t="str">
        <f t="shared" si="50"/>
        <v>Q3-2024</v>
      </c>
      <c r="E238" s="4">
        <v>45567</v>
      </c>
      <c r="F238" s="4">
        <v>45567</v>
      </c>
      <c r="G238" s="17">
        <f t="shared" si="51"/>
        <v>19</v>
      </c>
      <c r="H238" s="17">
        <f t="shared" si="52"/>
        <v>19</v>
      </c>
      <c r="I238" t="str">
        <f t="shared" si="53"/>
        <v>No</v>
      </c>
      <c r="J238" s="2">
        <f t="shared" si="54"/>
        <v>44946</v>
      </c>
      <c r="K238" t="s">
        <v>646</v>
      </c>
      <c r="L238" t="s">
        <v>650</v>
      </c>
      <c r="M238" t="s">
        <v>675</v>
      </c>
      <c r="N238" t="str">
        <f t="shared" si="55"/>
        <v>Africa - Kenya - Mombasa</v>
      </c>
      <c r="O238" t="s">
        <v>705</v>
      </c>
      <c r="P238" t="s">
        <v>707</v>
      </c>
      <c r="Q238" t="s">
        <v>724</v>
      </c>
      <c r="R238" t="s">
        <v>730</v>
      </c>
      <c r="S238" t="s">
        <v>970</v>
      </c>
      <c r="T238" s="6">
        <v>1338.99</v>
      </c>
      <c r="U238" s="8">
        <v>1765.76</v>
      </c>
      <c r="V238" s="8">
        <f t="shared" si="56"/>
        <v>1765.76</v>
      </c>
      <c r="W238" s="8" t="str">
        <f t="shared" si="57"/>
        <v>High</v>
      </c>
      <c r="X238" s="15">
        <v>0.126</v>
      </c>
      <c r="Y238" s="15">
        <f t="shared" si="58"/>
        <v>0.126</v>
      </c>
      <c r="Z238" t="str">
        <f t="shared" si="59"/>
        <v>No</v>
      </c>
      <c r="AA238" s="17">
        <v>24</v>
      </c>
      <c r="AB238" s="8">
        <f t="shared" si="60"/>
        <v>37038.581760000001</v>
      </c>
      <c r="AC238" s="8">
        <f t="shared" si="61"/>
        <v>32135.760000000002</v>
      </c>
      <c r="AD238" s="8">
        <f t="shared" si="62"/>
        <v>4902.8217599999989</v>
      </c>
      <c r="AE238" s="15">
        <f t="shared" si="63"/>
        <v>0.1323706666677725</v>
      </c>
      <c r="AF238" s="34">
        <f>MIN(Y238,'Scenario Modeling'!$B$2)</f>
        <v>0.126</v>
      </c>
      <c r="AG238">
        <f>ROUND(AA238 * (1 + 'Scenario Modeling'!$B$4), 0)</f>
        <v>24</v>
      </c>
      <c r="AH238">
        <f>T238 * (1 + 'Scenario Modeling'!$B$3)</f>
        <v>1338.99</v>
      </c>
      <c r="AI238" s="8">
        <f t="shared" si="64"/>
        <v>37038.581760000001</v>
      </c>
      <c r="AJ238" s="8">
        <f t="shared" si="65"/>
        <v>4902.8217599999989</v>
      </c>
    </row>
    <row r="239" spans="1:36">
      <c r="A239" t="s">
        <v>251</v>
      </c>
      <c r="B239" s="4">
        <v>45855</v>
      </c>
      <c r="C239" s="28">
        <v>45855</v>
      </c>
      <c r="D239" s="28" t="str">
        <f t="shared" si="50"/>
        <v>Q3-2025</v>
      </c>
      <c r="E239" s="4">
        <v>45861</v>
      </c>
      <c r="F239" s="4">
        <v>45861</v>
      </c>
      <c r="G239" s="17">
        <f t="shared" si="51"/>
        <v>6</v>
      </c>
      <c r="H239" s="17">
        <f t="shared" si="52"/>
        <v>6</v>
      </c>
      <c r="I239" t="str">
        <f t="shared" si="53"/>
        <v>Yes</v>
      </c>
      <c r="J239" s="2">
        <f t="shared" si="54"/>
        <v>44928</v>
      </c>
      <c r="K239" t="s">
        <v>648</v>
      </c>
      <c r="L239" t="s">
        <v>653</v>
      </c>
      <c r="M239" t="s">
        <v>688</v>
      </c>
      <c r="N239" t="str">
        <f t="shared" si="55"/>
        <v>Americas - Canada - Vancouver</v>
      </c>
      <c r="O239" t="s">
        <v>704</v>
      </c>
      <c r="P239" t="s">
        <v>708</v>
      </c>
      <c r="Q239" t="s">
        <v>722</v>
      </c>
      <c r="R239" t="s">
        <v>727</v>
      </c>
      <c r="S239" t="s">
        <v>971</v>
      </c>
      <c r="T239" s="6">
        <v>1364.89</v>
      </c>
      <c r="U239" s="8">
        <v>2757.54</v>
      </c>
      <c r="V239" s="8">
        <f t="shared" si="56"/>
        <v>2757.54</v>
      </c>
      <c r="W239" s="8" t="str">
        <f t="shared" si="57"/>
        <v>High</v>
      </c>
      <c r="X239" s="15">
        <v>0.17199999999999999</v>
      </c>
      <c r="Y239" s="15">
        <f t="shared" si="58"/>
        <v>0.17199999999999999</v>
      </c>
      <c r="Z239" t="str">
        <f t="shared" si="59"/>
        <v>No</v>
      </c>
      <c r="AA239" s="17">
        <v>61</v>
      </c>
      <c r="AB239" s="8">
        <f t="shared" si="60"/>
        <v>139277.83032000001</v>
      </c>
      <c r="AC239" s="8">
        <f t="shared" si="61"/>
        <v>83258.290000000008</v>
      </c>
      <c r="AD239" s="8">
        <f t="shared" si="62"/>
        <v>56019.54032</v>
      </c>
      <c r="AE239" s="15">
        <f t="shared" si="63"/>
        <v>0.4022143379983118</v>
      </c>
      <c r="AF239" s="34">
        <f>MIN(Y239,'Scenario Modeling'!$B$2)</f>
        <v>0.17199999999999999</v>
      </c>
      <c r="AG239">
        <f>ROUND(AA239 * (1 + 'Scenario Modeling'!$B$4), 0)</f>
        <v>61</v>
      </c>
      <c r="AH239">
        <f>T239 * (1 + 'Scenario Modeling'!$B$3)</f>
        <v>1364.89</v>
      </c>
      <c r="AI239" s="8">
        <f t="shared" si="64"/>
        <v>139277.83032000001</v>
      </c>
      <c r="AJ239" s="8">
        <f t="shared" si="65"/>
        <v>56019.54032</v>
      </c>
    </row>
    <row r="240" spans="1:36">
      <c r="A240" t="s">
        <v>252</v>
      </c>
      <c r="B240" s="4">
        <v>45258</v>
      </c>
      <c r="C240" s="28">
        <v>45258</v>
      </c>
      <c r="D240" s="28" t="str">
        <f t="shared" si="50"/>
        <v>Q4-2023</v>
      </c>
      <c r="E240" s="4">
        <v>45267</v>
      </c>
      <c r="F240" s="4">
        <v>45267</v>
      </c>
      <c r="G240" s="17">
        <f t="shared" si="51"/>
        <v>9</v>
      </c>
      <c r="H240" s="17">
        <f t="shared" si="52"/>
        <v>9</v>
      </c>
      <c r="I240" t="str">
        <f t="shared" si="53"/>
        <v>No</v>
      </c>
      <c r="J240" s="2">
        <f t="shared" si="54"/>
        <v>44955</v>
      </c>
      <c r="K240" t="s">
        <v>647</v>
      </c>
      <c r="L240" t="s">
        <v>654</v>
      </c>
      <c r="M240" t="s">
        <v>680</v>
      </c>
      <c r="N240" t="str">
        <f t="shared" si="55"/>
        <v>Asia - India - Delhi</v>
      </c>
      <c r="O240" t="s">
        <v>706</v>
      </c>
      <c r="P240" t="s">
        <v>709</v>
      </c>
      <c r="Q240" t="s">
        <v>716</v>
      </c>
      <c r="R240" t="s">
        <v>730</v>
      </c>
      <c r="S240" t="s">
        <v>972</v>
      </c>
      <c r="T240" s="6">
        <v>699.33</v>
      </c>
      <c r="U240" s="8">
        <v>873.75</v>
      </c>
      <c r="V240" s="8">
        <f t="shared" si="56"/>
        <v>873.75</v>
      </c>
      <c r="W240" s="8" t="str">
        <f t="shared" si="57"/>
        <v>Medium</v>
      </c>
      <c r="X240" s="15">
        <v>0.23499999999999999</v>
      </c>
      <c r="Y240" s="15">
        <f t="shared" si="58"/>
        <v>0.23499999999999999</v>
      </c>
      <c r="Z240" t="str">
        <f t="shared" si="59"/>
        <v>Yes</v>
      </c>
      <c r="AA240" s="17">
        <v>10</v>
      </c>
      <c r="AB240" s="8">
        <f t="shared" si="60"/>
        <v>6684.1875</v>
      </c>
      <c r="AC240" s="8">
        <f t="shared" si="61"/>
        <v>6993.3</v>
      </c>
      <c r="AD240" s="8">
        <f t="shared" si="62"/>
        <v>-309.11250000000018</v>
      </c>
      <c r="AE240" s="15">
        <f t="shared" si="63"/>
        <v>-4.6245336475076469E-2</v>
      </c>
      <c r="AF240" s="34">
        <f>MIN(Y240,'Scenario Modeling'!$B$2)</f>
        <v>0.23499999999999999</v>
      </c>
      <c r="AG240">
        <f>ROUND(AA240 * (1 + 'Scenario Modeling'!$B$4), 0)</f>
        <v>10</v>
      </c>
      <c r="AH240">
        <f>T240 * (1 + 'Scenario Modeling'!$B$3)</f>
        <v>699.33</v>
      </c>
      <c r="AI240" s="8">
        <f t="shared" si="64"/>
        <v>6684.1875</v>
      </c>
      <c r="AJ240" s="8">
        <f t="shared" si="65"/>
        <v>-309.11250000000018</v>
      </c>
    </row>
    <row r="241" spans="1:36">
      <c r="A241" t="s">
        <v>253</v>
      </c>
      <c r="B241" s="4">
        <v>45381</v>
      </c>
      <c r="C241" s="28">
        <v>45381</v>
      </c>
      <c r="D241" s="28" t="str">
        <f t="shared" si="50"/>
        <v>Q1-2024</v>
      </c>
      <c r="E241" s="4">
        <v>45406</v>
      </c>
      <c r="F241" s="4">
        <v>45406</v>
      </c>
      <c r="G241" s="17">
        <f t="shared" si="51"/>
        <v>25</v>
      </c>
      <c r="H241" s="17">
        <f t="shared" si="52"/>
        <v>25</v>
      </c>
      <c r="I241" t="str">
        <f t="shared" si="53"/>
        <v>No</v>
      </c>
      <c r="J241" s="2">
        <f t="shared" si="54"/>
        <v>44939</v>
      </c>
      <c r="K241" t="s">
        <v>648</v>
      </c>
      <c r="L241" t="s">
        <v>660</v>
      </c>
      <c r="M241" t="s">
        <v>697</v>
      </c>
      <c r="N241" t="str">
        <f t="shared" si="55"/>
        <v>Americas - USA - Austin</v>
      </c>
      <c r="O241" t="s">
        <v>703</v>
      </c>
      <c r="P241" t="s">
        <v>708</v>
      </c>
      <c r="Q241" t="s">
        <v>715</v>
      </c>
      <c r="R241" t="s">
        <v>731</v>
      </c>
      <c r="S241" t="s">
        <v>973</v>
      </c>
      <c r="T241" s="6">
        <v>160.82</v>
      </c>
      <c r="U241" s="8">
        <v>258.52</v>
      </c>
      <c r="V241" s="8">
        <f t="shared" si="56"/>
        <v>258.52</v>
      </c>
      <c r="W241" s="8" t="str">
        <f t="shared" si="57"/>
        <v>Low</v>
      </c>
      <c r="X241" s="15">
        <v>0.13</v>
      </c>
      <c r="Y241" s="15">
        <f t="shared" si="58"/>
        <v>0.13</v>
      </c>
      <c r="Z241" t="str">
        <f t="shared" si="59"/>
        <v>No</v>
      </c>
      <c r="AA241" s="17">
        <v>17</v>
      </c>
      <c r="AB241" s="8">
        <f t="shared" si="60"/>
        <v>3823.5108</v>
      </c>
      <c r="AC241" s="8">
        <f t="shared" si="61"/>
        <v>2733.94</v>
      </c>
      <c r="AD241" s="8">
        <f t="shared" si="62"/>
        <v>1089.5708</v>
      </c>
      <c r="AE241" s="15">
        <f t="shared" si="63"/>
        <v>0.28496605789631874</v>
      </c>
      <c r="AF241" s="34">
        <f>MIN(Y241,'Scenario Modeling'!$B$2)</f>
        <v>0.13</v>
      </c>
      <c r="AG241">
        <f>ROUND(AA241 * (1 + 'Scenario Modeling'!$B$4), 0)</f>
        <v>17</v>
      </c>
      <c r="AH241">
        <f>T241 * (1 + 'Scenario Modeling'!$B$3)</f>
        <v>160.82</v>
      </c>
      <c r="AI241" s="8">
        <f t="shared" si="64"/>
        <v>3823.5108</v>
      </c>
      <c r="AJ241" s="8">
        <f t="shared" si="65"/>
        <v>1089.5708</v>
      </c>
    </row>
    <row r="242" spans="1:36">
      <c r="A242" t="s">
        <v>254</v>
      </c>
      <c r="B242" s="4">
        <v>45188</v>
      </c>
      <c r="C242" s="28">
        <v>45188</v>
      </c>
      <c r="D242" s="28" t="str">
        <f t="shared" si="50"/>
        <v>Q3-2023</v>
      </c>
      <c r="E242" s="4">
        <v>45207</v>
      </c>
      <c r="F242" s="4">
        <v>45207</v>
      </c>
      <c r="G242" s="17">
        <f t="shared" si="51"/>
        <v>19</v>
      </c>
      <c r="H242" s="17">
        <f t="shared" si="52"/>
        <v>19</v>
      </c>
      <c r="I242" t="str">
        <f t="shared" si="53"/>
        <v>No</v>
      </c>
      <c r="J242" s="2">
        <f t="shared" si="54"/>
        <v>44955</v>
      </c>
      <c r="K242" t="s">
        <v>647</v>
      </c>
      <c r="L242" t="s">
        <v>654</v>
      </c>
      <c r="M242" t="s">
        <v>668</v>
      </c>
      <c r="N242" t="str">
        <f t="shared" si="55"/>
        <v>Asia - India - Bengaluru</v>
      </c>
      <c r="O242" t="s">
        <v>702</v>
      </c>
      <c r="P242" t="s">
        <v>711</v>
      </c>
      <c r="Q242" t="s">
        <v>713</v>
      </c>
      <c r="R242" t="s">
        <v>728</v>
      </c>
      <c r="S242" t="s">
        <v>974</v>
      </c>
      <c r="T242" s="6">
        <v>385.32</v>
      </c>
      <c r="U242" s="8">
        <v>606.76</v>
      </c>
      <c r="V242" s="8">
        <f t="shared" si="56"/>
        <v>606.76</v>
      </c>
      <c r="W242" s="8" t="str">
        <f t="shared" si="57"/>
        <v>Low</v>
      </c>
      <c r="X242" s="15">
        <v>8.5999999999999993E-2</v>
      </c>
      <c r="Y242" s="15">
        <f t="shared" si="58"/>
        <v>8.5999999999999993E-2</v>
      </c>
      <c r="Z242" t="str">
        <f t="shared" si="59"/>
        <v>No</v>
      </c>
      <c r="AA242" s="17">
        <v>8</v>
      </c>
      <c r="AB242" s="8">
        <f t="shared" si="60"/>
        <v>4436.6291200000005</v>
      </c>
      <c r="AC242" s="8">
        <f t="shared" si="61"/>
        <v>3082.56</v>
      </c>
      <c r="AD242" s="8">
        <f t="shared" si="62"/>
        <v>1354.0691200000006</v>
      </c>
      <c r="AE242" s="15">
        <f t="shared" si="63"/>
        <v>0.30520223425842735</v>
      </c>
      <c r="AF242" s="34">
        <f>MIN(Y242,'Scenario Modeling'!$B$2)</f>
        <v>8.5999999999999993E-2</v>
      </c>
      <c r="AG242">
        <f>ROUND(AA242 * (1 + 'Scenario Modeling'!$B$4), 0)</f>
        <v>8</v>
      </c>
      <c r="AH242">
        <f>T242 * (1 + 'Scenario Modeling'!$B$3)</f>
        <v>385.32</v>
      </c>
      <c r="AI242" s="8">
        <f t="shared" si="64"/>
        <v>4436.6291200000005</v>
      </c>
      <c r="AJ242" s="8">
        <f t="shared" si="65"/>
        <v>1354.0691200000006</v>
      </c>
    </row>
    <row r="243" spans="1:36">
      <c r="A243" t="s">
        <v>255</v>
      </c>
      <c r="B243" s="4">
        <v>45793</v>
      </c>
      <c r="C243" s="28">
        <v>45793</v>
      </c>
      <c r="D243" s="28" t="str">
        <f t="shared" si="50"/>
        <v>Q2-2025</v>
      </c>
      <c r="E243" s="4">
        <v>45804</v>
      </c>
      <c r="F243" s="4">
        <v>45804</v>
      </c>
      <c r="G243" s="17">
        <f t="shared" si="51"/>
        <v>11</v>
      </c>
      <c r="H243" s="17">
        <f t="shared" si="52"/>
        <v>11</v>
      </c>
      <c r="I243" t="str">
        <f t="shared" si="53"/>
        <v>No</v>
      </c>
      <c r="J243" s="2">
        <f t="shared" si="54"/>
        <v>44938</v>
      </c>
      <c r="K243" t="s">
        <v>647</v>
      </c>
      <c r="L243" t="s">
        <v>659</v>
      </c>
      <c r="M243" t="s">
        <v>699</v>
      </c>
      <c r="N243" t="str">
        <f t="shared" si="55"/>
        <v>Asia - China - Beijing</v>
      </c>
      <c r="O243" t="s">
        <v>706</v>
      </c>
      <c r="P243" t="s">
        <v>708</v>
      </c>
      <c r="Q243" t="s">
        <v>721</v>
      </c>
      <c r="R243" t="s">
        <v>730</v>
      </c>
      <c r="S243" t="s">
        <v>975</v>
      </c>
      <c r="T243" s="6">
        <v>918.12</v>
      </c>
      <c r="U243" s="8">
        <v>1337.69</v>
      </c>
      <c r="V243" s="8">
        <f t="shared" si="56"/>
        <v>1337.69</v>
      </c>
      <c r="W243" s="8" t="str">
        <f t="shared" si="57"/>
        <v>Medium</v>
      </c>
      <c r="X243" s="15">
        <v>9.5000000000000001E-2</v>
      </c>
      <c r="Y243" s="15">
        <f t="shared" si="58"/>
        <v>9.5000000000000001E-2</v>
      </c>
      <c r="Z243" t="str">
        <f t="shared" si="59"/>
        <v>No</v>
      </c>
      <c r="AA243" s="17">
        <v>8</v>
      </c>
      <c r="AB243" s="8">
        <f t="shared" si="60"/>
        <v>9684.8756000000012</v>
      </c>
      <c r="AC243" s="8">
        <f t="shared" si="61"/>
        <v>7344.96</v>
      </c>
      <c r="AD243" s="8">
        <f t="shared" si="62"/>
        <v>2339.9156000000012</v>
      </c>
      <c r="AE243" s="15">
        <f t="shared" si="63"/>
        <v>0.24160512707050164</v>
      </c>
      <c r="AF243" s="34">
        <f>MIN(Y243,'Scenario Modeling'!$B$2)</f>
        <v>9.5000000000000001E-2</v>
      </c>
      <c r="AG243">
        <f>ROUND(AA243 * (1 + 'Scenario Modeling'!$B$4), 0)</f>
        <v>8</v>
      </c>
      <c r="AH243">
        <f>T243 * (1 + 'Scenario Modeling'!$B$3)</f>
        <v>918.12</v>
      </c>
      <c r="AI243" s="8">
        <f t="shared" si="64"/>
        <v>9684.8756000000012</v>
      </c>
      <c r="AJ243" s="8">
        <f t="shared" si="65"/>
        <v>2339.9156000000012</v>
      </c>
    </row>
    <row r="244" spans="1:36">
      <c r="A244" t="s">
        <v>256</v>
      </c>
      <c r="B244" s="4">
        <v>45871</v>
      </c>
      <c r="C244" s="28">
        <v>45871</v>
      </c>
      <c r="D244" s="28" t="str">
        <f t="shared" si="50"/>
        <v>Q3-2025</v>
      </c>
      <c r="E244" s="4">
        <v>45877</v>
      </c>
      <c r="F244" s="4">
        <v>45877</v>
      </c>
      <c r="G244" s="17">
        <f t="shared" si="51"/>
        <v>6</v>
      </c>
      <c r="H244" s="17">
        <f t="shared" si="52"/>
        <v>6</v>
      </c>
      <c r="I244" t="str">
        <f t="shared" si="53"/>
        <v>Yes</v>
      </c>
      <c r="J244" s="2">
        <f t="shared" si="54"/>
        <v>44988</v>
      </c>
      <c r="K244" t="s">
        <v>647</v>
      </c>
      <c r="L244" t="s">
        <v>652</v>
      </c>
      <c r="M244" t="s">
        <v>666</v>
      </c>
      <c r="N244" t="str">
        <f t="shared" si="55"/>
        <v>Asia - Japan - Osaka</v>
      </c>
      <c r="O244" t="s">
        <v>704</v>
      </c>
      <c r="P244" t="s">
        <v>711</v>
      </c>
      <c r="Q244" t="s">
        <v>725</v>
      </c>
      <c r="R244" t="s">
        <v>731</v>
      </c>
      <c r="S244" t="s">
        <v>976</v>
      </c>
      <c r="T244" s="6">
        <v>1225.94</v>
      </c>
      <c r="U244" s="8">
        <v>1793.08</v>
      </c>
      <c r="V244" s="8">
        <f t="shared" si="56"/>
        <v>1793.08</v>
      </c>
      <c r="W244" s="8" t="str">
        <f t="shared" si="57"/>
        <v>High</v>
      </c>
      <c r="X244" s="15">
        <v>0.13600000000000001</v>
      </c>
      <c r="Y244" s="15">
        <f t="shared" si="58"/>
        <v>0.13600000000000001</v>
      </c>
      <c r="Z244" t="str">
        <f t="shared" si="59"/>
        <v>No</v>
      </c>
      <c r="AA244" s="17">
        <v>22</v>
      </c>
      <c r="AB244" s="8">
        <f t="shared" si="60"/>
        <v>34082.864639999993</v>
      </c>
      <c r="AC244" s="8">
        <f t="shared" si="61"/>
        <v>26970.68</v>
      </c>
      <c r="AD244" s="8">
        <f t="shared" si="62"/>
        <v>7112.1846399999922</v>
      </c>
      <c r="AE244" s="15">
        <f t="shared" si="63"/>
        <v>0.20867332353434462</v>
      </c>
      <c r="AF244" s="34">
        <f>MIN(Y244,'Scenario Modeling'!$B$2)</f>
        <v>0.13600000000000001</v>
      </c>
      <c r="AG244">
        <f>ROUND(AA244 * (1 + 'Scenario Modeling'!$B$4), 0)</f>
        <v>22</v>
      </c>
      <c r="AH244">
        <f>T244 * (1 + 'Scenario Modeling'!$B$3)</f>
        <v>1225.94</v>
      </c>
      <c r="AI244" s="8">
        <f t="shared" si="64"/>
        <v>34082.864639999993</v>
      </c>
      <c r="AJ244" s="8">
        <f t="shared" si="65"/>
        <v>7112.1846399999922</v>
      </c>
    </row>
    <row r="245" spans="1:36">
      <c r="A245" t="s">
        <v>257</v>
      </c>
      <c r="B245" s="4">
        <v>45630</v>
      </c>
      <c r="C245" s="28">
        <v>45630</v>
      </c>
      <c r="D245" s="28" t="str">
        <f t="shared" si="50"/>
        <v>Q4-2024</v>
      </c>
      <c r="E245" s="4">
        <v>45638</v>
      </c>
      <c r="F245" s="4">
        <v>45638</v>
      </c>
      <c r="G245" s="17">
        <f t="shared" si="51"/>
        <v>8</v>
      </c>
      <c r="H245" s="17">
        <f t="shared" si="52"/>
        <v>8</v>
      </c>
      <c r="I245" t="str">
        <f t="shared" si="53"/>
        <v>No</v>
      </c>
      <c r="J245" s="2">
        <f t="shared" si="54"/>
        <v>44948</v>
      </c>
      <c r="K245" t="s">
        <v>649</v>
      </c>
      <c r="L245" t="s">
        <v>656</v>
      </c>
      <c r="M245" t="s">
        <v>698</v>
      </c>
      <c r="N245" t="str">
        <f t="shared" si="55"/>
        <v>Europe - Germany - Frankfurt</v>
      </c>
      <c r="O245" t="s">
        <v>706</v>
      </c>
      <c r="P245" t="s">
        <v>709</v>
      </c>
      <c r="Q245" t="s">
        <v>717</v>
      </c>
      <c r="R245" t="s">
        <v>728</v>
      </c>
      <c r="S245" t="s">
        <v>977</v>
      </c>
      <c r="T245" s="6">
        <v>72.06</v>
      </c>
      <c r="U245" s="8">
        <v>122.74</v>
      </c>
      <c r="V245" s="8">
        <f t="shared" si="56"/>
        <v>122.74</v>
      </c>
      <c r="W245" s="8" t="str">
        <f t="shared" si="57"/>
        <v>Low</v>
      </c>
      <c r="X245" s="15">
        <v>0.23799999999999999</v>
      </c>
      <c r="Y245" s="15">
        <f t="shared" si="58"/>
        <v>0.23799999999999999</v>
      </c>
      <c r="Z245" t="str">
        <f t="shared" si="59"/>
        <v>Yes</v>
      </c>
      <c r="AA245" s="17">
        <v>8</v>
      </c>
      <c r="AB245" s="8">
        <f t="shared" si="60"/>
        <v>748.22303999999997</v>
      </c>
      <c r="AC245" s="8">
        <f t="shared" si="61"/>
        <v>576.48</v>
      </c>
      <c r="AD245" s="8">
        <f t="shared" si="62"/>
        <v>171.74303999999995</v>
      </c>
      <c r="AE245" s="15">
        <f t="shared" si="63"/>
        <v>0.22953455162246802</v>
      </c>
      <c r="AF245" s="34">
        <f>MIN(Y245,'Scenario Modeling'!$B$2)</f>
        <v>0.23799999999999999</v>
      </c>
      <c r="AG245">
        <f>ROUND(AA245 * (1 + 'Scenario Modeling'!$B$4), 0)</f>
        <v>8</v>
      </c>
      <c r="AH245">
        <f>T245 * (1 + 'Scenario Modeling'!$B$3)</f>
        <v>72.06</v>
      </c>
      <c r="AI245" s="8">
        <f t="shared" si="64"/>
        <v>748.22303999999997</v>
      </c>
      <c r="AJ245" s="8">
        <f t="shared" si="65"/>
        <v>171.74303999999995</v>
      </c>
    </row>
    <row r="246" spans="1:36">
      <c r="A246" t="s">
        <v>258</v>
      </c>
      <c r="B246" s="4">
        <v>45035</v>
      </c>
      <c r="C246" s="28">
        <v>45035</v>
      </c>
      <c r="D246" s="28" t="str">
        <f t="shared" si="50"/>
        <v>Q2-2023</v>
      </c>
      <c r="E246" s="4">
        <v>45044</v>
      </c>
      <c r="F246" s="4">
        <v>45044</v>
      </c>
      <c r="G246" s="17">
        <f t="shared" si="51"/>
        <v>9</v>
      </c>
      <c r="H246" s="17">
        <f t="shared" si="52"/>
        <v>9</v>
      </c>
      <c r="I246" t="str">
        <f t="shared" si="53"/>
        <v>No</v>
      </c>
      <c r="J246" s="2">
        <f t="shared" si="54"/>
        <v>44955</v>
      </c>
      <c r="K246" t="s">
        <v>648</v>
      </c>
      <c r="L246" t="s">
        <v>655</v>
      </c>
      <c r="M246" t="s">
        <v>692</v>
      </c>
      <c r="N246" t="str">
        <f t="shared" si="55"/>
        <v>Americas - Brazil - Rio de Janeiro</v>
      </c>
      <c r="O246" t="s">
        <v>701</v>
      </c>
      <c r="P246" t="s">
        <v>710</v>
      </c>
      <c r="Q246" t="s">
        <v>724</v>
      </c>
      <c r="R246" t="s">
        <v>730</v>
      </c>
      <c r="S246" t="s">
        <v>978</v>
      </c>
      <c r="T246" s="6">
        <v>1013.54</v>
      </c>
      <c r="U246" s="8">
        <v>927.93</v>
      </c>
      <c r="V246" s="8">
        <f t="shared" si="56"/>
        <v>927.93</v>
      </c>
      <c r="W246" s="8" t="str">
        <f t="shared" si="57"/>
        <v>Medium</v>
      </c>
      <c r="X246" s="15">
        <v>0.17499999999999999</v>
      </c>
      <c r="Y246" s="15">
        <f t="shared" si="58"/>
        <v>0.17499999999999999</v>
      </c>
      <c r="Z246" t="str">
        <f t="shared" si="59"/>
        <v>No</v>
      </c>
      <c r="AA246" s="17">
        <v>16</v>
      </c>
      <c r="AB246" s="8">
        <f t="shared" si="60"/>
        <v>12248.675999999999</v>
      </c>
      <c r="AC246" s="8">
        <f t="shared" si="61"/>
        <v>16216.64</v>
      </c>
      <c r="AD246" s="8">
        <f t="shared" si="62"/>
        <v>-3967.9639999999999</v>
      </c>
      <c r="AE246" s="15">
        <f t="shared" si="63"/>
        <v>-0.32395044166406234</v>
      </c>
      <c r="AF246" s="34">
        <f>MIN(Y246,'Scenario Modeling'!$B$2)</f>
        <v>0.17499999999999999</v>
      </c>
      <c r="AG246">
        <f>ROUND(AA246 * (1 + 'Scenario Modeling'!$B$4), 0)</f>
        <v>16</v>
      </c>
      <c r="AH246">
        <f>T246 * (1 + 'Scenario Modeling'!$B$3)</f>
        <v>1013.54</v>
      </c>
      <c r="AI246" s="8">
        <f t="shared" si="64"/>
        <v>12248.675999999999</v>
      </c>
      <c r="AJ246" s="8">
        <f t="shared" si="65"/>
        <v>-3967.9639999999999</v>
      </c>
    </row>
    <row r="247" spans="1:36">
      <c r="A247" t="s">
        <v>259</v>
      </c>
      <c r="B247" s="4">
        <v>45357</v>
      </c>
      <c r="C247" s="28">
        <v>45357</v>
      </c>
      <c r="D247" s="28" t="str">
        <f t="shared" si="50"/>
        <v>Q1-2024</v>
      </c>
      <c r="E247" s="4">
        <v>45377</v>
      </c>
      <c r="F247" s="4">
        <v>45377</v>
      </c>
      <c r="G247" s="17">
        <f t="shared" si="51"/>
        <v>20</v>
      </c>
      <c r="H247" s="17">
        <f t="shared" si="52"/>
        <v>20</v>
      </c>
      <c r="I247" t="str">
        <f t="shared" si="53"/>
        <v>No</v>
      </c>
      <c r="J247" s="2">
        <f t="shared" si="54"/>
        <v>44941</v>
      </c>
      <c r="K247" t="s">
        <v>646</v>
      </c>
      <c r="L247" t="s">
        <v>651</v>
      </c>
      <c r="M247" t="s">
        <v>663</v>
      </c>
      <c r="N247" t="str">
        <f t="shared" si="55"/>
        <v>Africa - Nigeria - Port Harcourt</v>
      </c>
      <c r="O247" t="s">
        <v>704</v>
      </c>
      <c r="P247" t="s">
        <v>709</v>
      </c>
      <c r="Q247" t="s">
        <v>714</v>
      </c>
      <c r="R247" t="s">
        <v>730</v>
      </c>
      <c r="S247" t="s">
        <v>979</v>
      </c>
      <c r="T247" s="6">
        <v>65.64</v>
      </c>
      <c r="U247" s="8">
        <v>151.88</v>
      </c>
      <c r="V247" s="8">
        <f t="shared" si="56"/>
        <v>151.88</v>
      </c>
      <c r="W247" s="8" t="str">
        <f t="shared" si="57"/>
        <v>Low</v>
      </c>
      <c r="X247" s="15">
        <v>0.16700000000000001</v>
      </c>
      <c r="Y247" s="15">
        <f t="shared" si="58"/>
        <v>0.16700000000000001</v>
      </c>
      <c r="Z247" t="str">
        <f t="shared" si="59"/>
        <v>No</v>
      </c>
      <c r="AA247" s="17">
        <v>23</v>
      </c>
      <c r="AB247" s="8">
        <f t="shared" si="60"/>
        <v>2909.8689199999999</v>
      </c>
      <c r="AC247" s="8">
        <f t="shared" si="61"/>
        <v>1509.72</v>
      </c>
      <c r="AD247" s="8">
        <f t="shared" si="62"/>
        <v>1400.1489199999999</v>
      </c>
      <c r="AE247" s="15">
        <f t="shared" si="63"/>
        <v>0.48117250587356353</v>
      </c>
      <c r="AF247" s="34">
        <f>MIN(Y247,'Scenario Modeling'!$B$2)</f>
        <v>0.16700000000000001</v>
      </c>
      <c r="AG247">
        <f>ROUND(AA247 * (1 + 'Scenario Modeling'!$B$4), 0)</f>
        <v>23</v>
      </c>
      <c r="AH247">
        <f>T247 * (1 + 'Scenario Modeling'!$B$3)</f>
        <v>65.64</v>
      </c>
      <c r="AI247" s="8">
        <f t="shared" si="64"/>
        <v>2909.8689199999999</v>
      </c>
      <c r="AJ247" s="8">
        <f t="shared" si="65"/>
        <v>1400.1489199999999</v>
      </c>
    </row>
    <row r="248" spans="1:36">
      <c r="A248" t="s">
        <v>260</v>
      </c>
      <c r="B248" s="4">
        <v>45338</v>
      </c>
      <c r="C248" s="28">
        <v>45338</v>
      </c>
      <c r="D248" s="28" t="str">
        <f t="shared" si="50"/>
        <v>Q1-2024</v>
      </c>
      <c r="E248" s="4">
        <v>45355</v>
      </c>
      <c r="F248" s="4">
        <v>45355</v>
      </c>
      <c r="G248" s="17">
        <f t="shared" si="51"/>
        <v>17</v>
      </c>
      <c r="H248" s="17">
        <f t="shared" si="52"/>
        <v>17</v>
      </c>
      <c r="I248" t="str">
        <f t="shared" si="53"/>
        <v>No</v>
      </c>
      <c r="J248" s="2">
        <f t="shared" si="54"/>
        <v>44928</v>
      </c>
      <c r="K248" t="s">
        <v>648</v>
      </c>
      <c r="L248" t="s">
        <v>653</v>
      </c>
      <c r="M248" t="s">
        <v>681</v>
      </c>
      <c r="N248" t="str">
        <f t="shared" si="55"/>
        <v>Americas - Canada - Montreal</v>
      </c>
      <c r="O248" t="s">
        <v>703</v>
      </c>
      <c r="P248" t="s">
        <v>707</v>
      </c>
      <c r="Q248" t="s">
        <v>726</v>
      </c>
      <c r="R248" t="s">
        <v>731</v>
      </c>
      <c r="S248" t="s">
        <v>980</v>
      </c>
      <c r="T248" s="6">
        <v>1350.98</v>
      </c>
      <c r="U248" s="8">
        <v>2210.4</v>
      </c>
      <c r="V248" s="8">
        <f t="shared" si="56"/>
        <v>2210.4</v>
      </c>
      <c r="W248" s="8" t="str">
        <f t="shared" si="57"/>
        <v>High</v>
      </c>
      <c r="X248" s="15">
        <v>0.26300000000000001</v>
      </c>
      <c r="Y248" s="15">
        <f t="shared" si="58"/>
        <v>0.26300000000000001</v>
      </c>
      <c r="Z248" t="str">
        <f t="shared" si="59"/>
        <v>Yes</v>
      </c>
      <c r="AA248" s="17">
        <v>6</v>
      </c>
      <c r="AB248" s="8">
        <f t="shared" si="60"/>
        <v>9774.3888000000006</v>
      </c>
      <c r="AC248" s="8">
        <f t="shared" si="61"/>
        <v>8105.88</v>
      </c>
      <c r="AD248" s="8">
        <f t="shared" si="62"/>
        <v>1668.5088000000005</v>
      </c>
      <c r="AE248" s="15">
        <f t="shared" si="63"/>
        <v>0.17070211080615091</v>
      </c>
      <c r="AF248" s="34">
        <f>MIN(Y248,'Scenario Modeling'!$B$2)</f>
        <v>0.25</v>
      </c>
      <c r="AG248">
        <f>ROUND(AA248 * (1 + 'Scenario Modeling'!$B$4), 0)</f>
        <v>6</v>
      </c>
      <c r="AH248">
        <f>T248 * (1 + 'Scenario Modeling'!$B$3)</f>
        <v>1350.98</v>
      </c>
      <c r="AI248" s="8">
        <f t="shared" si="64"/>
        <v>9946.8000000000011</v>
      </c>
      <c r="AJ248" s="8">
        <f t="shared" si="65"/>
        <v>1840.920000000001</v>
      </c>
    </row>
    <row r="249" spans="1:36">
      <c r="A249" t="s">
        <v>261</v>
      </c>
      <c r="B249" s="4">
        <v>45769</v>
      </c>
      <c r="C249" s="28">
        <v>45769</v>
      </c>
      <c r="D249" s="28" t="str">
        <f t="shared" si="50"/>
        <v>Q2-2025</v>
      </c>
      <c r="E249" s="4">
        <v>45779</v>
      </c>
      <c r="F249" s="4">
        <v>45779</v>
      </c>
      <c r="G249" s="17">
        <f t="shared" si="51"/>
        <v>10</v>
      </c>
      <c r="H249" s="17">
        <f t="shared" si="52"/>
        <v>10</v>
      </c>
      <c r="I249" t="str">
        <f t="shared" si="53"/>
        <v>No</v>
      </c>
      <c r="J249" s="2">
        <f t="shared" si="54"/>
        <v>44948</v>
      </c>
      <c r="K249" t="s">
        <v>649</v>
      </c>
      <c r="L249" t="s">
        <v>656</v>
      </c>
      <c r="M249" t="s">
        <v>671</v>
      </c>
      <c r="N249" t="str">
        <f t="shared" si="55"/>
        <v>Europe - Germany - Berlin</v>
      </c>
      <c r="O249" t="s">
        <v>701</v>
      </c>
      <c r="P249" t="s">
        <v>709</v>
      </c>
      <c r="Q249" t="s">
        <v>712</v>
      </c>
      <c r="R249" t="s">
        <v>732</v>
      </c>
      <c r="S249" t="s">
        <v>981</v>
      </c>
      <c r="T249" s="6">
        <v>20.149999999999999</v>
      </c>
      <c r="U249" s="8">
        <v>39.74</v>
      </c>
      <c r="V249" s="8">
        <f t="shared" si="56"/>
        <v>39.74</v>
      </c>
      <c r="W249" s="8" t="str">
        <f t="shared" si="57"/>
        <v>Low</v>
      </c>
      <c r="X249" s="15">
        <v>0.151</v>
      </c>
      <c r="Y249" s="15">
        <f t="shared" si="58"/>
        <v>0.151</v>
      </c>
      <c r="Z249" t="str">
        <f t="shared" si="59"/>
        <v>No</v>
      </c>
      <c r="AA249" s="17">
        <v>18</v>
      </c>
      <c r="AB249" s="8">
        <f t="shared" si="60"/>
        <v>607.30668000000003</v>
      </c>
      <c r="AC249" s="8">
        <f t="shared" si="61"/>
        <v>362.7</v>
      </c>
      <c r="AD249" s="8">
        <f t="shared" si="62"/>
        <v>244.60668000000004</v>
      </c>
      <c r="AE249" s="15">
        <f t="shared" si="63"/>
        <v>0.4027729120318585</v>
      </c>
      <c r="AF249" s="34">
        <f>MIN(Y249,'Scenario Modeling'!$B$2)</f>
        <v>0.151</v>
      </c>
      <c r="AG249">
        <f>ROUND(AA249 * (1 + 'Scenario Modeling'!$B$4), 0)</f>
        <v>18</v>
      </c>
      <c r="AH249">
        <f>T249 * (1 + 'Scenario Modeling'!$B$3)</f>
        <v>20.149999999999999</v>
      </c>
      <c r="AI249" s="8">
        <f t="shared" si="64"/>
        <v>607.30668000000003</v>
      </c>
      <c r="AJ249" s="8">
        <f t="shared" si="65"/>
        <v>244.60668000000004</v>
      </c>
    </row>
    <row r="250" spans="1:36">
      <c r="A250" t="s">
        <v>262</v>
      </c>
      <c r="B250" s="4">
        <v>45604</v>
      </c>
      <c r="C250" s="28">
        <v>45604</v>
      </c>
      <c r="D250" s="28" t="str">
        <f t="shared" si="50"/>
        <v>Q4-2024</v>
      </c>
      <c r="E250" s="4">
        <v>45604</v>
      </c>
      <c r="F250" s="4">
        <v>45604</v>
      </c>
      <c r="G250" s="17">
        <f t="shared" si="51"/>
        <v>0</v>
      </c>
      <c r="H250" s="17">
        <f t="shared" si="52"/>
        <v>0</v>
      </c>
      <c r="I250" t="str">
        <f t="shared" si="53"/>
        <v>Yes</v>
      </c>
      <c r="J250" s="2">
        <f t="shared" si="54"/>
        <v>44946</v>
      </c>
      <c r="K250" t="s">
        <v>646</v>
      </c>
      <c r="L250" t="s">
        <v>650</v>
      </c>
      <c r="M250" t="s">
        <v>678</v>
      </c>
      <c r="N250" t="str">
        <f t="shared" si="55"/>
        <v>Africa - Kenya - Nakuru</v>
      </c>
      <c r="O250" t="s">
        <v>706</v>
      </c>
      <c r="P250" t="s">
        <v>709</v>
      </c>
      <c r="Q250" t="s">
        <v>724</v>
      </c>
      <c r="R250" t="s">
        <v>729</v>
      </c>
      <c r="S250" t="s">
        <v>982</v>
      </c>
      <c r="T250" s="6">
        <v>803.28</v>
      </c>
      <c r="U250" s="8">
        <v>1009</v>
      </c>
      <c r="V250" s="8">
        <f t="shared" si="56"/>
        <v>1009</v>
      </c>
      <c r="W250" s="8" t="str">
        <f t="shared" si="57"/>
        <v>Medium</v>
      </c>
      <c r="X250" s="15">
        <v>0.11</v>
      </c>
      <c r="Y250" s="15">
        <f t="shared" si="58"/>
        <v>0.11</v>
      </c>
      <c r="Z250" t="str">
        <f t="shared" si="59"/>
        <v>No</v>
      </c>
      <c r="AA250" s="17">
        <v>4</v>
      </c>
      <c r="AB250" s="8">
        <f t="shared" si="60"/>
        <v>3592.04</v>
      </c>
      <c r="AC250" s="8">
        <f t="shared" si="61"/>
        <v>3213.12</v>
      </c>
      <c r="AD250" s="8">
        <f t="shared" si="62"/>
        <v>378.92000000000007</v>
      </c>
      <c r="AE250" s="15">
        <f t="shared" si="63"/>
        <v>0.10548880302001093</v>
      </c>
      <c r="AF250" s="34">
        <f>MIN(Y250,'Scenario Modeling'!$B$2)</f>
        <v>0.11</v>
      </c>
      <c r="AG250">
        <f>ROUND(AA250 * (1 + 'Scenario Modeling'!$B$4), 0)</f>
        <v>4</v>
      </c>
      <c r="AH250">
        <f>T250 * (1 + 'Scenario Modeling'!$B$3)</f>
        <v>803.28</v>
      </c>
      <c r="AI250" s="8">
        <f t="shared" si="64"/>
        <v>3592.04</v>
      </c>
      <c r="AJ250" s="8">
        <f t="shared" si="65"/>
        <v>378.92000000000007</v>
      </c>
    </row>
    <row r="251" spans="1:36">
      <c r="A251" t="s">
        <v>263</v>
      </c>
      <c r="B251" s="4">
        <v>45912</v>
      </c>
      <c r="C251" s="28">
        <v>45912</v>
      </c>
      <c r="D251" s="28" t="str">
        <f t="shared" si="50"/>
        <v>Q3-2025</v>
      </c>
      <c r="E251" s="4">
        <v>45930</v>
      </c>
      <c r="F251" s="4">
        <v>45930</v>
      </c>
      <c r="G251" s="17">
        <f t="shared" si="51"/>
        <v>18</v>
      </c>
      <c r="H251" s="17">
        <f t="shared" si="52"/>
        <v>18</v>
      </c>
      <c r="I251" t="str">
        <f t="shared" si="53"/>
        <v>No</v>
      </c>
      <c r="J251" s="2">
        <f t="shared" si="54"/>
        <v>44988</v>
      </c>
      <c r="K251" t="s">
        <v>647</v>
      </c>
      <c r="L251" t="s">
        <v>652</v>
      </c>
      <c r="M251" t="s">
        <v>694</v>
      </c>
      <c r="N251" t="str">
        <f t="shared" si="55"/>
        <v>Asia - Japan - Nagoya</v>
      </c>
      <c r="O251" t="s">
        <v>703</v>
      </c>
      <c r="P251" t="s">
        <v>709</v>
      </c>
      <c r="Q251" t="s">
        <v>721</v>
      </c>
      <c r="R251" t="s">
        <v>732</v>
      </c>
      <c r="S251" t="s">
        <v>983</v>
      </c>
      <c r="T251" s="6">
        <v>1212.99</v>
      </c>
      <c r="U251" s="8">
        <v>1653.64</v>
      </c>
      <c r="V251" s="8">
        <f t="shared" si="56"/>
        <v>1653.64</v>
      </c>
      <c r="W251" s="8" t="str">
        <f t="shared" si="57"/>
        <v>High</v>
      </c>
      <c r="X251" s="15">
        <v>0.107</v>
      </c>
      <c r="Y251" s="15">
        <f t="shared" si="58"/>
        <v>0.107</v>
      </c>
      <c r="Z251" t="str">
        <f t="shared" si="59"/>
        <v>No</v>
      </c>
      <c r="AA251" s="17">
        <v>8</v>
      </c>
      <c r="AB251" s="8">
        <f t="shared" si="60"/>
        <v>11813.604160000001</v>
      </c>
      <c r="AC251" s="8">
        <f t="shared" si="61"/>
        <v>9703.92</v>
      </c>
      <c r="AD251" s="8">
        <f t="shared" si="62"/>
        <v>2109.6841600000007</v>
      </c>
      <c r="AE251" s="15">
        <f t="shared" si="63"/>
        <v>0.17858090819931455</v>
      </c>
      <c r="AF251" s="34">
        <f>MIN(Y251,'Scenario Modeling'!$B$2)</f>
        <v>0.107</v>
      </c>
      <c r="AG251">
        <f>ROUND(AA251 * (1 + 'Scenario Modeling'!$B$4), 0)</f>
        <v>8</v>
      </c>
      <c r="AH251">
        <f>T251 * (1 + 'Scenario Modeling'!$B$3)</f>
        <v>1212.99</v>
      </c>
      <c r="AI251" s="8">
        <f t="shared" si="64"/>
        <v>11813.604160000001</v>
      </c>
      <c r="AJ251" s="8">
        <f t="shared" si="65"/>
        <v>2109.6841600000007</v>
      </c>
    </row>
    <row r="252" spans="1:36">
      <c r="A252" t="s">
        <v>264</v>
      </c>
      <c r="B252" s="4">
        <v>45537</v>
      </c>
      <c r="C252" s="28">
        <v>45537</v>
      </c>
      <c r="D252" s="28" t="str">
        <f t="shared" si="50"/>
        <v>Q3-2024</v>
      </c>
      <c r="E252" s="4">
        <v>45543</v>
      </c>
      <c r="F252" s="4">
        <v>45543</v>
      </c>
      <c r="G252" s="17">
        <f t="shared" si="51"/>
        <v>6</v>
      </c>
      <c r="H252" s="17">
        <f t="shared" si="52"/>
        <v>6</v>
      </c>
      <c r="I252" t="str">
        <f t="shared" si="53"/>
        <v>Yes</v>
      </c>
      <c r="J252" s="2">
        <f t="shared" si="54"/>
        <v>44939</v>
      </c>
      <c r="K252" t="s">
        <v>648</v>
      </c>
      <c r="L252" t="s">
        <v>660</v>
      </c>
      <c r="M252" t="s">
        <v>697</v>
      </c>
      <c r="N252" t="str">
        <f t="shared" si="55"/>
        <v>Americas - USA - Austin</v>
      </c>
      <c r="O252" t="s">
        <v>704</v>
      </c>
      <c r="P252" t="s">
        <v>711</v>
      </c>
      <c r="Q252" t="s">
        <v>722</v>
      </c>
      <c r="R252" t="s">
        <v>727</v>
      </c>
      <c r="S252" t="s">
        <v>984</v>
      </c>
      <c r="T252" s="6">
        <v>462.94</v>
      </c>
      <c r="U252" s="8">
        <v>1015.7</v>
      </c>
      <c r="V252" s="8">
        <f t="shared" si="56"/>
        <v>1015.7</v>
      </c>
      <c r="W252" s="8" t="str">
        <f t="shared" si="57"/>
        <v>Medium</v>
      </c>
      <c r="X252" s="15">
        <v>0.14299999999999999</v>
      </c>
      <c r="Y252" s="15">
        <f t="shared" si="58"/>
        <v>0.14299999999999999</v>
      </c>
      <c r="Z252" t="str">
        <f t="shared" si="59"/>
        <v>No</v>
      </c>
      <c r="AA252" s="17">
        <v>14</v>
      </c>
      <c r="AB252" s="8">
        <f t="shared" si="60"/>
        <v>12186.368600000002</v>
      </c>
      <c r="AC252" s="8">
        <f t="shared" si="61"/>
        <v>6481.16</v>
      </c>
      <c r="AD252" s="8">
        <f t="shared" si="62"/>
        <v>5705.2086000000018</v>
      </c>
      <c r="AE252" s="15">
        <f t="shared" si="63"/>
        <v>0.46816314090483041</v>
      </c>
      <c r="AF252" s="34">
        <f>MIN(Y252,'Scenario Modeling'!$B$2)</f>
        <v>0.14299999999999999</v>
      </c>
      <c r="AG252">
        <f>ROUND(AA252 * (1 + 'Scenario Modeling'!$B$4), 0)</f>
        <v>14</v>
      </c>
      <c r="AH252">
        <f>T252 * (1 + 'Scenario Modeling'!$B$3)</f>
        <v>462.94</v>
      </c>
      <c r="AI252" s="8">
        <f t="shared" si="64"/>
        <v>12186.368600000002</v>
      </c>
      <c r="AJ252" s="8">
        <f t="shared" si="65"/>
        <v>5705.2086000000018</v>
      </c>
    </row>
    <row r="253" spans="1:36">
      <c r="A253" t="s">
        <v>265</v>
      </c>
      <c r="B253" s="4">
        <v>44989</v>
      </c>
      <c r="C253" s="28">
        <v>44989</v>
      </c>
      <c r="D253" s="28" t="str">
        <f t="shared" si="50"/>
        <v>Q1-2023</v>
      </c>
      <c r="E253" s="4">
        <v>45009</v>
      </c>
      <c r="F253" s="4">
        <v>45009</v>
      </c>
      <c r="G253" s="17">
        <f t="shared" si="51"/>
        <v>20</v>
      </c>
      <c r="H253" s="17">
        <f t="shared" si="52"/>
        <v>20</v>
      </c>
      <c r="I253" t="str">
        <f t="shared" si="53"/>
        <v>No</v>
      </c>
      <c r="J253" s="2">
        <f t="shared" si="54"/>
        <v>44928</v>
      </c>
      <c r="K253" t="s">
        <v>648</v>
      </c>
      <c r="L253" t="s">
        <v>653</v>
      </c>
      <c r="M253" t="s">
        <v>681</v>
      </c>
      <c r="N253" t="str">
        <f t="shared" si="55"/>
        <v>Americas - Canada - Montreal</v>
      </c>
      <c r="O253" t="s">
        <v>704</v>
      </c>
      <c r="P253" t="s">
        <v>710</v>
      </c>
      <c r="Q253" t="s">
        <v>714</v>
      </c>
      <c r="R253" t="s">
        <v>731</v>
      </c>
      <c r="S253" t="s">
        <v>985</v>
      </c>
      <c r="T253" s="6">
        <v>481.71</v>
      </c>
      <c r="U253" s="8">
        <v>912.45</v>
      </c>
      <c r="V253" s="8">
        <f t="shared" si="56"/>
        <v>912.45</v>
      </c>
      <c r="W253" s="8" t="str">
        <f t="shared" si="57"/>
        <v>Medium</v>
      </c>
      <c r="X253" s="15">
        <v>0.20300000000000001</v>
      </c>
      <c r="Y253" s="15">
        <f t="shared" si="58"/>
        <v>0.20300000000000001</v>
      </c>
      <c r="Z253" t="str">
        <f t="shared" si="59"/>
        <v>Yes</v>
      </c>
      <c r="AA253" s="17">
        <v>24</v>
      </c>
      <c r="AB253" s="8">
        <f t="shared" si="60"/>
        <v>17453.3436</v>
      </c>
      <c r="AC253" s="8">
        <f t="shared" si="61"/>
        <v>11561.039999999999</v>
      </c>
      <c r="AD253" s="8">
        <f t="shared" si="62"/>
        <v>5892.3036000000011</v>
      </c>
      <c r="AE253" s="15">
        <f t="shared" si="63"/>
        <v>0.33760313983619739</v>
      </c>
      <c r="AF253" s="34">
        <f>MIN(Y253,'Scenario Modeling'!$B$2)</f>
        <v>0.20300000000000001</v>
      </c>
      <c r="AG253">
        <f>ROUND(AA253 * (1 + 'Scenario Modeling'!$B$4), 0)</f>
        <v>24</v>
      </c>
      <c r="AH253">
        <f>T253 * (1 + 'Scenario Modeling'!$B$3)</f>
        <v>481.71</v>
      </c>
      <c r="AI253" s="8">
        <f t="shared" si="64"/>
        <v>17453.3436</v>
      </c>
      <c r="AJ253" s="8">
        <f t="shared" si="65"/>
        <v>5892.3036000000011</v>
      </c>
    </row>
    <row r="254" spans="1:36">
      <c r="A254" t="s">
        <v>266</v>
      </c>
      <c r="B254" s="4">
        <v>45366</v>
      </c>
      <c r="C254" s="28">
        <v>45366</v>
      </c>
      <c r="D254" s="28" t="str">
        <f t="shared" si="50"/>
        <v>Q1-2024</v>
      </c>
      <c r="E254" s="4">
        <v>45391</v>
      </c>
      <c r="F254" s="4">
        <v>45391</v>
      </c>
      <c r="G254" s="17">
        <f t="shared" si="51"/>
        <v>25</v>
      </c>
      <c r="H254" s="17">
        <f t="shared" si="52"/>
        <v>25</v>
      </c>
      <c r="I254" t="str">
        <f t="shared" si="53"/>
        <v>No</v>
      </c>
      <c r="J254" s="2">
        <f t="shared" si="54"/>
        <v>44928</v>
      </c>
      <c r="K254" t="s">
        <v>648</v>
      </c>
      <c r="L254" t="s">
        <v>653</v>
      </c>
      <c r="M254" t="s">
        <v>688</v>
      </c>
      <c r="N254" t="str">
        <f t="shared" si="55"/>
        <v>Americas - Canada - Vancouver</v>
      </c>
      <c r="O254" t="s">
        <v>704</v>
      </c>
      <c r="P254" t="s">
        <v>708</v>
      </c>
      <c r="Q254" t="s">
        <v>721</v>
      </c>
      <c r="R254" t="s">
        <v>732</v>
      </c>
      <c r="S254" t="s">
        <v>986</v>
      </c>
      <c r="T254" s="6">
        <v>648.64</v>
      </c>
      <c r="U254" s="8">
        <v>815.19</v>
      </c>
      <c r="V254" s="8">
        <f t="shared" si="56"/>
        <v>815.19</v>
      </c>
      <c r="W254" s="8" t="str">
        <f t="shared" si="57"/>
        <v>Low</v>
      </c>
      <c r="X254" s="15">
        <v>0.22500000000000001</v>
      </c>
      <c r="Y254" s="15">
        <f t="shared" si="58"/>
        <v>0.22500000000000001</v>
      </c>
      <c r="Z254" t="str">
        <f t="shared" si="59"/>
        <v>Yes</v>
      </c>
      <c r="AA254" s="17">
        <v>28</v>
      </c>
      <c r="AB254" s="8">
        <f t="shared" si="60"/>
        <v>17689.623</v>
      </c>
      <c r="AC254" s="8">
        <f t="shared" si="61"/>
        <v>18161.919999999998</v>
      </c>
      <c r="AD254" s="8">
        <f t="shared" si="62"/>
        <v>-472.29699999999866</v>
      </c>
      <c r="AE254" s="15">
        <f t="shared" si="63"/>
        <v>-2.6699099240272032E-2</v>
      </c>
      <c r="AF254" s="34">
        <f>MIN(Y254,'Scenario Modeling'!$B$2)</f>
        <v>0.22500000000000001</v>
      </c>
      <c r="AG254">
        <f>ROUND(AA254 * (1 + 'Scenario Modeling'!$B$4), 0)</f>
        <v>28</v>
      </c>
      <c r="AH254">
        <f>T254 * (1 + 'Scenario Modeling'!$B$3)</f>
        <v>648.64</v>
      </c>
      <c r="AI254" s="8">
        <f t="shared" si="64"/>
        <v>17689.623</v>
      </c>
      <c r="AJ254" s="8">
        <f t="shared" si="65"/>
        <v>-472.29699999999866</v>
      </c>
    </row>
    <row r="255" spans="1:36">
      <c r="A255" t="s">
        <v>267</v>
      </c>
      <c r="B255" s="4">
        <v>45502</v>
      </c>
      <c r="C255" s="28">
        <v>45502</v>
      </c>
      <c r="D255" s="28" t="str">
        <f t="shared" si="50"/>
        <v>Q3-2024</v>
      </c>
      <c r="E255" s="4">
        <v>45504</v>
      </c>
      <c r="F255" s="4">
        <v>45504</v>
      </c>
      <c r="G255" s="17">
        <f t="shared" si="51"/>
        <v>2</v>
      </c>
      <c r="H255" s="17">
        <f t="shared" si="52"/>
        <v>2</v>
      </c>
      <c r="I255" t="str">
        <f t="shared" si="53"/>
        <v>Yes</v>
      </c>
      <c r="J255" s="2">
        <f t="shared" si="54"/>
        <v>44939</v>
      </c>
      <c r="K255" t="s">
        <v>648</v>
      </c>
      <c r="L255" t="s">
        <v>660</v>
      </c>
      <c r="M255" t="s">
        <v>700</v>
      </c>
      <c r="N255" t="str">
        <f t="shared" si="55"/>
        <v>Americas - USA - New York</v>
      </c>
      <c r="O255" t="s">
        <v>702</v>
      </c>
      <c r="P255" t="s">
        <v>709</v>
      </c>
      <c r="Q255" t="s">
        <v>714</v>
      </c>
      <c r="R255" t="s">
        <v>728</v>
      </c>
      <c r="S255" t="s">
        <v>987</v>
      </c>
      <c r="T255" s="6">
        <v>798.97</v>
      </c>
      <c r="U255" s="8">
        <v>1814.06</v>
      </c>
      <c r="V255" s="8">
        <f t="shared" si="56"/>
        <v>1814.06</v>
      </c>
      <c r="W255" s="8" t="str">
        <f t="shared" si="57"/>
        <v>High</v>
      </c>
      <c r="X255" s="15">
        <v>0.122</v>
      </c>
      <c r="Y255" s="15">
        <f t="shared" si="58"/>
        <v>0.122</v>
      </c>
      <c r="Z255" t="str">
        <f t="shared" si="59"/>
        <v>No</v>
      </c>
      <c r="AA255" s="17">
        <v>16</v>
      </c>
      <c r="AB255" s="8">
        <f t="shared" si="60"/>
        <v>25483.91488</v>
      </c>
      <c r="AC255" s="8">
        <f t="shared" si="61"/>
        <v>12783.52</v>
      </c>
      <c r="AD255" s="8">
        <f t="shared" si="62"/>
        <v>12700.39488</v>
      </c>
      <c r="AE255" s="15">
        <f t="shared" si="63"/>
        <v>0.49836906691159061</v>
      </c>
      <c r="AF255" s="34">
        <f>MIN(Y255,'Scenario Modeling'!$B$2)</f>
        <v>0.122</v>
      </c>
      <c r="AG255">
        <f>ROUND(AA255 * (1 + 'Scenario Modeling'!$B$4), 0)</f>
        <v>16</v>
      </c>
      <c r="AH255">
        <f>T255 * (1 + 'Scenario Modeling'!$B$3)</f>
        <v>798.97</v>
      </c>
      <c r="AI255" s="8">
        <f t="shared" si="64"/>
        <v>25483.91488</v>
      </c>
      <c r="AJ255" s="8">
        <f t="shared" si="65"/>
        <v>12700.39488</v>
      </c>
    </row>
    <row r="256" spans="1:36">
      <c r="A256" t="s">
        <v>268</v>
      </c>
      <c r="B256" s="4">
        <v>45592</v>
      </c>
      <c r="C256" s="28">
        <v>45592</v>
      </c>
      <c r="D256" s="28" t="str">
        <f t="shared" si="50"/>
        <v>Q4-2024</v>
      </c>
      <c r="E256" s="4">
        <v>45616</v>
      </c>
      <c r="F256" s="4">
        <v>45616</v>
      </c>
      <c r="G256" s="17">
        <f t="shared" si="51"/>
        <v>24</v>
      </c>
      <c r="H256" s="17">
        <f t="shared" si="52"/>
        <v>24</v>
      </c>
      <c r="I256" t="str">
        <f t="shared" si="53"/>
        <v>No</v>
      </c>
      <c r="J256" s="2">
        <f t="shared" si="54"/>
        <v>44988</v>
      </c>
      <c r="K256" t="s">
        <v>647</v>
      </c>
      <c r="L256" t="s">
        <v>652</v>
      </c>
      <c r="M256" t="s">
        <v>694</v>
      </c>
      <c r="N256" t="str">
        <f t="shared" si="55"/>
        <v>Asia - Japan - Nagoya</v>
      </c>
      <c r="O256" t="s">
        <v>703</v>
      </c>
      <c r="P256" t="s">
        <v>708</v>
      </c>
      <c r="Q256" t="s">
        <v>722</v>
      </c>
      <c r="R256" t="s">
        <v>732</v>
      </c>
      <c r="S256" t="s">
        <v>988</v>
      </c>
      <c r="T256" s="6">
        <v>317.25</v>
      </c>
      <c r="U256" s="8">
        <v>758.92</v>
      </c>
      <c r="V256" s="8">
        <f t="shared" si="56"/>
        <v>758.92</v>
      </c>
      <c r="W256" s="8" t="str">
        <f t="shared" si="57"/>
        <v>Low</v>
      </c>
      <c r="X256" s="15">
        <v>5.2999999999999999E-2</v>
      </c>
      <c r="Y256" s="15">
        <f t="shared" si="58"/>
        <v>5.2999999999999999E-2</v>
      </c>
      <c r="Z256" t="str">
        <f t="shared" si="59"/>
        <v>No</v>
      </c>
      <c r="AA256" s="17">
        <v>9</v>
      </c>
      <c r="AB256" s="8">
        <f t="shared" si="60"/>
        <v>6468.2751599999992</v>
      </c>
      <c r="AC256" s="8">
        <f t="shared" si="61"/>
        <v>2855.25</v>
      </c>
      <c r="AD256" s="8">
        <f t="shared" si="62"/>
        <v>3613.0251599999992</v>
      </c>
      <c r="AE256" s="15">
        <f t="shared" si="63"/>
        <v>0.5585762928489888</v>
      </c>
      <c r="AF256" s="34">
        <f>MIN(Y256,'Scenario Modeling'!$B$2)</f>
        <v>5.2999999999999999E-2</v>
      </c>
      <c r="AG256">
        <f>ROUND(AA256 * (1 + 'Scenario Modeling'!$B$4), 0)</f>
        <v>9</v>
      </c>
      <c r="AH256">
        <f>T256 * (1 + 'Scenario Modeling'!$B$3)</f>
        <v>317.25</v>
      </c>
      <c r="AI256" s="8">
        <f t="shared" si="64"/>
        <v>6468.2751599999992</v>
      </c>
      <c r="AJ256" s="8">
        <f t="shared" si="65"/>
        <v>3613.0251599999992</v>
      </c>
    </row>
    <row r="257" spans="1:36">
      <c r="A257" t="s">
        <v>269</v>
      </c>
      <c r="B257" s="4">
        <v>45411</v>
      </c>
      <c r="C257" s="28">
        <v>45411</v>
      </c>
      <c r="D257" s="28" t="str">
        <f t="shared" si="50"/>
        <v>Q2-2024</v>
      </c>
      <c r="E257" s="4">
        <v>45431</v>
      </c>
      <c r="F257" s="4">
        <v>45431</v>
      </c>
      <c r="G257" s="17">
        <f t="shared" si="51"/>
        <v>20</v>
      </c>
      <c r="H257" s="17">
        <f t="shared" si="52"/>
        <v>20</v>
      </c>
      <c r="I257" t="str">
        <f t="shared" si="53"/>
        <v>No</v>
      </c>
      <c r="J257" s="2">
        <f t="shared" si="54"/>
        <v>44948</v>
      </c>
      <c r="K257" t="s">
        <v>649</v>
      </c>
      <c r="L257" t="s">
        <v>656</v>
      </c>
      <c r="M257" t="s">
        <v>698</v>
      </c>
      <c r="N257" t="str">
        <f t="shared" si="55"/>
        <v>Europe - Germany - Frankfurt</v>
      </c>
      <c r="O257" t="s">
        <v>706</v>
      </c>
      <c r="P257" t="s">
        <v>709</v>
      </c>
      <c r="Q257" t="s">
        <v>712</v>
      </c>
      <c r="R257" t="s">
        <v>731</v>
      </c>
      <c r="S257" t="s">
        <v>989</v>
      </c>
      <c r="T257" s="6">
        <v>668.97</v>
      </c>
      <c r="U257" s="8">
        <v>1667.44</v>
      </c>
      <c r="V257" s="8">
        <f t="shared" si="56"/>
        <v>1667.44</v>
      </c>
      <c r="W257" s="8" t="str">
        <f t="shared" si="57"/>
        <v>High</v>
      </c>
      <c r="X257" s="15">
        <v>3.4000000000000002E-2</v>
      </c>
      <c r="Y257" s="15">
        <f t="shared" si="58"/>
        <v>3.4000000000000002E-2</v>
      </c>
      <c r="Z257" t="str">
        <f t="shared" si="59"/>
        <v>No</v>
      </c>
      <c r="AA257" s="17">
        <v>15</v>
      </c>
      <c r="AB257" s="8">
        <f t="shared" si="60"/>
        <v>24161.205600000001</v>
      </c>
      <c r="AC257" s="8">
        <f t="shared" si="61"/>
        <v>10034.550000000001</v>
      </c>
      <c r="AD257" s="8">
        <f t="shared" si="62"/>
        <v>14126.6556</v>
      </c>
      <c r="AE257" s="15">
        <f t="shared" si="63"/>
        <v>0.58468339013679016</v>
      </c>
      <c r="AF257" s="34">
        <f>MIN(Y257,'Scenario Modeling'!$B$2)</f>
        <v>3.4000000000000002E-2</v>
      </c>
      <c r="AG257">
        <f>ROUND(AA257 * (1 + 'Scenario Modeling'!$B$4), 0)</f>
        <v>15</v>
      </c>
      <c r="AH257">
        <f>T257 * (1 + 'Scenario Modeling'!$B$3)</f>
        <v>668.97</v>
      </c>
      <c r="AI257" s="8">
        <f t="shared" si="64"/>
        <v>24161.205600000001</v>
      </c>
      <c r="AJ257" s="8">
        <f t="shared" si="65"/>
        <v>14126.6556</v>
      </c>
    </row>
    <row r="258" spans="1:36">
      <c r="A258" t="s">
        <v>270</v>
      </c>
      <c r="B258" s="4">
        <v>45204</v>
      </c>
      <c r="C258" s="28">
        <v>45204</v>
      </c>
      <c r="D258" s="28" t="str">
        <f t="shared" si="50"/>
        <v>Q4-2023</v>
      </c>
      <c r="E258" s="4">
        <v>45205</v>
      </c>
      <c r="F258" s="4">
        <v>45205</v>
      </c>
      <c r="G258" s="17">
        <f t="shared" si="51"/>
        <v>1</v>
      </c>
      <c r="H258" s="17">
        <f t="shared" si="52"/>
        <v>1</v>
      </c>
      <c r="I258" t="str">
        <f t="shared" si="53"/>
        <v>Yes</v>
      </c>
      <c r="J258" s="2">
        <f t="shared" si="54"/>
        <v>44955</v>
      </c>
      <c r="K258" t="s">
        <v>647</v>
      </c>
      <c r="L258" t="s">
        <v>654</v>
      </c>
      <c r="M258" t="s">
        <v>668</v>
      </c>
      <c r="N258" t="str">
        <f t="shared" si="55"/>
        <v>Asia - India - Bengaluru</v>
      </c>
      <c r="O258" t="s">
        <v>703</v>
      </c>
      <c r="P258" t="s">
        <v>708</v>
      </c>
      <c r="Q258" t="s">
        <v>714</v>
      </c>
      <c r="R258" t="s">
        <v>727</v>
      </c>
      <c r="S258" t="s">
        <v>990</v>
      </c>
      <c r="T258" s="6">
        <v>1470.26</v>
      </c>
      <c r="U258" s="8">
        <v>2562.5500000000002</v>
      </c>
      <c r="V258" s="8">
        <f t="shared" si="56"/>
        <v>2562.5500000000002</v>
      </c>
      <c r="W258" s="8" t="str">
        <f t="shared" si="57"/>
        <v>High</v>
      </c>
      <c r="X258" s="15">
        <v>0.17299999999999999</v>
      </c>
      <c r="Y258" s="15">
        <f t="shared" si="58"/>
        <v>0.17299999999999999</v>
      </c>
      <c r="Z258" t="str">
        <f t="shared" si="59"/>
        <v>No</v>
      </c>
      <c r="AA258" s="17">
        <v>9</v>
      </c>
      <c r="AB258" s="8">
        <f t="shared" si="60"/>
        <v>19073.059649999999</v>
      </c>
      <c r="AC258" s="8">
        <f t="shared" si="61"/>
        <v>13232.34</v>
      </c>
      <c r="AD258" s="8">
        <f t="shared" si="62"/>
        <v>5840.7196499999991</v>
      </c>
      <c r="AE258" s="15">
        <f t="shared" si="63"/>
        <v>0.30622877279157462</v>
      </c>
      <c r="AF258" s="34">
        <f>MIN(Y258,'Scenario Modeling'!$B$2)</f>
        <v>0.17299999999999999</v>
      </c>
      <c r="AG258">
        <f>ROUND(AA258 * (1 + 'Scenario Modeling'!$B$4), 0)</f>
        <v>9</v>
      </c>
      <c r="AH258">
        <f>T258 * (1 + 'Scenario Modeling'!$B$3)</f>
        <v>1470.26</v>
      </c>
      <c r="AI258" s="8">
        <f t="shared" si="64"/>
        <v>19073.059649999999</v>
      </c>
      <c r="AJ258" s="8">
        <f t="shared" si="65"/>
        <v>5840.7196499999991</v>
      </c>
    </row>
    <row r="259" spans="1:36">
      <c r="A259" t="s">
        <v>271</v>
      </c>
      <c r="B259" s="4">
        <v>45035</v>
      </c>
      <c r="C259" s="28">
        <v>45035</v>
      </c>
      <c r="D259" s="28" t="str">
        <f t="shared" ref="D259:D322" si="66">"Q"&amp;ROUNDUP(MONTH(B259)/3,0)&amp;"-"&amp;YEAR(B259)</f>
        <v>Q2-2023</v>
      </c>
      <c r="E259" s="4">
        <v>45053</v>
      </c>
      <c r="F259" s="4">
        <v>45053</v>
      </c>
      <c r="G259" s="17">
        <f t="shared" ref="G259:G322" si="67">E259-B259</f>
        <v>18</v>
      </c>
      <c r="H259" s="17">
        <f t="shared" ref="H259:H322" si="68">F259-B259</f>
        <v>18</v>
      </c>
      <c r="I259" t="str">
        <f t="shared" ref="I259:I322" si="69">IF(H259&lt;=7, "Yes", "No")</f>
        <v>No</v>
      </c>
      <c r="J259" s="2">
        <f t="shared" ref="J259:J322" si="70">_xlfn.MINIFS($B$2:$B$633, $L$2:$L$633, L259)</f>
        <v>44945</v>
      </c>
      <c r="K259" t="s">
        <v>649</v>
      </c>
      <c r="L259" t="s">
        <v>658</v>
      </c>
      <c r="M259" t="s">
        <v>683</v>
      </c>
      <c r="N259" t="str">
        <f t="shared" ref="N259:N322" si="71">_xlfn.TEXTJOIN(" - ", TRUE, K259:M259)</f>
        <v>Europe - United Kingdom - London</v>
      </c>
      <c r="O259" t="s">
        <v>703</v>
      </c>
      <c r="P259" t="s">
        <v>711</v>
      </c>
      <c r="Q259" t="s">
        <v>722</v>
      </c>
      <c r="R259" t="s">
        <v>729</v>
      </c>
      <c r="S259" t="s">
        <v>991</v>
      </c>
      <c r="T259" s="6">
        <v>516.96</v>
      </c>
      <c r="U259" s="8">
        <v>745.38</v>
      </c>
      <c r="V259" s="8">
        <f t="shared" ref="V259:V322" si="72">ABS(U259)</f>
        <v>745.38</v>
      </c>
      <c r="W259" s="8" t="str">
        <f t="shared" ref="W259:W322" si="73">IF(V259 &lt;= _xlfn.PERCENTILE.INC($V$2:$V$633, 0.33), "Low", IF(V259 &lt;= _xlfn.PERCENTILE.INC($V$2:$V$633, 0.67), "Medium", "High"))</f>
        <v>Low</v>
      </c>
      <c r="X259" s="15">
        <v>0.19700000000000001</v>
      </c>
      <c r="Y259" s="15">
        <f t="shared" ref="Y259:Y322" si="74">IF(X259&gt;30%,AVERAGEIF($X$2:$X$633,"&lt;30%"),X259)</f>
        <v>0.19700000000000001</v>
      </c>
      <c r="Z259" t="str">
        <f t="shared" ref="Z259:Z322" si="75">IF(Y259&gt;0.2, "Yes", "No")</f>
        <v>No</v>
      </c>
      <c r="AA259" s="17">
        <v>4</v>
      </c>
      <c r="AB259" s="8">
        <f t="shared" ref="AB259:AB322" si="76">U259*AA259*(1-Y259)</f>
        <v>2394.1605599999998</v>
      </c>
      <c r="AC259" s="8">
        <f t="shared" ref="AC259:AC322" si="77">T259*AA259</f>
        <v>2067.84</v>
      </c>
      <c r="AD259" s="8">
        <f t="shared" ref="AD259:AD322" si="78">AB259-AC259</f>
        <v>326.32055999999966</v>
      </c>
      <c r="AE259" s="15">
        <f t="shared" ref="AE259:AE322" si="79" xml:space="preserve"> IF(AB259=0, 0, AD259 / AB259)</f>
        <v>0.13629852794835101</v>
      </c>
      <c r="AF259" s="34">
        <f>MIN(Y259,'Scenario Modeling'!$B$2)</f>
        <v>0.19700000000000001</v>
      </c>
      <c r="AG259">
        <f>ROUND(AA259 * (1 + 'Scenario Modeling'!$B$4), 0)</f>
        <v>4</v>
      </c>
      <c r="AH259">
        <f>T259 * (1 + 'Scenario Modeling'!$B$3)</f>
        <v>516.96</v>
      </c>
      <c r="AI259" s="8">
        <f t="shared" ref="AI259:AI322" si="80">V259 * AG259 * (1 - AF259)</f>
        <v>2394.1605599999998</v>
      </c>
      <c r="AJ259" s="8">
        <f t="shared" ref="AJ259:AJ322" si="81">AI259 - (AH259 * AG259)</f>
        <v>326.32055999999966</v>
      </c>
    </row>
    <row r="260" spans="1:36">
      <c r="A260" t="s">
        <v>272</v>
      </c>
      <c r="B260" s="4">
        <v>45835</v>
      </c>
      <c r="C260" s="28">
        <v>45835</v>
      </c>
      <c r="D260" s="28" t="str">
        <f t="shared" si="66"/>
        <v>Q2-2025</v>
      </c>
      <c r="E260" s="4">
        <v>45843</v>
      </c>
      <c r="F260" s="4">
        <v>45843</v>
      </c>
      <c r="G260" s="17">
        <f t="shared" si="67"/>
        <v>8</v>
      </c>
      <c r="H260" s="17">
        <f t="shared" si="68"/>
        <v>8</v>
      </c>
      <c r="I260" t="str">
        <f t="shared" si="69"/>
        <v>No</v>
      </c>
      <c r="J260" s="2">
        <f t="shared" si="70"/>
        <v>44948</v>
      </c>
      <c r="K260" t="s">
        <v>649</v>
      </c>
      <c r="L260" t="s">
        <v>656</v>
      </c>
      <c r="M260" t="s">
        <v>684</v>
      </c>
      <c r="N260" t="str">
        <f t="shared" si="71"/>
        <v>Europe - Germany - Munich</v>
      </c>
      <c r="O260" t="s">
        <v>705</v>
      </c>
      <c r="P260" t="s">
        <v>711</v>
      </c>
      <c r="Q260" t="s">
        <v>715</v>
      </c>
      <c r="R260" t="s">
        <v>732</v>
      </c>
      <c r="S260" t="s">
        <v>992</v>
      </c>
      <c r="T260" s="6">
        <v>314.93</v>
      </c>
      <c r="U260" s="8">
        <v>687.95</v>
      </c>
      <c r="V260" s="8">
        <f t="shared" si="72"/>
        <v>687.95</v>
      </c>
      <c r="W260" s="8" t="str">
        <f t="shared" si="73"/>
        <v>Low</v>
      </c>
      <c r="X260" s="15">
        <v>0.20499999999999999</v>
      </c>
      <c r="Y260" s="15">
        <f t="shared" si="74"/>
        <v>0.20499999999999999</v>
      </c>
      <c r="Z260" t="str">
        <f t="shared" si="75"/>
        <v>Yes</v>
      </c>
      <c r="AA260" s="17">
        <v>8</v>
      </c>
      <c r="AB260" s="8">
        <f t="shared" si="76"/>
        <v>4375.3620000000001</v>
      </c>
      <c r="AC260" s="8">
        <f t="shared" si="77"/>
        <v>2519.44</v>
      </c>
      <c r="AD260" s="8">
        <f t="shared" si="78"/>
        <v>1855.922</v>
      </c>
      <c r="AE260" s="15">
        <f t="shared" si="79"/>
        <v>0.424175645352316</v>
      </c>
      <c r="AF260" s="34">
        <f>MIN(Y260,'Scenario Modeling'!$B$2)</f>
        <v>0.20499999999999999</v>
      </c>
      <c r="AG260">
        <f>ROUND(AA260 * (1 + 'Scenario Modeling'!$B$4), 0)</f>
        <v>8</v>
      </c>
      <c r="AH260">
        <f>T260 * (1 + 'Scenario Modeling'!$B$3)</f>
        <v>314.93</v>
      </c>
      <c r="AI260" s="8">
        <f t="shared" si="80"/>
        <v>4375.3620000000001</v>
      </c>
      <c r="AJ260" s="8">
        <f t="shared" si="81"/>
        <v>1855.922</v>
      </c>
    </row>
    <row r="261" spans="1:36">
      <c r="A261" t="s">
        <v>273</v>
      </c>
      <c r="B261" s="4">
        <v>45210</v>
      </c>
      <c r="C261" s="28">
        <v>45210</v>
      </c>
      <c r="D261" s="28" t="str">
        <f t="shared" si="66"/>
        <v>Q4-2023</v>
      </c>
      <c r="E261" s="4">
        <v>45212</v>
      </c>
      <c r="F261" s="4">
        <v>45212</v>
      </c>
      <c r="G261" s="17">
        <f t="shared" si="67"/>
        <v>2</v>
      </c>
      <c r="H261" s="17">
        <f t="shared" si="68"/>
        <v>2</v>
      </c>
      <c r="I261" t="str">
        <f t="shared" si="69"/>
        <v>Yes</v>
      </c>
      <c r="J261" s="2">
        <f t="shared" si="70"/>
        <v>44955</v>
      </c>
      <c r="K261" t="s">
        <v>648</v>
      </c>
      <c r="L261" t="s">
        <v>655</v>
      </c>
      <c r="M261" t="s">
        <v>672</v>
      </c>
      <c r="N261" t="str">
        <f t="shared" si="71"/>
        <v>Americas - Brazil - Brasília</v>
      </c>
      <c r="O261" t="s">
        <v>704</v>
      </c>
      <c r="P261" t="s">
        <v>710</v>
      </c>
      <c r="Q261" t="s">
        <v>721</v>
      </c>
      <c r="R261" t="s">
        <v>733</v>
      </c>
      <c r="S261" t="s">
        <v>993</v>
      </c>
      <c r="T261" s="6">
        <v>715.94</v>
      </c>
      <c r="U261" s="8">
        <v>550.07000000000005</v>
      </c>
      <c r="V261" s="8">
        <f t="shared" si="72"/>
        <v>550.07000000000005</v>
      </c>
      <c r="W261" s="8" t="str">
        <f t="shared" si="73"/>
        <v>Low</v>
      </c>
      <c r="X261" s="15">
        <v>0.14000000000000001</v>
      </c>
      <c r="Y261" s="15">
        <f t="shared" si="74"/>
        <v>0.14000000000000001</v>
      </c>
      <c r="Z261" t="str">
        <f t="shared" si="75"/>
        <v>No</v>
      </c>
      <c r="AA261" s="17">
        <v>16</v>
      </c>
      <c r="AB261" s="8">
        <f t="shared" si="76"/>
        <v>7568.9632000000001</v>
      </c>
      <c r="AC261" s="8">
        <f t="shared" si="77"/>
        <v>11455.04</v>
      </c>
      <c r="AD261" s="8">
        <f t="shared" si="78"/>
        <v>-3886.0768000000007</v>
      </c>
      <c r="AE261" s="15">
        <f t="shared" si="79"/>
        <v>-0.51342260456491595</v>
      </c>
      <c r="AF261" s="34">
        <f>MIN(Y261,'Scenario Modeling'!$B$2)</f>
        <v>0.14000000000000001</v>
      </c>
      <c r="AG261">
        <f>ROUND(AA261 * (1 + 'Scenario Modeling'!$B$4), 0)</f>
        <v>16</v>
      </c>
      <c r="AH261">
        <f>T261 * (1 + 'Scenario Modeling'!$B$3)</f>
        <v>715.94</v>
      </c>
      <c r="AI261" s="8">
        <f t="shared" si="80"/>
        <v>7568.9632000000001</v>
      </c>
      <c r="AJ261" s="8">
        <f t="shared" si="81"/>
        <v>-3886.0768000000007</v>
      </c>
    </row>
    <row r="262" spans="1:36">
      <c r="A262" t="s">
        <v>274</v>
      </c>
      <c r="B262" s="4">
        <v>45066</v>
      </c>
      <c r="C262" s="28">
        <v>45066</v>
      </c>
      <c r="D262" s="28" t="str">
        <f t="shared" si="66"/>
        <v>Q2-2023</v>
      </c>
      <c r="E262" s="4">
        <v>45084</v>
      </c>
      <c r="F262" s="4">
        <v>45084</v>
      </c>
      <c r="G262" s="17">
        <f t="shared" si="67"/>
        <v>18</v>
      </c>
      <c r="H262" s="17">
        <f t="shared" si="68"/>
        <v>18</v>
      </c>
      <c r="I262" t="str">
        <f t="shared" si="69"/>
        <v>No</v>
      </c>
      <c r="J262" s="2">
        <f t="shared" si="70"/>
        <v>44941</v>
      </c>
      <c r="K262" t="s">
        <v>646</v>
      </c>
      <c r="L262" t="s">
        <v>651</v>
      </c>
      <c r="M262" t="s">
        <v>663</v>
      </c>
      <c r="N262" t="str">
        <f t="shared" si="71"/>
        <v>Africa - Nigeria - Port Harcourt</v>
      </c>
      <c r="O262" t="s">
        <v>706</v>
      </c>
      <c r="P262" t="s">
        <v>710</v>
      </c>
      <c r="Q262" t="s">
        <v>718</v>
      </c>
      <c r="R262" t="s">
        <v>727</v>
      </c>
      <c r="S262" t="s">
        <v>994</v>
      </c>
      <c r="T262" s="6">
        <v>1120.06</v>
      </c>
      <c r="U262" s="8">
        <v>2068.21</v>
      </c>
      <c r="V262" s="8">
        <f t="shared" si="72"/>
        <v>2068.21</v>
      </c>
      <c r="W262" s="8" t="str">
        <f t="shared" si="73"/>
        <v>High</v>
      </c>
      <c r="X262" s="15">
        <v>7.8E-2</v>
      </c>
      <c r="Y262" s="15">
        <f t="shared" si="74"/>
        <v>7.8E-2</v>
      </c>
      <c r="Z262" t="str">
        <f t="shared" si="75"/>
        <v>No</v>
      </c>
      <c r="AA262" s="17">
        <v>12</v>
      </c>
      <c r="AB262" s="8">
        <f t="shared" si="76"/>
        <v>22882.675440000003</v>
      </c>
      <c r="AC262" s="8">
        <f t="shared" si="77"/>
        <v>13440.72</v>
      </c>
      <c r="AD262" s="8">
        <f t="shared" si="78"/>
        <v>9441.9554400000034</v>
      </c>
      <c r="AE262" s="15">
        <f t="shared" si="79"/>
        <v>0.41262462795303284</v>
      </c>
      <c r="AF262" s="34">
        <f>MIN(Y262,'Scenario Modeling'!$B$2)</f>
        <v>7.8E-2</v>
      </c>
      <c r="AG262">
        <f>ROUND(AA262 * (1 + 'Scenario Modeling'!$B$4), 0)</f>
        <v>12</v>
      </c>
      <c r="AH262">
        <f>T262 * (1 + 'Scenario Modeling'!$B$3)</f>
        <v>1120.06</v>
      </c>
      <c r="AI262" s="8">
        <f t="shared" si="80"/>
        <v>22882.675440000003</v>
      </c>
      <c r="AJ262" s="8">
        <f t="shared" si="81"/>
        <v>9441.9554400000034</v>
      </c>
    </row>
    <row r="263" spans="1:36">
      <c r="A263" t="s">
        <v>275</v>
      </c>
      <c r="B263" s="4">
        <v>45073</v>
      </c>
      <c r="C263" s="28">
        <v>45073</v>
      </c>
      <c r="D263" s="28" t="str">
        <f t="shared" si="66"/>
        <v>Q2-2023</v>
      </c>
      <c r="E263" s="4">
        <v>45096</v>
      </c>
      <c r="F263" s="4">
        <v>45096</v>
      </c>
      <c r="G263" s="17">
        <f t="shared" si="67"/>
        <v>23</v>
      </c>
      <c r="H263" s="17">
        <f t="shared" si="68"/>
        <v>23</v>
      </c>
      <c r="I263" t="str">
        <f t="shared" si="69"/>
        <v>No</v>
      </c>
      <c r="J263" s="2">
        <f t="shared" si="70"/>
        <v>44948</v>
      </c>
      <c r="K263" t="s">
        <v>649</v>
      </c>
      <c r="L263" t="s">
        <v>656</v>
      </c>
      <c r="M263" t="s">
        <v>671</v>
      </c>
      <c r="N263" t="str">
        <f t="shared" si="71"/>
        <v>Europe - Germany - Berlin</v>
      </c>
      <c r="O263" t="s">
        <v>702</v>
      </c>
      <c r="P263" t="s">
        <v>707</v>
      </c>
      <c r="Q263" t="s">
        <v>719</v>
      </c>
      <c r="R263" t="s">
        <v>733</v>
      </c>
      <c r="S263" t="s">
        <v>995</v>
      </c>
      <c r="T263" s="6">
        <v>1471.58</v>
      </c>
      <c r="U263" s="8">
        <v>2576.65</v>
      </c>
      <c r="V263" s="8">
        <f t="shared" si="72"/>
        <v>2576.65</v>
      </c>
      <c r="W263" s="8" t="str">
        <f t="shared" si="73"/>
        <v>High</v>
      </c>
      <c r="X263" s="15">
        <v>4.0000000000000001E-3</v>
      </c>
      <c r="Y263" s="15">
        <f t="shared" si="74"/>
        <v>4.0000000000000001E-3</v>
      </c>
      <c r="Z263" t="str">
        <f t="shared" si="75"/>
        <v>No</v>
      </c>
      <c r="AA263" s="17">
        <v>7</v>
      </c>
      <c r="AB263" s="8">
        <f t="shared" si="76"/>
        <v>17964.4038</v>
      </c>
      <c r="AC263" s="8">
        <f t="shared" si="77"/>
        <v>10301.06</v>
      </c>
      <c r="AD263" s="8">
        <f t="shared" si="78"/>
        <v>7663.3438000000006</v>
      </c>
      <c r="AE263" s="15">
        <f t="shared" si="79"/>
        <v>0.4265849223451546</v>
      </c>
      <c r="AF263" s="34">
        <f>MIN(Y263,'Scenario Modeling'!$B$2)</f>
        <v>4.0000000000000001E-3</v>
      </c>
      <c r="AG263">
        <f>ROUND(AA263 * (1 + 'Scenario Modeling'!$B$4), 0)</f>
        <v>7</v>
      </c>
      <c r="AH263">
        <f>T263 * (1 + 'Scenario Modeling'!$B$3)</f>
        <v>1471.58</v>
      </c>
      <c r="AI263" s="8">
        <f t="shared" si="80"/>
        <v>17964.4038</v>
      </c>
      <c r="AJ263" s="8">
        <f t="shared" si="81"/>
        <v>7663.3438000000006</v>
      </c>
    </row>
    <row r="264" spans="1:36">
      <c r="A264" t="s">
        <v>276</v>
      </c>
      <c r="B264" s="4">
        <v>45142</v>
      </c>
      <c r="C264" s="28">
        <v>45142</v>
      </c>
      <c r="D264" s="28" t="str">
        <f t="shared" si="66"/>
        <v>Q3-2023</v>
      </c>
      <c r="E264" s="4">
        <v>45162</v>
      </c>
      <c r="F264" s="4">
        <v>45162</v>
      </c>
      <c r="G264" s="17">
        <f t="shared" si="67"/>
        <v>20</v>
      </c>
      <c r="H264" s="17">
        <f t="shared" si="68"/>
        <v>20</v>
      </c>
      <c r="I264" t="str">
        <f t="shared" si="69"/>
        <v>No</v>
      </c>
      <c r="J264" s="2">
        <f t="shared" si="70"/>
        <v>44955</v>
      </c>
      <c r="K264" t="s">
        <v>648</v>
      </c>
      <c r="L264" t="s">
        <v>655</v>
      </c>
      <c r="M264" t="s">
        <v>672</v>
      </c>
      <c r="N264" t="str">
        <f t="shared" si="71"/>
        <v>Americas - Brazil - Brasília</v>
      </c>
      <c r="O264" t="s">
        <v>703</v>
      </c>
      <c r="P264" t="s">
        <v>711</v>
      </c>
      <c r="Q264" t="s">
        <v>721</v>
      </c>
      <c r="R264" t="s">
        <v>729</v>
      </c>
      <c r="S264" t="s">
        <v>996</v>
      </c>
      <c r="T264" s="6">
        <v>582.88</v>
      </c>
      <c r="U264" s="8">
        <v>1044.1400000000001</v>
      </c>
      <c r="V264" s="8">
        <f t="shared" si="72"/>
        <v>1044.1400000000001</v>
      </c>
      <c r="W264" s="8" t="str">
        <f t="shared" si="73"/>
        <v>Medium</v>
      </c>
      <c r="X264" s="15">
        <v>0.216</v>
      </c>
      <c r="Y264" s="15">
        <f t="shared" si="74"/>
        <v>0.216</v>
      </c>
      <c r="Z264" t="str">
        <f t="shared" si="75"/>
        <v>Yes</v>
      </c>
      <c r="AA264" s="17">
        <v>10</v>
      </c>
      <c r="AB264" s="8">
        <f t="shared" si="76"/>
        <v>8186.057600000001</v>
      </c>
      <c r="AC264" s="8">
        <f t="shared" si="77"/>
        <v>5828.8</v>
      </c>
      <c r="AD264" s="8">
        <f t="shared" si="78"/>
        <v>2357.2576000000008</v>
      </c>
      <c r="AE264" s="15">
        <f t="shared" si="79"/>
        <v>0.28796005539956138</v>
      </c>
      <c r="AF264" s="34">
        <f>MIN(Y264,'Scenario Modeling'!$B$2)</f>
        <v>0.216</v>
      </c>
      <c r="AG264">
        <f>ROUND(AA264 * (1 + 'Scenario Modeling'!$B$4), 0)</f>
        <v>10</v>
      </c>
      <c r="AH264">
        <f>T264 * (1 + 'Scenario Modeling'!$B$3)</f>
        <v>582.88</v>
      </c>
      <c r="AI264" s="8">
        <f t="shared" si="80"/>
        <v>8186.057600000001</v>
      </c>
      <c r="AJ264" s="8">
        <f t="shared" si="81"/>
        <v>2357.2576000000008</v>
      </c>
    </row>
    <row r="265" spans="1:36">
      <c r="A265" t="s">
        <v>277</v>
      </c>
      <c r="B265" s="4">
        <v>45829</v>
      </c>
      <c r="C265" s="28">
        <v>45829</v>
      </c>
      <c r="D265" s="28" t="str">
        <f t="shared" si="66"/>
        <v>Q2-2025</v>
      </c>
      <c r="E265" s="4">
        <v>45835</v>
      </c>
      <c r="F265" s="4">
        <v>45835</v>
      </c>
      <c r="G265" s="17">
        <f t="shared" si="67"/>
        <v>6</v>
      </c>
      <c r="H265" s="17">
        <f t="shared" si="68"/>
        <v>6</v>
      </c>
      <c r="I265" t="str">
        <f t="shared" si="69"/>
        <v>Yes</v>
      </c>
      <c r="J265" s="2">
        <f t="shared" si="70"/>
        <v>44933</v>
      </c>
      <c r="K265" t="s">
        <v>646</v>
      </c>
      <c r="L265" t="s">
        <v>661</v>
      </c>
      <c r="M265" t="s">
        <v>687</v>
      </c>
      <c r="N265" t="str">
        <f t="shared" si="71"/>
        <v>Africa - South Africa - Durban</v>
      </c>
      <c r="O265" t="s">
        <v>706</v>
      </c>
      <c r="P265" t="s">
        <v>710</v>
      </c>
      <c r="Q265" t="s">
        <v>725</v>
      </c>
      <c r="R265" t="s">
        <v>730</v>
      </c>
      <c r="S265" t="s">
        <v>997</v>
      </c>
      <c r="T265" s="6">
        <v>93.91</v>
      </c>
      <c r="U265" s="8">
        <v>99.04</v>
      </c>
      <c r="V265" s="8">
        <f t="shared" si="72"/>
        <v>99.04</v>
      </c>
      <c r="W265" s="8" t="str">
        <f t="shared" si="73"/>
        <v>Low</v>
      </c>
      <c r="X265" s="15">
        <v>5.7000000000000002E-2</v>
      </c>
      <c r="Y265" s="15">
        <f t="shared" si="74"/>
        <v>5.7000000000000002E-2</v>
      </c>
      <c r="Z265" t="str">
        <f t="shared" si="75"/>
        <v>No</v>
      </c>
      <c r="AA265" s="17">
        <v>6</v>
      </c>
      <c r="AB265" s="8">
        <f t="shared" si="76"/>
        <v>560.36831999999993</v>
      </c>
      <c r="AC265" s="8">
        <f t="shared" si="77"/>
        <v>563.46</v>
      </c>
      <c r="AD265" s="8">
        <f t="shared" si="78"/>
        <v>-3.0916800000001103</v>
      </c>
      <c r="AE265" s="15">
        <f t="shared" si="79"/>
        <v>-5.5172283829323376E-3</v>
      </c>
      <c r="AF265" s="34">
        <f>MIN(Y265,'Scenario Modeling'!$B$2)</f>
        <v>5.7000000000000002E-2</v>
      </c>
      <c r="AG265">
        <f>ROUND(AA265 * (1 + 'Scenario Modeling'!$B$4), 0)</f>
        <v>6</v>
      </c>
      <c r="AH265">
        <f>T265 * (1 + 'Scenario Modeling'!$B$3)</f>
        <v>93.91</v>
      </c>
      <c r="AI265" s="8">
        <f t="shared" si="80"/>
        <v>560.36831999999993</v>
      </c>
      <c r="AJ265" s="8">
        <f t="shared" si="81"/>
        <v>-3.0916800000001103</v>
      </c>
    </row>
    <row r="266" spans="1:36">
      <c r="A266" t="s">
        <v>278</v>
      </c>
      <c r="B266" s="4">
        <v>45763</v>
      </c>
      <c r="C266" s="28">
        <v>45763</v>
      </c>
      <c r="D266" s="28" t="str">
        <f t="shared" si="66"/>
        <v>Q2-2025</v>
      </c>
      <c r="E266" s="4">
        <v>45773</v>
      </c>
      <c r="F266" s="4">
        <v>45773</v>
      </c>
      <c r="G266" s="17">
        <f t="shared" si="67"/>
        <v>10</v>
      </c>
      <c r="H266" s="17">
        <f t="shared" si="68"/>
        <v>10</v>
      </c>
      <c r="I266" t="str">
        <f t="shared" si="69"/>
        <v>No</v>
      </c>
      <c r="J266" s="2">
        <f t="shared" si="70"/>
        <v>44941</v>
      </c>
      <c r="K266" t="s">
        <v>646</v>
      </c>
      <c r="L266" t="s">
        <v>651</v>
      </c>
      <c r="M266" t="s">
        <v>663</v>
      </c>
      <c r="N266" t="str">
        <f t="shared" si="71"/>
        <v>Africa - Nigeria - Port Harcourt</v>
      </c>
      <c r="O266" t="s">
        <v>706</v>
      </c>
      <c r="P266" t="s">
        <v>709</v>
      </c>
      <c r="Q266" t="s">
        <v>721</v>
      </c>
      <c r="R266" t="s">
        <v>731</v>
      </c>
      <c r="S266" t="s">
        <v>998</v>
      </c>
      <c r="T266" s="6">
        <v>1457.44</v>
      </c>
      <c r="U266" s="8">
        <v>1996.81</v>
      </c>
      <c r="V266" s="8">
        <f t="shared" si="72"/>
        <v>1996.81</v>
      </c>
      <c r="W266" s="8" t="str">
        <f t="shared" si="73"/>
        <v>High</v>
      </c>
      <c r="X266" s="15">
        <v>0.126</v>
      </c>
      <c r="Y266" s="15">
        <f t="shared" si="74"/>
        <v>0.126</v>
      </c>
      <c r="Z266" t="str">
        <f t="shared" si="75"/>
        <v>No</v>
      </c>
      <c r="AA266" s="17">
        <v>23</v>
      </c>
      <c r="AB266" s="8">
        <f t="shared" si="76"/>
        <v>40139.874619999995</v>
      </c>
      <c r="AC266" s="8">
        <f t="shared" si="77"/>
        <v>33521.120000000003</v>
      </c>
      <c r="AD266" s="8">
        <f t="shared" si="78"/>
        <v>6618.7546199999924</v>
      </c>
      <c r="AE266" s="15">
        <f t="shared" si="79"/>
        <v>0.16489225944672353</v>
      </c>
      <c r="AF266" s="34">
        <f>MIN(Y266,'Scenario Modeling'!$B$2)</f>
        <v>0.126</v>
      </c>
      <c r="AG266">
        <f>ROUND(AA266 * (1 + 'Scenario Modeling'!$B$4), 0)</f>
        <v>23</v>
      </c>
      <c r="AH266">
        <f>T266 * (1 + 'Scenario Modeling'!$B$3)</f>
        <v>1457.44</v>
      </c>
      <c r="AI266" s="8">
        <f t="shared" si="80"/>
        <v>40139.874619999995</v>
      </c>
      <c r="AJ266" s="8">
        <f t="shared" si="81"/>
        <v>6618.7546199999924</v>
      </c>
    </row>
    <row r="267" spans="1:36">
      <c r="A267" t="s">
        <v>279</v>
      </c>
      <c r="B267" s="4">
        <v>45902</v>
      </c>
      <c r="C267" s="28">
        <v>45902</v>
      </c>
      <c r="D267" s="28" t="str">
        <f t="shared" si="66"/>
        <v>Q3-2025</v>
      </c>
      <c r="E267" s="4">
        <v>45911</v>
      </c>
      <c r="F267" s="4">
        <v>45911</v>
      </c>
      <c r="G267" s="17">
        <f t="shared" si="67"/>
        <v>9</v>
      </c>
      <c r="H267" s="17">
        <f t="shared" si="68"/>
        <v>9</v>
      </c>
      <c r="I267" t="str">
        <f t="shared" si="69"/>
        <v>No</v>
      </c>
      <c r="J267" s="2">
        <f t="shared" si="70"/>
        <v>44928</v>
      </c>
      <c r="K267" t="s">
        <v>648</v>
      </c>
      <c r="L267" t="s">
        <v>653</v>
      </c>
      <c r="M267" t="s">
        <v>667</v>
      </c>
      <c r="N267" t="str">
        <f t="shared" si="71"/>
        <v>Americas - Canada - Toronto</v>
      </c>
      <c r="O267" t="s">
        <v>701</v>
      </c>
      <c r="P267" t="s">
        <v>710</v>
      </c>
      <c r="Q267" t="s">
        <v>724</v>
      </c>
      <c r="R267" t="s">
        <v>728</v>
      </c>
      <c r="S267" t="s">
        <v>999</v>
      </c>
      <c r="T267" s="6">
        <v>1207.6300000000001</v>
      </c>
      <c r="U267" s="8">
        <v>921.68</v>
      </c>
      <c r="V267" s="8">
        <f t="shared" si="72"/>
        <v>921.68</v>
      </c>
      <c r="W267" s="8" t="str">
        <f t="shared" si="73"/>
        <v>Medium</v>
      </c>
      <c r="X267" s="15">
        <v>0.19600000000000001</v>
      </c>
      <c r="Y267" s="15">
        <f t="shared" si="74"/>
        <v>0.19600000000000001</v>
      </c>
      <c r="Z267" t="str">
        <f t="shared" si="75"/>
        <v>No</v>
      </c>
      <c r="AA267" s="17">
        <v>17</v>
      </c>
      <c r="AB267" s="8">
        <f t="shared" si="76"/>
        <v>12597.52224</v>
      </c>
      <c r="AC267" s="8">
        <f t="shared" si="77"/>
        <v>20529.710000000003</v>
      </c>
      <c r="AD267" s="8">
        <f t="shared" si="78"/>
        <v>-7932.1877600000025</v>
      </c>
      <c r="AE267" s="15">
        <f t="shared" si="79"/>
        <v>-0.62966253274897988</v>
      </c>
      <c r="AF267" s="34">
        <f>MIN(Y267,'Scenario Modeling'!$B$2)</f>
        <v>0.19600000000000001</v>
      </c>
      <c r="AG267">
        <f>ROUND(AA267 * (1 + 'Scenario Modeling'!$B$4), 0)</f>
        <v>17</v>
      </c>
      <c r="AH267">
        <f>T267 * (1 + 'Scenario Modeling'!$B$3)</f>
        <v>1207.6300000000001</v>
      </c>
      <c r="AI267" s="8">
        <f t="shared" si="80"/>
        <v>12597.52224</v>
      </c>
      <c r="AJ267" s="8">
        <f t="shared" si="81"/>
        <v>-7932.1877600000025</v>
      </c>
    </row>
    <row r="268" spans="1:36">
      <c r="A268" t="s">
        <v>280</v>
      </c>
      <c r="B268" s="4">
        <v>45573</v>
      </c>
      <c r="C268" s="28">
        <v>45573</v>
      </c>
      <c r="D268" s="28" t="str">
        <f t="shared" si="66"/>
        <v>Q4-2024</v>
      </c>
      <c r="E268" s="4">
        <v>45573</v>
      </c>
      <c r="F268" s="4">
        <v>45573</v>
      </c>
      <c r="G268" s="17">
        <f t="shared" si="67"/>
        <v>0</v>
      </c>
      <c r="H268" s="17">
        <f t="shared" si="68"/>
        <v>0</v>
      </c>
      <c r="I268" t="str">
        <f t="shared" si="69"/>
        <v>Yes</v>
      </c>
      <c r="J268" s="2">
        <f t="shared" si="70"/>
        <v>44945</v>
      </c>
      <c r="K268" t="s">
        <v>649</v>
      </c>
      <c r="L268" t="s">
        <v>658</v>
      </c>
      <c r="M268" t="s">
        <v>683</v>
      </c>
      <c r="N268" t="str">
        <f t="shared" si="71"/>
        <v>Europe - United Kingdom - London</v>
      </c>
      <c r="O268" t="s">
        <v>701</v>
      </c>
      <c r="P268" t="s">
        <v>708</v>
      </c>
      <c r="Q268" t="s">
        <v>718</v>
      </c>
      <c r="R268" t="s">
        <v>732</v>
      </c>
      <c r="S268" t="s">
        <v>1000</v>
      </c>
      <c r="T268" s="6">
        <v>1108.1099999999999</v>
      </c>
      <c r="U268" s="8">
        <v>2503.79</v>
      </c>
      <c r="V268" s="8">
        <f t="shared" si="72"/>
        <v>2503.79</v>
      </c>
      <c r="W268" s="8" t="str">
        <f t="shared" si="73"/>
        <v>High</v>
      </c>
      <c r="X268" s="15">
        <v>0.184</v>
      </c>
      <c r="Y268" s="15">
        <f t="shared" si="74"/>
        <v>0.184</v>
      </c>
      <c r="Z268" t="str">
        <f t="shared" si="75"/>
        <v>No</v>
      </c>
      <c r="AA268" s="17">
        <v>19</v>
      </c>
      <c r="AB268" s="8">
        <f t="shared" si="76"/>
        <v>38818.760160000005</v>
      </c>
      <c r="AC268" s="8">
        <f t="shared" si="77"/>
        <v>21054.089999999997</v>
      </c>
      <c r="AD268" s="8">
        <f t="shared" si="78"/>
        <v>17764.670160000009</v>
      </c>
      <c r="AE268" s="15">
        <f t="shared" si="79"/>
        <v>0.45763105485025896</v>
      </c>
      <c r="AF268" s="34">
        <f>MIN(Y268,'Scenario Modeling'!$B$2)</f>
        <v>0.184</v>
      </c>
      <c r="AG268">
        <f>ROUND(AA268 * (1 + 'Scenario Modeling'!$B$4), 0)</f>
        <v>19</v>
      </c>
      <c r="AH268">
        <f>T268 * (1 + 'Scenario Modeling'!$B$3)</f>
        <v>1108.1099999999999</v>
      </c>
      <c r="AI268" s="8">
        <f t="shared" si="80"/>
        <v>38818.760160000005</v>
      </c>
      <c r="AJ268" s="8">
        <f t="shared" si="81"/>
        <v>17764.670160000009</v>
      </c>
    </row>
    <row r="269" spans="1:36">
      <c r="A269" t="s">
        <v>281</v>
      </c>
      <c r="B269" s="4">
        <v>45053</v>
      </c>
      <c r="C269" s="28">
        <v>45053</v>
      </c>
      <c r="D269" s="28" t="str">
        <f t="shared" si="66"/>
        <v>Q2-2023</v>
      </c>
      <c r="E269" s="4">
        <v>45051</v>
      </c>
      <c r="F269" s="4">
        <f>B269+12</f>
        <v>45065</v>
      </c>
      <c r="G269" s="17">
        <f t="shared" si="67"/>
        <v>-2</v>
      </c>
      <c r="H269" s="17">
        <f t="shared" si="68"/>
        <v>12</v>
      </c>
      <c r="I269" t="str">
        <f t="shared" si="69"/>
        <v>No</v>
      </c>
      <c r="J269" s="2">
        <f t="shared" si="70"/>
        <v>44941</v>
      </c>
      <c r="K269" t="s">
        <v>646</v>
      </c>
      <c r="L269" t="s">
        <v>651</v>
      </c>
      <c r="M269" t="s">
        <v>663</v>
      </c>
      <c r="N269" t="str">
        <f t="shared" si="71"/>
        <v>Africa - Nigeria - Port Harcourt</v>
      </c>
      <c r="O269" t="s">
        <v>703</v>
      </c>
      <c r="P269" t="s">
        <v>709</v>
      </c>
      <c r="Q269" t="s">
        <v>720</v>
      </c>
      <c r="R269" t="s">
        <v>727</v>
      </c>
      <c r="S269" t="s">
        <v>1001</v>
      </c>
      <c r="T269" s="6">
        <v>1269.6500000000001</v>
      </c>
      <c r="U269" s="8">
        <v>2462.77</v>
      </c>
      <c r="V269" s="8">
        <f t="shared" si="72"/>
        <v>2462.77</v>
      </c>
      <c r="W269" s="8" t="str">
        <f t="shared" si="73"/>
        <v>High</v>
      </c>
      <c r="X269" s="15">
        <v>0.107</v>
      </c>
      <c r="Y269" s="15">
        <f t="shared" si="74"/>
        <v>0.107</v>
      </c>
      <c r="Z269" t="str">
        <f t="shared" si="75"/>
        <v>No</v>
      </c>
      <c r="AA269" s="17">
        <v>8</v>
      </c>
      <c r="AB269" s="8">
        <f t="shared" si="76"/>
        <v>17594.028880000002</v>
      </c>
      <c r="AC269" s="8">
        <f t="shared" si="77"/>
        <v>10157.200000000001</v>
      </c>
      <c r="AD269" s="8">
        <f t="shared" si="78"/>
        <v>7436.8288800000009</v>
      </c>
      <c r="AE269" s="15">
        <f t="shared" si="79"/>
        <v>0.42269050089225502</v>
      </c>
      <c r="AF269" s="34">
        <f>MIN(Y269,'Scenario Modeling'!$B$2)</f>
        <v>0.107</v>
      </c>
      <c r="AG269">
        <f>ROUND(AA269 * (1 + 'Scenario Modeling'!$B$4), 0)</f>
        <v>8</v>
      </c>
      <c r="AH269">
        <f>T269 * (1 + 'Scenario Modeling'!$B$3)</f>
        <v>1269.6500000000001</v>
      </c>
      <c r="AI269" s="8">
        <f t="shared" si="80"/>
        <v>17594.028880000002</v>
      </c>
      <c r="AJ269" s="8">
        <f t="shared" si="81"/>
        <v>7436.8288800000009</v>
      </c>
    </row>
    <row r="270" spans="1:36">
      <c r="A270" t="s">
        <v>282</v>
      </c>
      <c r="B270" s="4">
        <v>45284</v>
      </c>
      <c r="C270" s="28">
        <v>45284</v>
      </c>
      <c r="D270" s="28" t="str">
        <f t="shared" si="66"/>
        <v>Q4-2023</v>
      </c>
      <c r="E270" s="4">
        <v>45292</v>
      </c>
      <c r="F270" s="4">
        <v>45292</v>
      </c>
      <c r="G270" s="17">
        <f t="shared" si="67"/>
        <v>8</v>
      </c>
      <c r="H270" s="17">
        <f t="shared" si="68"/>
        <v>8</v>
      </c>
      <c r="I270" t="str">
        <f t="shared" si="69"/>
        <v>No</v>
      </c>
      <c r="J270" s="2">
        <f t="shared" si="70"/>
        <v>44955</v>
      </c>
      <c r="K270" t="s">
        <v>648</v>
      </c>
      <c r="L270" t="s">
        <v>655</v>
      </c>
      <c r="M270" t="s">
        <v>670</v>
      </c>
      <c r="N270" t="str">
        <f t="shared" si="71"/>
        <v>Americas - Brazil - São Paulo</v>
      </c>
      <c r="O270" t="s">
        <v>702</v>
      </c>
      <c r="P270" t="s">
        <v>711</v>
      </c>
      <c r="Q270" t="s">
        <v>712</v>
      </c>
      <c r="R270" t="s">
        <v>730</v>
      </c>
      <c r="S270" t="s">
        <v>1002</v>
      </c>
      <c r="T270" s="6">
        <v>526.49</v>
      </c>
      <c r="U270" s="8">
        <v>496.2</v>
      </c>
      <c r="V270" s="8">
        <f t="shared" si="72"/>
        <v>496.2</v>
      </c>
      <c r="W270" s="8" t="str">
        <f t="shared" si="73"/>
        <v>Low</v>
      </c>
      <c r="X270" s="15">
        <v>0</v>
      </c>
      <c r="Y270" s="15">
        <f t="shared" si="74"/>
        <v>0</v>
      </c>
      <c r="Z270" t="str">
        <f t="shared" si="75"/>
        <v>No</v>
      </c>
      <c r="AA270" s="17">
        <v>14</v>
      </c>
      <c r="AB270" s="8">
        <f t="shared" si="76"/>
        <v>6946.8</v>
      </c>
      <c r="AC270" s="8">
        <f t="shared" si="77"/>
        <v>7370.8600000000006</v>
      </c>
      <c r="AD270" s="8">
        <f t="shared" si="78"/>
        <v>-424.0600000000004</v>
      </c>
      <c r="AE270" s="15">
        <f t="shared" si="79"/>
        <v>-6.1043933897621985E-2</v>
      </c>
      <c r="AF270" s="34">
        <f>MIN(Y270,'Scenario Modeling'!$B$2)</f>
        <v>0</v>
      </c>
      <c r="AG270">
        <f>ROUND(AA270 * (1 + 'Scenario Modeling'!$B$4), 0)</f>
        <v>14</v>
      </c>
      <c r="AH270">
        <f>T270 * (1 + 'Scenario Modeling'!$B$3)</f>
        <v>526.49</v>
      </c>
      <c r="AI270" s="8">
        <f t="shared" si="80"/>
        <v>6946.8</v>
      </c>
      <c r="AJ270" s="8">
        <f t="shared" si="81"/>
        <v>-424.0600000000004</v>
      </c>
    </row>
    <row r="271" spans="1:36">
      <c r="A271" t="s">
        <v>283</v>
      </c>
      <c r="B271" s="4">
        <v>45301</v>
      </c>
      <c r="C271" s="28">
        <v>45301</v>
      </c>
      <c r="D271" s="28" t="str">
        <f t="shared" si="66"/>
        <v>Q1-2024</v>
      </c>
      <c r="E271" s="4">
        <v>45314</v>
      </c>
      <c r="F271" s="4">
        <v>45314</v>
      </c>
      <c r="G271" s="17">
        <f t="shared" si="67"/>
        <v>13</v>
      </c>
      <c r="H271" s="17">
        <f t="shared" si="68"/>
        <v>13</v>
      </c>
      <c r="I271" t="str">
        <f t="shared" si="69"/>
        <v>No</v>
      </c>
      <c r="J271" s="2">
        <f t="shared" si="70"/>
        <v>44936</v>
      </c>
      <c r="K271" t="s">
        <v>649</v>
      </c>
      <c r="L271" t="s">
        <v>657</v>
      </c>
      <c r="M271" t="s">
        <v>673</v>
      </c>
      <c r="N271" t="str">
        <f t="shared" si="71"/>
        <v>Europe - France - Marseille</v>
      </c>
      <c r="O271" t="s">
        <v>701</v>
      </c>
      <c r="P271" t="s">
        <v>711</v>
      </c>
      <c r="Q271" t="s">
        <v>720</v>
      </c>
      <c r="R271" t="s">
        <v>728</v>
      </c>
      <c r="S271" t="s">
        <v>1003</v>
      </c>
      <c r="T271" s="6">
        <v>720</v>
      </c>
      <c r="U271" s="8">
        <v>907.59</v>
      </c>
      <c r="V271" s="8">
        <f t="shared" si="72"/>
        <v>907.59</v>
      </c>
      <c r="W271" s="8" t="str">
        <f t="shared" si="73"/>
        <v>Medium</v>
      </c>
      <c r="X271" s="15">
        <v>0.154</v>
      </c>
      <c r="Y271" s="15">
        <f t="shared" si="74"/>
        <v>0.154</v>
      </c>
      <c r="Z271" t="str">
        <f t="shared" si="75"/>
        <v>No</v>
      </c>
      <c r="AA271" s="17">
        <v>10</v>
      </c>
      <c r="AB271" s="8">
        <f t="shared" si="76"/>
        <v>7678.2113999999992</v>
      </c>
      <c r="AC271" s="8">
        <f t="shared" si="77"/>
        <v>7200</v>
      </c>
      <c r="AD271" s="8">
        <f t="shared" si="78"/>
        <v>478.21139999999923</v>
      </c>
      <c r="AE271" s="15">
        <f t="shared" si="79"/>
        <v>6.2281614179052078E-2</v>
      </c>
      <c r="AF271" s="34">
        <f>MIN(Y271,'Scenario Modeling'!$B$2)</f>
        <v>0.154</v>
      </c>
      <c r="AG271">
        <f>ROUND(AA271 * (1 + 'Scenario Modeling'!$B$4), 0)</f>
        <v>10</v>
      </c>
      <c r="AH271">
        <f>T271 * (1 + 'Scenario Modeling'!$B$3)</f>
        <v>720</v>
      </c>
      <c r="AI271" s="8">
        <f t="shared" si="80"/>
        <v>7678.2113999999992</v>
      </c>
      <c r="AJ271" s="8">
        <f t="shared" si="81"/>
        <v>478.21139999999923</v>
      </c>
    </row>
    <row r="272" spans="1:36">
      <c r="A272" t="s">
        <v>284</v>
      </c>
      <c r="B272" s="4">
        <v>45141</v>
      </c>
      <c r="C272" s="28">
        <v>45141</v>
      </c>
      <c r="D272" s="28" t="str">
        <f t="shared" si="66"/>
        <v>Q3-2023</v>
      </c>
      <c r="E272" s="4">
        <v>45152</v>
      </c>
      <c r="F272" s="4">
        <v>45152</v>
      </c>
      <c r="G272" s="17">
        <f t="shared" si="67"/>
        <v>11</v>
      </c>
      <c r="H272" s="17">
        <f t="shared" si="68"/>
        <v>11</v>
      </c>
      <c r="I272" t="str">
        <f t="shared" si="69"/>
        <v>No</v>
      </c>
      <c r="J272" s="2">
        <f t="shared" si="70"/>
        <v>44955</v>
      </c>
      <c r="K272" t="s">
        <v>648</v>
      </c>
      <c r="L272" t="s">
        <v>655</v>
      </c>
      <c r="M272" t="s">
        <v>672</v>
      </c>
      <c r="N272" t="str">
        <f t="shared" si="71"/>
        <v>Americas - Brazil - Brasília</v>
      </c>
      <c r="O272" t="s">
        <v>701</v>
      </c>
      <c r="P272" t="s">
        <v>711</v>
      </c>
      <c r="Q272" t="s">
        <v>713</v>
      </c>
      <c r="R272" t="s">
        <v>733</v>
      </c>
      <c r="S272" t="s">
        <v>1004</v>
      </c>
      <c r="T272" s="6">
        <v>232.73</v>
      </c>
      <c r="U272" s="8">
        <v>334.19</v>
      </c>
      <c r="V272" s="8">
        <f t="shared" si="72"/>
        <v>334.19</v>
      </c>
      <c r="W272" s="8" t="str">
        <f t="shared" si="73"/>
        <v>Low</v>
      </c>
      <c r="X272" s="15">
        <v>0.13400000000000001</v>
      </c>
      <c r="Y272" s="15">
        <f t="shared" si="74"/>
        <v>0.13400000000000001</v>
      </c>
      <c r="Z272" t="str">
        <f t="shared" si="75"/>
        <v>No</v>
      </c>
      <c r="AA272" s="17">
        <v>25</v>
      </c>
      <c r="AB272" s="8">
        <f t="shared" si="76"/>
        <v>7235.2134999999998</v>
      </c>
      <c r="AC272" s="8">
        <f t="shared" si="77"/>
        <v>5818.25</v>
      </c>
      <c r="AD272" s="8">
        <f t="shared" si="78"/>
        <v>1416.9634999999998</v>
      </c>
      <c r="AE272" s="15">
        <f t="shared" si="79"/>
        <v>0.1958426658729559</v>
      </c>
      <c r="AF272" s="34">
        <f>MIN(Y272,'Scenario Modeling'!$B$2)</f>
        <v>0.13400000000000001</v>
      </c>
      <c r="AG272">
        <f>ROUND(AA272 * (1 + 'Scenario Modeling'!$B$4), 0)</f>
        <v>25</v>
      </c>
      <c r="AH272">
        <f>T272 * (1 + 'Scenario Modeling'!$B$3)</f>
        <v>232.73</v>
      </c>
      <c r="AI272" s="8">
        <f t="shared" si="80"/>
        <v>7235.2134999999998</v>
      </c>
      <c r="AJ272" s="8">
        <f t="shared" si="81"/>
        <v>1416.9634999999998</v>
      </c>
    </row>
    <row r="273" spans="1:36">
      <c r="A273" t="s">
        <v>285</v>
      </c>
      <c r="B273" s="4">
        <v>45707</v>
      </c>
      <c r="C273" s="28">
        <v>45707</v>
      </c>
      <c r="D273" s="28" t="str">
        <f t="shared" si="66"/>
        <v>Q1-2025</v>
      </c>
      <c r="E273" s="4">
        <v>45725</v>
      </c>
      <c r="F273" s="4">
        <v>45725</v>
      </c>
      <c r="G273" s="17">
        <f t="shared" si="67"/>
        <v>18</v>
      </c>
      <c r="H273" s="17">
        <f t="shared" si="68"/>
        <v>18</v>
      </c>
      <c r="I273" t="str">
        <f t="shared" si="69"/>
        <v>No</v>
      </c>
      <c r="J273" s="2">
        <f t="shared" si="70"/>
        <v>44955</v>
      </c>
      <c r="K273" t="s">
        <v>647</v>
      </c>
      <c r="L273" t="s">
        <v>654</v>
      </c>
      <c r="M273" t="s">
        <v>680</v>
      </c>
      <c r="N273" t="str">
        <f t="shared" si="71"/>
        <v>Asia - India - Delhi</v>
      </c>
      <c r="O273" t="s">
        <v>705</v>
      </c>
      <c r="P273" t="s">
        <v>711</v>
      </c>
      <c r="Q273" t="s">
        <v>719</v>
      </c>
      <c r="R273" t="s">
        <v>732</v>
      </c>
      <c r="S273" t="s">
        <v>1005</v>
      </c>
      <c r="T273" s="6">
        <v>325.87</v>
      </c>
      <c r="U273" s="8">
        <v>538.79</v>
      </c>
      <c r="V273" s="8">
        <f t="shared" si="72"/>
        <v>538.79</v>
      </c>
      <c r="W273" s="8" t="str">
        <f t="shared" si="73"/>
        <v>Low</v>
      </c>
      <c r="X273" s="15">
        <v>0.17399999999999999</v>
      </c>
      <c r="Y273" s="15">
        <f t="shared" si="74"/>
        <v>0.17399999999999999</v>
      </c>
      <c r="Z273" t="str">
        <f t="shared" si="75"/>
        <v>No</v>
      </c>
      <c r="AA273" s="17">
        <v>16</v>
      </c>
      <c r="AB273" s="8">
        <f t="shared" si="76"/>
        <v>7120.6486400000003</v>
      </c>
      <c r="AC273" s="8">
        <f t="shared" si="77"/>
        <v>5213.92</v>
      </c>
      <c r="AD273" s="8">
        <f t="shared" si="78"/>
        <v>1906.7286400000003</v>
      </c>
      <c r="AE273" s="15">
        <f t="shared" si="79"/>
        <v>0.26777457172778013</v>
      </c>
      <c r="AF273" s="34">
        <f>MIN(Y273,'Scenario Modeling'!$B$2)</f>
        <v>0.17399999999999999</v>
      </c>
      <c r="AG273">
        <f>ROUND(AA273 * (1 + 'Scenario Modeling'!$B$4), 0)</f>
        <v>16</v>
      </c>
      <c r="AH273">
        <f>T273 * (1 + 'Scenario Modeling'!$B$3)</f>
        <v>325.87</v>
      </c>
      <c r="AI273" s="8">
        <f t="shared" si="80"/>
        <v>7120.6486400000003</v>
      </c>
      <c r="AJ273" s="8">
        <f t="shared" si="81"/>
        <v>1906.7286400000003</v>
      </c>
    </row>
    <row r="274" spans="1:36">
      <c r="A274" t="s">
        <v>286</v>
      </c>
      <c r="B274" s="4">
        <v>45382</v>
      </c>
      <c r="C274" s="28">
        <v>45382</v>
      </c>
      <c r="D274" s="28" t="str">
        <f t="shared" si="66"/>
        <v>Q1-2024</v>
      </c>
      <c r="E274" s="4">
        <v>45399</v>
      </c>
      <c r="F274" s="4">
        <v>45399</v>
      </c>
      <c r="G274" s="17">
        <f t="shared" si="67"/>
        <v>17</v>
      </c>
      <c r="H274" s="17">
        <f t="shared" si="68"/>
        <v>17</v>
      </c>
      <c r="I274" t="str">
        <f t="shared" si="69"/>
        <v>No</v>
      </c>
      <c r="J274" s="2">
        <f t="shared" si="70"/>
        <v>44948</v>
      </c>
      <c r="K274" t="s">
        <v>649</v>
      </c>
      <c r="L274" t="s">
        <v>656</v>
      </c>
      <c r="M274" t="s">
        <v>698</v>
      </c>
      <c r="N274" t="str">
        <f t="shared" si="71"/>
        <v>Europe - Germany - Frankfurt</v>
      </c>
      <c r="O274" t="s">
        <v>702</v>
      </c>
      <c r="P274" t="s">
        <v>711</v>
      </c>
      <c r="Q274" t="s">
        <v>722</v>
      </c>
      <c r="R274" t="s">
        <v>732</v>
      </c>
      <c r="S274" t="s">
        <v>1006</v>
      </c>
      <c r="T274" s="6">
        <v>1025.51</v>
      </c>
      <c r="U274" s="8">
        <v>1436.54</v>
      </c>
      <c r="V274" s="8">
        <f t="shared" si="72"/>
        <v>1436.54</v>
      </c>
      <c r="W274" s="8" t="str">
        <f t="shared" si="73"/>
        <v>Medium</v>
      </c>
      <c r="X274" s="15">
        <v>0.13900000000000001</v>
      </c>
      <c r="Y274" s="15">
        <f t="shared" si="74"/>
        <v>0.13900000000000001</v>
      </c>
      <c r="Z274" t="str">
        <f t="shared" si="75"/>
        <v>No</v>
      </c>
      <c r="AA274" s="17">
        <v>28</v>
      </c>
      <c r="AB274" s="8">
        <f t="shared" si="76"/>
        <v>34632.106319999999</v>
      </c>
      <c r="AC274" s="8">
        <f t="shared" si="77"/>
        <v>28714.28</v>
      </c>
      <c r="AD274" s="8">
        <f t="shared" si="78"/>
        <v>5917.8263200000001</v>
      </c>
      <c r="AE274" s="15">
        <f t="shared" si="79"/>
        <v>0.17087688127656453</v>
      </c>
      <c r="AF274" s="34">
        <f>MIN(Y274,'Scenario Modeling'!$B$2)</f>
        <v>0.13900000000000001</v>
      </c>
      <c r="AG274">
        <f>ROUND(AA274 * (1 + 'Scenario Modeling'!$B$4), 0)</f>
        <v>28</v>
      </c>
      <c r="AH274">
        <f>T274 * (1 + 'Scenario Modeling'!$B$3)</f>
        <v>1025.51</v>
      </c>
      <c r="AI274" s="8">
        <f t="shared" si="80"/>
        <v>34632.106319999999</v>
      </c>
      <c r="AJ274" s="8">
        <f t="shared" si="81"/>
        <v>5917.8263200000001</v>
      </c>
    </row>
    <row r="275" spans="1:36">
      <c r="A275" t="s">
        <v>287</v>
      </c>
      <c r="B275" s="4">
        <v>45131</v>
      </c>
      <c r="C275" s="28">
        <v>45131</v>
      </c>
      <c r="D275" s="28" t="str">
        <f t="shared" si="66"/>
        <v>Q3-2023</v>
      </c>
      <c r="E275" s="4">
        <v>45151</v>
      </c>
      <c r="F275" s="4">
        <v>45151</v>
      </c>
      <c r="G275" s="17">
        <f t="shared" si="67"/>
        <v>20</v>
      </c>
      <c r="H275" s="17">
        <f t="shared" si="68"/>
        <v>20</v>
      </c>
      <c r="I275" t="str">
        <f t="shared" si="69"/>
        <v>No</v>
      </c>
      <c r="J275" s="2">
        <f t="shared" si="70"/>
        <v>44928</v>
      </c>
      <c r="K275" t="s">
        <v>648</v>
      </c>
      <c r="L275" t="s">
        <v>653</v>
      </c>
      <c r="M275" t="s">
        <v>681</v>
      </c>
      <c r="N275" t="str">
        <f t="shared" si="71"/>
        <v>Americas - Canada - Montreal</v>
      </c>
      <c r="O275" t="s">
        <v>702</v>
      </c>
      <c r="P275" t="s">
        <v>711</v>
      </c>
      <c r="Q275" t="s">
        <v>712</v>
      </c>
      <c r="R275" t="s">
        <v>732</v>
      </c>
      <c r="S275" t="s">
        <v>1007</v>
      </c>
      <c r="T275" s="6">
        <v>1082.3800000000001</v>
      </c>
      <c r="U275" s="8">
        <v>1766.55</v>
      </c>
      <c r="V275" s="8">
        <f t="shared" si="72"/>
        <v>1766.55</v>
      </c>
      <c r="W275" s="8" t="str">
        <f t="shared" si="73"/>
        <v>High</v>
      </c>
      <c r="X275" s="15">
        <v>0.16400000000000001</v>
      </c>
      <c r="Y275" s="15">
        <f t="shared" si="74"/>
        <v>0.16400000000000001</v>
      </c>
      <c r="Z275" t="str">
        <f t="shared" si="75"/>
        <v>No</v>
      </c>
      <c r="AA275" s="17">
        <v>20</v>
      </c>
      <c r="AB275" s="8">
        <f t="shared" si="76"/>
        <v>29536.716</v>
      </c>
      <c r="AC275" s="8">
        <f t="shared" si="77"/>
        <v>21647.600000000002</v>
      </c>
      <c r="AD275" s="8">
        <f t="shared" si="78"/>
        <v>7889.1159999999982</v>
      </c>
      <c r="AE275" s="15">
        <f t="shared" si="79"/>
        <v>0.26709523157550752</v>
      </c>
      <c r="AF275" s="34">
        <f>MIN(Y275,'Scenario Modeling'!$B$2)</f>
        <v>0.16400000000000001</v>
      </c>
      <c r="AG275">
        <f>ROUND(AA275 * (1 + 'Scenario Modeling'!$B$4), 0)</f>
        <v>20</v>
      </c>
      <c r="AH275">
        <f>T275 * (1 + 'Scenario Modeling'!$B$3)</f>
        <v>1082.3800000000001</v>
      </c>
      <c r="AI275" s="8">
        <f t="shared" si="80"/>
        <v>29536.716</v>
      </c>
      <c r="AJ275" s="8">
        <f t="shared" si="81"/>
        <v>7889.1159999999982</v>
      </c>
    </row>
    <row r="276" spans="1:36">
      <c r="A276" t="s">
        <v>288</v>
      </c>
      <c r="B276" s="4">
        <v>45367</v>
      </c>
      <c r="C276" s="28">
        <v>45367</v>
      </c>
      <c r="D276" s="28" t="str">
        <f t="shared" si="66"/>
        <v>Q1-2024</v>
      </c>
      <c r="E276" s="4">
        <v>45395</v>
      </c>
      <c r="F276" s="4">
        <v>45395</v>
      </c>
      <c r="G276" s="17">
        <f t="shared" si="67"/>
        <v>28</v>
      </c>
      <c r="H276" s="17">
        <f t="shared" si="68"/>
        <v>28</v>
      </c>
      <c r="I276" t="str">
        <f t="shared" si="69"/>
        <v>No</v>
      </c>
      <c r="J276" s="2">
        <f t="shared" si="70"/>
        <v>44936</v>
      </c>
      <c r="K276" t="s">
        <v>649</v>
      </c>
      <c r="L276" t="s">
        <v>657</v>
      </c>
      <c r="M276" t="s">
        <v>690</v>
      </c>
      <c r="N276" t="str">
        <f t="shared" si="71"/>
        <v>Europe - France - Paris</v>
      </c>
      <c r="O276" t="s">
        <v>705</v>
      </c>
      <c r="P276" t="s">
        <v>708</v>
      </c>
      <c r="Q276" t="s">
        <v>723</v>
      </c>
      <c r="R276" t="s">
        <v>728</v>
      </c>
      <c r="S276" t="s">
        <v>1008</v>
      </c>
      <c r="T276" s="6">
        <v>287.61</v>
      </c>
      <c r="U276" s="8">
        <v>628.54</v>
      </c>
      <c r="V276" s="8">
        <f t="shared" si="72"/>
        <v>628.54</v>
      </c>
      <c r="W276" s="8" t="str">
        <f t="shared" si="73"/>
        <v>Low</v>
      </c>
      <c r="X276" s="15">
        <v>0.13500000000000001</v>
      </c>
      <c r="Y276" s="15">
        <f t="shared" si="74"/>
        <v>0.13500000000000001</v>
      </c>
      <c r="Z276" t="str">
        <f t="shared" si="75"/>
        <v>No</v>
      </c>
      <c r="AA276" s="17">
        <v>21</v>
      </c>
      <c r="AB276" s="8">
        <f t="shared" si="76"/>
        <v>11417.429099999999</v>
      </c>
      <c r="AC276" s="8">
        <f t="shared" si="77"/>
        <v>6039.81</v>
      </c>
      <c r="AD276" s="8">
        <f t="shared" si="78"/>
        <v>5377.619099999999</v>
      </c>
      <c r="AE276" s="15">
        <f t="shared" si="79"/>
        <v>0.47100087531964613</v>
      </c>
      <c r="AF276" s="34">
        <f>MIN(Y276,'Scenario Modeling'!$B$2)</f>
        <v>0.13500000000000001</v>
      </c>
      <c r="AG276">
        <f>ROUND(AA276 * (1 + 'Scenario Modeling'!$B$4), 0)</f>
        <v>21</v>
      </c>
      <c r="AH276">
        <f>T276 * (1 + 'Scenario Modeling'!$B$3)</f>
        <v>287.61</v>
      </c>
      <c r="AI276" s="8">
        <f t="shared" si="80"/>
        <v>11417.429099999999</v>
      </c>
      <c r="AJ276" s="8">
        <f t="shared" si="81"/>
        <v>5377.619099999999</v>
      </c>
    </row>
    <row r="277" spans="1:36">
      <c r="A277" t="s">
        <v>289</v>
      </c>
      <c r="B277" s="4">
        <v>45316</v>
      </c>
      <c r="C277" s="28">
        <v>45316</v>
      </c>
      <c r="D277" s="28" t="str">
        <f t="shared" si="66"/>
        <v>Q1-2024</v>
      </c>
      <c r="E277" s="4">
        <v>45318</v>
      </c>
      <c r="F277" s="4">
        <v>45318</v>
      </c>
      <c r="G277" s="17">
        <f t="shared" si="67"/>
        <v>2</v>
      </c>
      <c r="H277" s="17">
        <f t="shared" si="68"/>
        <v>2</v>
      </c>
      <c r="I277" t="str">
        <f t="shared" si="69"/>
        <v>Yes</v>
      </c>
      <c r="J277" s="2">
        <f t="shared" si="70"/>
        <v>44955</v>
      </c>
      <c r="K277" t="s">
        <v>648</v>
      </c>
      <c r="L277" t="s">
        <v>655</v>
      </c>
      <c r="M277" t="s">
        <v>670</v>
      </c>
      <c r="N277" t="str">
        <f t="shared" si="71"/>
        <v>Americas - Brazil - São Paulo</v>
      </c>
      <c r="O277" t="s">
        <v>703</v>
      </c>
      <c r="P277" t="s">
        <v>709</v>
      </c>
      <c r="Q277" t="s">
        <v>725</v>
      </c>
      <c r="R277" t="s">
        <v>731</v>
      </c>
      <c r="S277" t="s">
        <v>1009</v>
      </c>
      <c r="T277" s="6">
        <v>1410.97</v>
      </c>
      <c r="U277" s="8">
        <v>1650.75</v>
      </c>
      <c r="V277" s="8">
        <f t="shared" si="72"/>
        <v>1650.75</v>
      </c>
      <c r="W277" s="8" t="str">
        <f t="shared" si="73"/>
        <v>High</v>
      </c>
      <c r="X277" s="15">
        <v>0.13500000000000001</v>
      </c>
      <c r="Y277" s="15">
        <f t="shared" si="74"/>
        <v>0.13500000000000001</v>
      </c>
      <c r="Z277" t="str">
        <f t="shared" si="75"/>
        <v>No</v>
      </c>
      <c r="AA277" s="17">
        <v>6</v>
      </c>
      <c r="AB277" s="8">
        <f t="shared" si="76"/>
        <v>8567.3924999999999</v>
      </c>
      <c r="AC277" s="8">
        <f t="shared" si="77"/>
        <v>8465.82</v>
      </c>
      <c r="AD277" s="8">
        <f t="shared" si="78"/>
        <v>101.57250000000022</v>
      </c>
      <c r="AE277" s="15">
        <f t="shared" si="79"/>
        <v>1.1855707556295596E-2</v>
      </c>
      <c r="AF277" s="34">
        <f>MIN(Y277,'Scenario Modeling'!$B$2)</f>
        <v>0.13500000000000001</v>
      </c>
      <c r="AG277">
        <f>ROUND(AA277 * (1 + 'Scenario Modeling'!$B$4), 0)</f>
        <v>6</v>
      </c>
      <c r="AH277">
        <f>T277 * (1 + 'Scenario Modeling'!$B$3)</f>
        <v>1410.97</v>
      </c>
      <c r="AI277" s="8">
        <f t="shared" si="80"/>
        <v>8567.3924999999999</v>
      </c>
      <c r="AJ277" s="8">
        <f t="shared" si="81"/>
        <v>101.57250000000022</v>
      </c>
    </row>
    <row r="278" spans="1:36">
      <c r="A278" t="s">
        <v>290</v>
      </c>
      <c r="B278" s="4">
        <v>45378</v>
      </c>
      <c r="C278" s="28">
        <v>45378</v>
      </c>
      <c r="D278" s="28" t="str">
        <f t="shared" si="66"/>
        <v>Q1-2024</v>
      </c>
      <c r="E278" s="4">
        <v>45393</v>
      </c>
      <c r="F278" s="4">
        <v>45393</v>
      </c>
      <c r="G278" s="17">
        <f t="shared" si="67"/>
        <v>15</v>
      </c>
      <c r="H278" s="17">
        <f t="shared" si="68"/>
        <v>15</v>
      </c>
      <c r="I278" t="str">
        <f t="shared" si="69"/>
        <v>No</v>
      </c>
      <c r="J278" s="2">
        <f t="shared" si="70"/>
        <v>44939</v>
      </c>
      <c r="K278" t="s">
        <v>648</v>
      </c>
      <c r="L278" t="s">
        <v>660</v>
      </c>
      <c r="M278" t="s">
        <v>686</v>
      </c>
      <c r="N278" t="str">
        <f t="shared" si="71"/>
        <v>Americas - USA - San Francisco</v>
      </c>
      <c r="O278" t="s">
        <v>705</v>
      </c>
      <c r="P278" t="s">
        <v>711</v>
      </c>
      <c r="Q278" t="s">
        <v>719</v>
      </c>
      <c r="R278" t="s">
        <v>729</v>
      </c>
      <c r="S278" t="s">
        <v>1010</v>
      </c>
      <c r="T278" s="6">
        <v>1338.35</v>
      </c>
      <c r="U278" s="8">
        <v>2247.14</v>
      </c>
      <c r="V278" s="8">
        <f t="shared" si="72"/>
        <v>2247.14</v>
      </c>
      <c r="W278" s="8" t="str">
        <f t="shared" si="73"/>
        <v>High</v>
      </c>
      <c r="X278" s="15">
        <v>0.115</v>
      </c>
      <c r="Y278" s="15">
        <f t="shared" si="74"/>
        <v>0.115</v>
      </c>
      <c r="Z278" t="str">
        <f t="shared" si="75"/>
        <v>No</v>
      </c>
      <c r="AA278" s="17">
        <v>40</v>
      </c>
      <c r="AB278" s="8">
        <f t="shared" si="76"/>
        <v>79548.755999999994</v>
      </c>
      <c r="AC278" s="8">
        <f t="shared" si="77"/>
        <v>53534</v>
      </c>
      <c r="AD278" s="8">
        <f t="shared" si="78"/>
        <v>26014.755999999994</v>
      </c>
      <c r="AE278" s="15">
        <f t="shared" si="79"/>
        <v>0.32702907384246205</v>
      </c>
      <c r="AF278" s="34">
        <f>MIN(Y278,'Scenario Modeling'!$B$2)</f>
        <v>0.115</v>
      </c>
      <c r="AG278">
        <f>ROUND(AA278 * (1 + 'Scenario Modeling'!$B$4), 0)</f>
        <v>40</v>
      </c>
      <c r="AH278">
        <f>T278 * (1 + 'Scenario Modeling'!$B$3)</f>
        <v>1338.35</v>
      </c>
      <c r="AI278" s="8">
        <f t="shared" si="80"/>
        <v>79548.755999999994</v>
      </c>
      <c r="AJ278" s="8">
        <f t="shared" si="81"/>
        <v>26014.755999999994</v>
      </c>
    </row>
    <row r="279" spans="1:36">
      <c r="A279" t="s">
        <v>291</v>
      </c>
      <c r="B279" s="4">
        <v>45832</v>
      </c>
      <c r="C279" s="28">
        <v>45832</v>
      </c>
      <c r="D279" s="28" t="str">
        <f t="shared" si="66"/>
        <v>Q2-2025</v>
      </c>
      <c r="E279" s="4">
        <v>45852</v>
      </c>
      <c r="F279" s="4">
        <v>45852</v>
      </c>
      <c r="G279" s="17">
        <f t="shared" si="67"/>
        <v>20</v>
      </c>
      <c r="H279" s="17">
        <f t="shared" si="68"/>
        <v>20</v>
      </c>
      <c r="I279" t="str">
        <f t="shared" si="69"/>
        <v>No</v>
      </c>
      <c r="J279" s="2">
        <f t="shared" si="70"/>
        <v>44948</v>
      </c>
      <c r="K279" t="s">
        <v>649</v>
      </c>
      <c r="L279" t="s">
        <v>656</v>
      </c>
      <c r="M279" t="s">
        <v>671</v>
      </c>
      <c r="N279" t="str">
        <f t="shared" si="71"/>
        <v>Europe - Germany - Berlin</v>
      </c>
      <c r="O279" t="s">
        <v>701</v>
      </c>
      <c r="P279" t="s">
        <v>711</v>
      </c>
      <c r="Q279" t="s">
        <v>719</v>
      </c>
      <c r="R279" t="s">
        <v>733</v>
      </c>
      <c r="S279" t="s">
        <v>1011</v>
      </c>
      <c r="T279" s="6">
        <v>385.08</v>
      </c>
      <c r="U279" s="8">
        <v>893.19</v>
      </c>
      <c r="V279" s="8">
        <f t="shared" si="72"/>
        <v>893.19</v>
      </c>
      <c r="W279" s="8" t="str">
        <f t="shared" si="73"/>
        <v>Medium</v>
      </c>
      <c r="X279" s="15">
        <v>0.151</v>
      </c>
      <c r="Y279" s="15">
        <f t="shared" si="74"/>
        <v>0.151</v>
      </c>
      <c r="Z279" t="str">
        <f t="shared" si="75"/>
        <v>No</v>
      </c>
      <c r="AA279" s="17">
        <v>8</v>
      </c>
      <c r="AB279" s="8">
        <f t="shared" si="76"/>
        <v>6066.54648</v>
      </c>
      <c r="AC279" s="8">
        <f t="shared" si="77"/>
        <v>3080.64</v>
      </c>
      <c r="AD279" s="8">
        <f t="shared" si="78"/>
        <v>2985.9064800000001</v>
      </c>
      <c r="AE279" s="15">
        <f t="shared" si="79"/>
        <v>0.49219213762621666</v>
      </c>
      <c r="AF279" s="34">
        <f>MIN(Y279,'Scenario Modeling'!$B$2)</f>
        <v>0.151</v>
      </c>
      <c r="AG279">
        <f>ROUND(AA279 * (1 + 'Scenario Modeling'!$B$4), 0)</f>
        <v>8</v>
      </c>
      <c r="AH279">
        <f>T279 * (1 + 'Scenario Modeling'!$B$3)</f>
        <v>385.08</v>
      </c>
      <c r="AI279" s="8">
        <f t="shared" si="80"/>
        <v>6066.54648</v>
      </c>
      <c r="AJ279" s="8">
        <f t="shared" si="81"/>
        <v>2985.9064800000001</v>
      </c>
    </row>
    <row r="280" spans="1:36">
      <c r="A280" t="s">
        <v>292</v>
      </c>
      <c r="B280" s="4">
        <v>45459</v>
      </c>
      <c r="C280" s="28">
        <v>45459</v>
      </c>
      <c r="D280" s="28" t="str">
        <f t="shared" si="66"/>
        <v>Q2-2024</v>
      </c>
      <c r="E280" s="4">
        <v>45476</v>
      </c>
      <c r="F280" s="4">
        <v>45476</v>
      </c>
      <c r="G280" s="17">
        <f t="shared" si="67"/>
        <v>17</v>
      </c>
      <c r="H280" s="17">
        <f t="shared" si="68"/>
        <v>17</v>
      </c>
      <c r="I280" t="str">
        <f t="shared" si="69"/>
        <v>No</v>
      </c>
      <c r="J280" s="2">
        <f t="shared" si="70"/>
        <v>44933</v>
      </c>
      <c r="K280" t="s">
        <v>646</v>
      </c>
      <c r="L280" t="s">
        <v>661</v>
      </c>
      <c r="M280" t="s">
        <v>682</v>
      </c>
      <c r="N280" t="str">
        <f t="shared" si="71"/>
        <v>Africa - South Africa - Johannesburg</v>
      </c>
      <c r="O280" t="s">
        <v>706</v>
      </c>
      <c r="P280" t="s">
        <v>709</v>
      </c>
      <c r="Q280" t="s">
        <v>721</v>
      </c>
      <c r="R280" t="s">
        <v>730</v>
      </c>
      <c r="S280" t="s">
        <v>1012</v>
      </c>
      <c r="T280" s="6">
        <v>1173.83</v>
      </c>
      <c r="U280" s="8">
        <v>2328.9</v>
      </c>
      <c r="V280" s="8">
        <f t="shared" si="72"/>
        <v>2328.9</v>
      </c>
      <c r="W280" s="8" t="str">
        <f t="shared" si="73"/>
        <v>High</v>
      </c>
      <c r="X280" s="15">
        <v>0.12</v>
      </c>
      <c r="Y280" s="15">
        <f t="shared" si="74"/>
        <v>0.12</v>
      </c>
      <c r="Z280" t="str">
        <f t="shared" si="75"/>
        <v>No</v>
      </c>
      <c r="AA280" s="17">
        <v>17</v>
      </c>
      <c r="AB280" s="8">
        <f t="shared" si="76"/>
        <v>34840.344000000005</v>
      </c>
      <c r="AC280" s="8">
        <f t="shared" si="77"/>
        <v>19955.11</v>
      </c>
      <c r="AD280" s="8">
        <f t="shared" si="78"/>
        <v>14885.234000000004</v>
      </c>
      <c r="AE280" s="15">
        <f t="shared" si="79"/>
        <v>0.42724130393201637</v>
      </c>
      <c r="AF280" s="34">
        <f>MIN(Y280,'Scenario Modeling'!$B$2)</f>
        <v>0.12</v>
      </c>
      <c r="AG280">
        <f>ROUND(AA280 * (1 + 'Scenario Modeling'!$B$4), 0)</f>
        <v>17</v>
      </c>
      <c r="AH280">
        <f>T280 * (1 + 'Scenario Modeling'!$B$3)</f>
        <v>1173.83</v>
      </c>
      <c r="AI280" s="8">
        <f t="shared" si="80"/>
        <v>34840.344000000005</v>
      </c>
      <c r="AJ280" s="8">
        <f t="shared" si="81"/>
        <v>14885.234000000004</v>
      </c>
    </row>
    <row r="281" spans="1:36">
      <c r="A281" t="s">
        <v>293</v>
      </c>
      <c r="B281" s="4">
        <v>45229</v>
      </c>
      <c r="C281" s="28">
        <v>45229</v>
      </c>
      <c r="D281" s="28" t="str">
        <f t="shared" si="66"/>
        <v>Q4-2023</v>
      </c>
      <c r="E281" s="4">
        <v>45244</v>
      </c>
      <c r="F281" s="4">
        <v>45244</v>
      </c>
      <c r="G281" s="17">
        <f t="shared" si="67"/>
        <v>15</v>
      </c>
      <c r="H281" s="17">
        <f t="shared" si="68"/>
        <v>15</v>
      </c>
      <c r="I281" t="str">
        <f t="shared" si="69"/>
        <v>No</v>
      </c>
      <c r="J281" s="2">
        <f t="shared" si="70"/>
        <v>44955</v>
      </c>
      <c r="K281" t="s">
        <v>647</v>
      </c>
      <c r="L281" t="s">
        <v>654</v>
      </c>
      <c r="M281" t="s">
        <v>668</v>
      </c>
      <c r="N281" t="str">
        <f t="shared" si="71"/>
        <v>Asia - India - Bengaluru</v>
      </c>
      <c r="O281" t="s">
        <v>701</v>
      </c>
      <c r="P281" t="s">
        <v>708</v>
      </c>
      <c r="Q281" t="s">
        <v>721</v>
      </c>
      <c r="R281" t="s">
        <v>731</v>
      </c>
      <c r="S281" t="s">
        <v>1013</v>
      </c>
      <c r="T281" s="6">
        <v>953.46</v>
      </c>
      <c r="U281" s="8">
        <v>2066.75</v>
      </c>
      <c r="V281" s="8">
        <f t="shared" si="72"/>
        <v>2066.75</v>
      </c>
      <c r="W281" s="8" t="str">
        <f t="shared" si="73"/>
        <v>High</v>
      </c>
      <c r="X281" s="15">
        <v>0.13800000000000001</v>
      </c>
      <c r="Y281" s="15">
        <f t="shared" si="74"/>
        <v>0.13800000000000001</v>
      </c>
      <c r="Z281" t="str">
        <f t="shared" si="75"/>
        <v>No</v>
      </c>
      <c r="AA281" s="17">
        <v>5</v>
      </c>
      <c r="AB281" s="8">
        <f t="shared" si="76"/>
        <v>8907.6924999999992</v>
      </c>
      <c r="AC281" s="8">
        <f t="shared" si="77"/>
        <v>4767.3</v>
      </c>
      <c r="AD281" s="8">
        <f t="shared" si="78"/>
        <v>4140.392499999999</v>
      </c>
      <c r="AE281" s="15">
        <f t="shared" si="79"/>
        <v>0.46481089238318446</v>
      </c>
      <c r="AF281" s="34">
        <f>MIN(Y281,'Scenario Modeling'!$B$2)</f>
        <v>0.13800000000000001</v>
      </c>
      <c r="AG281">
        <f>ROUND(AA281 * (1 + 'Scenario Modeling'!$B$4), 0)</f>
        <v>5</v>
      </c>
      <c r="AH281">
        <f>T281 * (1 + 'Scenario Modeling'!$B$3)</f>
        <v>953.46</v>
      </c>
      <c r="AI281" s="8">
        <f t="shared" si="80"/>
        <v>8907.6924999999992</v>
      </c>
      <c r="AJ281" s="8">
        <f t="shared" si="81"/>
        <v>4140.392499999999</v>
      </c>
    </row>
    <row r="282" spans="1:36">
      <c r="A282" t="s">
        <v>294</v>
      </c>
      <c r="B282" s="4">
        <v>45092</v>
      </c>
      <c r="C282" s="28">
        <v>45092</v>
      </c>
      <c r="D282" s="28" t="str">
        <f t="shared" si="66"/>
        <v>Q2-2023</v>
      </c>
      <c r="E282" s="4">
        <v>45100</v>
      </c>
      <c r="F282" s="4">
        <v>45100</v>
      </c>
      <c r="G282" s="17">
        <f t="shared" si="67"/>
        <v>8</v>
      </c>
      <c r="H282" s="17">
        <f t="shared" si="68"/>
        <v>8</v>
      </c>
      <c r="I282" t="str">
        <f t="shared" si="69"/>
        <v>No</v>
      </c>
      <c r="J282" s="2">
        <f t="shared" si="70"/>
        <v>44939</v>
      </c>
      <c r="K282" t="s">
        <v>648</v>
      </c>
      <c r="L282" t="s">
        <v>660</v>
      </c>
      <c r="M282" t="s">
        <v>686</v>
      </c>
      <c r="N282" t="str">
        <f t="shared" si="71"/>
        <v>Americas - USA - San Francisco</v>
      </c>
      <c r="O282" t="s">
        <v>704</v>
      </c>
      <c r="P282" t="s">
        <v>710</v>
      </c>
      <c r="Q282" t="s">
        <v>719</v>
      </c>
      <c r="R282" t="s">
        <v>732</v>
      </c>
      <c r="S282" t="s">
        <v>1014</v>
      </c>
      <c r="T282" s="6">
        <v>1097.0899999999999</v>
      </c>
      <c r="U282" s="8">
        <v>2182.31</v>
      </c>
      <c r="V282" s="8">
        <f t="shared" si="72"/>
        <v>2182.31</v>
      </c>
      <c r="W282" s="8" t="str">
        <f t="shared" si="73"/>
        <v>High</v>
      </c>
      <c r="X282" s="15">
        <v>0.112</v>
      </c>
      <c r="Y282" s="15">
        <f t="shared" si="74"/>
        <v>0.112</v>
      </c>
      <c r="Z282" t="str">
        <f t="shared" si="75"/>
        <v>No</v>
      </c>
      <c r="AA282" s="17">
        <v>9</v>
      </c>
      <c r="AB282" s="8">
        <f t="shared" si="76"/>
        <v>17441.021520000002</v>
      </c>
      <c r="AC282" s="8">
        <f t="shared" si="77"/>
        <v>9873.81</v>
      </c>
      <c r="AD282" s="8">
        <f t="shared" si="78"/>
        <v>7567.2115200000026</v>
      </c>
      <c r="AE282" s="15">
        <f t="shared" si="79"/>
        <v>0.43387432962699546</v>
      </c>
      <c r="AF282" s="34">
        <f>MIN(Y282,'Scenario Modeling'!$B$2)</f>
        <v>0.112</v>
      </c>
      <c r="AG282">
        <f>ROUND(AA282 * (1 + 'Scenario Modeling'!$B$4), 0)</f>
        <v>9</v>
      </c>
      <c r="AH282">
        <f>T282 * (1 + 'Scenario Modeling'!$B$3)</f>
        <v>1097.0899999999999</v>
      </c>
      <c r="AI282" s="8">
        <f t="shared" si="80"/>
        <v>17441.021520000002</v>
      </c>
      <c r="AJ282" s="8">
        <f t="shared" si="81"/>
        <v>7567.2115200000026</v>
      </c>
    </row>
    <row r="283" spans="1:36">
      <c r="A283" t="s">
        <v>295</v>
      </c>
      <c r="B283" s="4">
        <v>45730</v>
      </c>
      <c r="C283" s="28">
        <v>45730</v>
      </c>
      <c r="D283" s="28" t="str">
        <f t="shared" si="66"/>
        <v>Q1-2025</v>
      </c>
      <c r="E283" s="4">
        <v>45745</v>
      </c>
      <c r="F283" s="4">
        <v>45745</v>
      </c>
      <c r="G283" s="17">
        <f t="shared" si="67"/>
        <v>15</v>
      </c>
      <c r="H283" s="17">
        <f t="shared" si="68"/>
        <v>15</v>
      </c>
      <c r="I283" t="str">
        <f t="shared" si="69"/>
        <v>No</v>
      </c>
      <c r="J283" s="2">
        <f t="shared" si="70"/>
        <v>44988</v>
      </c>
      <c r="K283" t="s">
        <v>647</v>
      </c>
      <c r="L283" t="s">
        <v>652</v>
      </c>
      <c r="M283" t="s">
        <v>689</v>
      </c>
      <c r="N283" t="str">
        <f t="shared" si="71"/>
        <v>Asia - Japan - Tokyo</v>
      </c>
      <c r="O283" t="s">
        <v>703</v>
      </c>
      <c r="P283" t="s">
        <v>711</v>
      </c>
      <c r="Q283" t="s">
        <v>722</v>
      </c>
      <c r="R283" t="s">
        <v>729</v>
      </c>
      <c r="S283" t="s">
        <v>1015</v>
      </c>
      <c r="T283" s="6">
        <v>1106.96</v>
      </c>
      <c r="U283" s="8">
        <v>2726.62</v>
      </c>
      <c r="V283" s="8">
        <f t="shared" si="72"/>
        <v>2726.62</v>
      </c>
      <c r="W283" s="8" t="str">
        <f t="shared" si="73"/>
        <v>High</v>
      </c>
      <c r="X283" s="15">
        <v>0.317</v>
      </c>
      <c r="Y283" s="15">
        <f t="shared" si="74"/>
        <v>0.11861439999999995</v>
      </c>
      <c r="Z283" t="str">
        <f t="shared" si="75"/>
        <v>No</v>
      </c>
      <c r="AA283" s="17">
        <v>7</v>
      </c>
      <c r="AB283" s="8">
        <f t="shared" si="76"/>
        <v>16822.425232704001</v>
      </c>
      <c r="AC283" s="8">
        <f t="shared" si="77"/>
        <v>7748.72</v>
      </c>
      <c r="AD283" s="8">
        <f t="shared" si="78"/>
        <v>9073.7052327040001</v>
      </c>
      <c r="AE283" s="15">
        <f t="shared" si="79"/>
        <v>0.53938151646910382</v>
      </c>
      <c r="AF283" s="34">
        <f>MIN(Y283,'Scenario Modeling'!$B$2)</f>
        <v>0.11861439999999995</v>
      </c>
      <c r="AG283">
        <f>ROUND(AA283 * (1 + 'Scenario Modeling'!$B$4), 0)</f>
        <v>7</v>
      </c>
      <c r="AH283">
        <f>T283 * (1 + 'Scenario Modeling'!$B$3)</f>
        <v>1106.96</v>
      </c>
      <c r="AI283" s="8">
        <f t="shared" si="80"/>
        <v>16822.425232704001</v>
      </c>
      <c r="AJ283" s="8">
        <f t="shared" si="81"/>
        <v>9073.7052327040001</v>
      </c>
    </row>
    <row r="284" spans="1:36">
      <c r="A284" t="s">
        <v>296</v>
      </c>
      <c r="B284" s="4">
        <v>45153</v>
      </c>
      <c r="C284" s="28">
        <v>45153</v>
      </c>
      <c r="D284" s="28" t="str">
        <f t="shared" si="66"/>
        <v>Q3-2023</v>
      </c>
      <c r="E284" s="4">
        <v>45163</v>
      </c>
      <c r="F284" s="4">
        <v>45163</v>
      </c>
      <c r="G284" s="17">
        <f t="shared" si="67"/>
        <v>10</v>
      </c>
      <c r="H284" s="17">
        <f t="shared" si="68"/>
        <v>10</v>
      </c>
      <c r="I284" t="str">
        <f t="shared" si="69"/>
        <v>No</v>
      </c>
      <c r="J284" s="2">
        <f t="shared" si="70"/>
        <v>44946</v>
      </c>
      <c r="K284" t="s">
        <v>646</v>
      </c>
      <c r="L284" t="s">
        <v>650</v>
      </c>
      <c r="M284" t="s">
        <v>664</v>
      </c>
      <c r="N284" t="str">
        <f t="shared" si="71"/>
        <v>Africa - Kenya - Nairobi</v>
      </c>
      <c r="O284" t="s">
        <v>705</v>
      </c>
      <c r="P284" t="s">
        <v>707</v>
      </c>
      <c r="Q284" t="s">
        <v>725</v>
      </c>
      <c r="R284" t="s">
        <v>730</v>
      </c>
      <c r="S284" t="s">
        <v>1016</v>
      </c>
      <c r="T284" s="6">
        <v>91.85</v>
      </c>
      <c r="U284" s="8">
        <v>111.29</v>
      </c>
      <c r="V284" s="8">
        <f t="shared" si="72"/>
        <v>111.29</v>
      </c>
      <c r="W284" s="8" t="str">
        <f t="shared" si="73"/>
        <v>Low</v>
      </c>
      <c r="X284" s="15">
        <v>0</v>
      </c>
      <c r="Y284" s="15">
        <f t="shared" si="74"/>
        <v>0</v>
      </c>
      <c r="Z284" t="str">
        <f t="shared" si="75"/>
        <v>No</v>
      </c>
      <c r="AA284" s="17">
        <v>6</v>
      </c>
      <c r="AB284" s="8">
        <f t="shared" si="76"/>
        <v>667.74</v>
      </c>
      <c r="AC284" s="8">
        <f t="shared" si="77"/>
        <v>551.09999999999991</v>
      </c>
      <c r="AD284" s="8">
        <f t="shared" si="78"/>
        <v>116.6400000000001</v>
      </c>
      <c r="AE284" s="15">
        <f t="shared" si="79"/>
        <v>0.17467876718483258</v>
      </c>
      <c r="AF284" s="34">
        <f>MIN(Y284,'Scenario Modeling'!$B$2)</f>
        <v>0</v>
      </c>
      <c r="AG284">
        <f>ROUND(AA284 * (1 + 'Scenario Modeling'!$B$4), 0)</f>
        <v>6</v>
      </c>
      <c r="AH284">
        <f>T284 * (1 + 'Scenario Modeling'!$B$3)</f>
        <v>91.85</v>
      </c>
      <c r="AI284" s="8">
        <f t="shared" si="80"/>
        <v>667.74</v>
      </c>
      <c r="AJ284" s="8">
        <f t="shared" si="81"/>
        <v>116.6400000000001</v>
      </c>
    </row>
    <row r="285" spans="1:36">
      <c r="A285" t="s">
        <v>297</v>
      </c>
      <c r="B285" s="4">
        <v>45794</v>
      </c>
      <c r="C285" s="28">
        <v>45794</v>
      </c>
      <c r="D285" s="28" t="str">
        <f t="shared" si="66"/>
        <v>Q2-2025</v>
      </c>
      <c r="E285" s="4">
        <v>45805</v>
      </c>
      <c r="F285" s="4">
        <v>45805</v>
      </c>
      <c r="G285" s="17">
        <f t="shared" si="67"/>
        <v>11</v>
      </c>
      <c r="H285" s="17">
        <f t="shared" si="68"/>
        <v>11</v>
      </c>
      <c r="I285" t="str">
        <f t="shared" si="69"/>
        <v>No</v>
      </c>
      <c r="J285" s="2">
        <f t="shared" si="70"/>
        <v>44955</v>
      </c>
      <c r="K285" t="s">
        <v>647</v>
      </c>
      <c r="L285" t="s">
        <v>654</v>
      </c>
      <c r="M285" t="s">
        <v>668</v>
      </c>
      <c r="N285" t="str">
        <f t="shared" si="71"/>
        <v>Asia - India - Bengaluru</v>
      </c>
      <c r="O285" t="s">
        <v>701</v>
      </c>
      <c r="P285" t="s">
        <v>710</v>
      </c>
      <c r="Q285" t="s">
        <v>717</v>
      </c>
      <c r="R285" t="s">
        <v>731</v>
      </c>
      <c r="S285" t="s">
        <v>1017</v>
      </c>
      <c r="T285" s="6">
        <v>623.4</v>
      </c>
      <c r="U285" s="8">
        <v>1100.0899999999999</v>
      </c>
      <c r="V285" s="8">
        <f t="shared" si="72"/>
        <v>1100.0899999999999</v>
      </c>
      <c r="W285" s="8" t="str">
        <f t="shared" si="73"/>
        <v>Medium</v>
      </c>
      <c r="X285" s="15">
        <v>0.114</v>
      </c>
      <c r="Y285" s="15">
        <f t="shared" si="74"/>
        <v>0.114</v>
      </c>
      <c r="Z285" t="str">
        <f t="shared" si="75"/>
        <v>No</v>
      </c>
      <c r="AA285" s="17">
        <v>12</v>
      </c>
      <c r="AB285" s="8">
        <f t="shared" si="76"/>
        <v>11696.156879999999</v>
      </c>
      <c r="AC285" s="8">
        <f t="shared" si="77"/>
        <v>7480.7999999999993</v>
      </c>
      <c r="AD285" s="8">
        <f t="shared" si="78"/>
        <v>4215.3568799999994</v>
      </c>
      <c r="AE285" s="15">
        <f t="shared" si="79"/>
        <v>0.36040529579490388</v>
      </c>
      <c r="AF285" s="34">
        <f>MIN(Y285,'Scenario Modeling'!$B$2)</f>
        <v>0.114</v>
      </c>
      <c r="AG285">
        <f>ROUND(AA285 * (1 + 'Scenario Modeling'!$B$4), 0)</f>
        <v>12</v>
      </c>
      <c r="AH285">
        <f>T285 * (1 + 'Scenario Modeling'!$B$3)</f>
        <v>623.4</v>
      </c>
      <c r="AI285" s="8">
        <f t="shared" si="80"/>
        <v>11696.156879999999</v>
      </c>
      <c r="AJ285" s="8">
        <f t="shared" si="81"/>
        <v>4215.3568799999994</v>
      </c>
    </row>
    <row r="286" spans="1:36">
      <c r="A286" t="s">
        <v>298</v>
      </c>
      <c r="B286" s="4">
        <v>45304</v>
      </c>
      <c r="C286" s="28">
        <v>45304</v>
      </c>
      <c r="D286" s="28" t="str">
        <f t="shared" si="66"/>
        <v>Q1-2024</v>
      </c>
      <c r="E286" s="4">
        <v>45327</v>
      </c>
      <c r="F286" s="4">
        <v>45327</v>
      </c>
      <c r="G286" s="17">
        <f t="shared" si="67"/>
        <v>23</v>
      </c>
      <c r="H286" s="17">
        <f t="shared" si="68"/>
        <v>23</v>
      </c>
      <c r="I286" t="str">
        <f t="shared" si="69"/>
        <v>No</v>
      </c>
      <c r="J286" s="2">
        <f t="shared" si="70"/>
        <v>44948</v>
      </c>
      <c r="K286" t="s">
        <v>649</v>
      </c>
      <c r="L286" t="s">
        <v>656</v>
      </c>
      <c r="M286" t="s">
        <v>698</v>
      </c>
      <c r="N286" t="str">
        <f t="shared" si="71"/>
        <v>Europe - Germany - Frankfurt</v>
      </c>
      <c r="O286" t="s">
        <v>702</v>
      </c>
      <c r="P286" t="s">
        <v>711</v>
      </c>
      <c r="Q286" t="s">
        <v>717</v>
      </c>
      <c r="R286" t="s">
        <v>731</v>
      </c>
      <c r="S286" t="s">
        <v>1018</v>
      </c>
      <c r="T286" s="6">
        <v>1017.93</v>
      </c>
      <c r="U286" s="8">
        <v>1529.14</v>
      </c>
      <c r="V286" s="8">
        <f t="shared" si="72"/>
        <v>1529.14</v>
      </c>
      <c r="W286" s="8" t="str">
        <f t="shared" si="73"/>
        <v>Medium</v>
      </c>
      <c r="X286" s="15">
        <v>0.155</v>
      </c>
      <c r="Y286" s="15">
        <f t="shared" si="74"/>
        <v>0.155</v>
      </c>
      <c r="Z286" t="str">
        <f t="shared" si="75"/>
        <v>No</v>
      </c>
      <c r="AA286" s="17">
        <v>12</v>
      </c>
      <c r="AB286" s="8">
        <f t="shared" si="76"/>
        <v>15505.479600000001</v>
      </c>
      <c r="AC286" s="8">
        <f t="shared" si="77"/>
        <v>12215.16</v>
      </c>
      <c r="AD286" s="8">
        <f t="shared" si="78"/>
        <v>3290.3196000000007</v>
      </c>
      <c r="AE286" s="15">
        <f t="shared" si="79"/>
        <v>0.21220366508366503</v>
      </c>
      <c r="AF286" s="34">
        <f>MIN(Y286,'Scenario Modeling'!$B$2)</f>
        <v>0.155</v>
      </c>
      <c r="AG286">
        <f>ROUND(AA286 * (1 + 'Scenario Modeling'!$B$4), 0)</f>
        <v>12</v>
      </c>
      <c r="AH286">
        <f>T286 * (1 + 'Scenario Modeling'!$B$3)</f>
        <v>1017.93</v>
      </c>
      <c r="AI286" s="8">
        <f t="shared" si="80"/>
        <v>15505.479600000001</v>
      </c>
      <c r="AJ286" s="8">
        <f t="shared" si="81"/>
        <v>3290.3196000000007</v>
      </c>
    </row>
    <row r="287" spans="1:36">
      <c r="A287" t="s">
        <v>299</v>
      </c>
      <c r="B287" s="4">
        <v>45101</v>
      </c>
      <c r="C287" s="28">
        <v>45101</v>
      </c>
      <c r="D287" s="28" t="str">
        <f t="shared" si="66"/>
        <v>Q2-2023</v>
      </c>
      <c r="E287" s="4">
        <v>45128</v>
      </c>
      <c r="F287" s="4">
        <v>45128</v>
      </c>
      <c r="G287" s="17">
        <f t="shared" si="67"/>
        <v>27</v>
      </c>
      <c r="H287" s="17">
        <f t="shared" si="68"/>
        <v>27</v>
      </c>
      <c r="I287" t="str">
        <f t="shared" si="69"/>
        <v>No</v>
      </c>
      <c r="J287" s="2">
        <f t="shared" si="70"/>
        <v>44988</v>
      </c>
      <c r="K287" t="s">
        <v>647</v>
      </c>
      <c r="L287" t="s">
        <v>652</v>
      </c>
      <c r="M287" t="s">
        <v>694</v>
      </c>
      <c r="N287" t="str">
        <f t="shared" si="71"/>
        <v>Asia - Japan - Nagoya</v>
      </c>
      <c r="O287" t="s">
        <v>704</v>
      </c>
      <c r="P287" t="s">
        <v>709</v>
      </c>
      <c r="Q287" t="s">
        <v>713</v>
      </c>
      <c r="R287" t="s">
        <v>730</v>
      </c>
      <c r="S287" t="s">
        <v>1019</v>
      </c>
      <c r="T287" s="6">
        <v>554.76</v>
      </c>
      <c r="U287" s="8">
        <v>728.69</v>
      </c>
      <c r="V287" s="8">
        <f t="shared" si="72"/>
        <v>728.69</v>
      </c>
      <c r="W287" s="8" t="str">
        <f t="shared" si="73"/>
        <v>Low</v>
      </c>
      <c r="X287" s="15">
        <v>0.22</v>
      </c>
      <c r="Y287" s="15">
        <f t="shared" si="74"/>
        <v>0.22</v>
      </c>
      <c r="Z287" t="str">
        <f t="shared" si="75"/>
        <v>Yes</v>
      </c>
      <c r="AA287" s="17">
        <v>7</v>
      </c>
      <c r="AB287" s="8">
        <f t="shared" si="76"/>
        <v>3978.6474000000003</v>
      </c>
      <c r="AC287" s="8">
        <f t="shared" si="77"/>
        <v>3883.3199999999997</v>
      </c>
      <c r="AD287" s="8">
        <f t="shared" si="78"/>
        <v>95.32740000000058</v>
      </c>
      <c r="AE287" s="15">
        <f t="shared" si="79"/>
        <v>2.395975074343119E-2</v>
      </c>
      <c r="AF287" s="34">
        <f>MIN(Y287,'Scenario Modeling'!$B$2)</f>
        <v>0.22</v>
      </c>
      <c r="AG287">
        <f>ROUND(AA287 * (1 + 'Scenario Modeling'!$B$4), 0)</f>
        <v>7</v>
      </c>
      <c r="AH287">
        <f>T287 * (1 + 'Scenario Modeling'!$B$3)</f>
        <v>554.76</v>
      </c>
      <c r="AI287" s="8">
        <f t="shared" si="80"/>
        <v>3978.6474000000003</v>
      </c>
      <c r="AJ287" s="8">
        <f t="shared" si="81"/>
        <v>95.32740000000058</v>
      </c>
    </row>
    <row r="288" spans="1:36">
      <c r="A288" t="s">
        <v>300</v>
      </c>
      <c r="B288" s="4">
        <v>45751</v>
      </c>
      <c r="C288" s="28">
        <v>45751</v>
      </c>
      <c r="D288" s="28" t="str">
        <f t="shared" si="66"/>
        <v>Q2-2025</v>
      </c>
      <c r="E288" s="4">
        <v>45760</v>
      </c>
      <c r="F288" s="4">
        <v>45760</v>
      </c>
      <c r="G288" s="17">
        <f t="shared" si="67"/>
        <v>9</v>
      </c>
      <c r="H288" s="17">
        <f t="shared" si="68"/>
        <v>9</v>
      </c>
      <c r="I288" t="str">
        <f t="shared" si="69"/>
        <v>No</v>
      </c>
      <c r="J288" s="2">
        <f t="shared" si="70"/>
        <v>44948</v>
      </c>
      <c r="K288" t="s">
        <v>649</v>
      </c>
      <c r="L288" t="s">
        <v>656</v>
      </c>
      <c r="M288" t="s">
        <v>684</v>
      </c>
      <c r="N288" t="str">
        <f t="shared" si="71"/>
        <v>Europe - Germany - Munich</v>
      </c>
      <c r="O288" t="s">
        <v>704</v>
      </c>
      <c r="P288" t="s">
        <v>709</v>
      </c>
      <c r="Q288" t="s">
        <v>721</v>
      </c>
      <c r="R288" t="s">
        <v>730</v>
      </c>
      <c r="S288" t="s">
        <v>1020</v>
      </c>
      <c r="T288" s="6">
        <v>7.02</v>
      </c>
      <c r="U288" s="8">
        <v>6.28</v>
      </c>
      <c r="V288" s="8">
        <f t="shared" si="72"/>
        <v>6.28</v>
      </c>
      <c r="W288" s="8" t="str">
        <f t="shared" si="73"/>
        <v>Low</v>
      </c>
      <c r="X288" s="15">
        <v>0.13400000000000001</v>
      </c>
      <c r="Y288" s="15">
        <f t="shared" si="74"/>
        <v>0.13400000000000001</v>
      </c>
      <c r="Z288" t="str">
        <f t="shared" si="75"/>
        <v>No</v>
      </c>
      <c r="AA288" s="17">
        <v>14</v>
      </c>
      <c r="AB288" s="8">
        <f t="shared" si="76"/>
        <v>76.138720000000006</v>
      </c>
      <c r="AC288" s="8">
        <f t="shared" si="77"/>
        <v>98.28</v>
      </c>
      <c r="AD288" s="8">
        <f t="shared" si="78"/>
        <v>-22.141279999999995</v>
      </c>
      <c r="AE288" s="15">
        <f t="shared" si="79"/>
        <v>-0.29080184169106066</v>
      </c>
      <c r="AF288" s="34">
        <f>MIN(Y288,'Scenario Modeling'!$B$2)</f>
        <v>0.13400000000000001</v>
      </c>
      <c r="AG288">
        <f>ROUND(AA288 * (1 + 'Scenario Modeling'!$B$4), 0)</f>
        <v>14</v>
      </c>
      <c r="AH288">
        <f>T288 * (1 + 'Scenario Modeling'!$B$3)</f>
        <v>7.02</v>
      </c>
      <c r="AI288" s="8">
        <f t="shared" si="80"/>
        <v>76.138720000000006</v>
      </c>
      <c r="AJ288" s="8">
        <f t="shared" si="81"/>
        <v>-22.141279999999995</v>
      </c>
    </row>
    <row r="289" spans="1:36">
      <c r="A289" t="s">
        <v>301</v>
      </c>
      <c r="B289" s="4">
        <v>45542</v>
      </c>
      <c r="C289" s="28">
        <v>45542</v>
      </c>
      <c r="D289" s="28" t="str">
        <f t="shared" si="66"/>
        <v>Q3-2024</v>
      </c>
      <c r="E289" s="4">
        <v>45542</v>
      </c>
      <c r="F289" s="4">
        <v>45542</v>
      </c>
      <c r="G289" s="17">
        <f t="shared" si="67"/>
        <v>0</v>
      </c>
      <c r="H289" s="17">
        <f t="shared" si="68"/>
        <v>0</v>
      </c>
      <c r="I289" t="str">
        <f t="shared" si="69"/>
        <v>Yes</v>
      </c>
      <c r="J289" s="2">
        <f t="shared" si="70"/>
        <v>44955</v>
      </c>
      <c r="K289" t="s">
        <v>647</v>
      </c>
      <c r="L289" t="s">
        <v>654</v>
      </c>
      <c r="M289" t="s">
        <v>691</v>
      </c>
      <c r="N289" t="str">
        <f t="shared" si="71"/>
        <v>Asia - India - Mumbai</v>
      </c>
      <c r="O289" t="s">
        <v>702</v>
      </c>
      <c r="P289" t="s">
        <v>710</v>
      </c>
      <c r="Q289" t="s">
        <v>717</v>
      </c>
      <c r="R289" t="s">
        <v>729</v>
      </c>
      <c r="S289" t="s">
        <v>1021</v>
      </c>
      <c r="T289" s="6">
        <v>1066.6500000000001</v>
      </c>
      <c r="U289" s="8">
        <v>2569.77</v>
      </c>
      <c r="V289" s="8">
        <f t="shared" si="72"/>
        <v>2569.77</v>
      </c>
      <c r="W289" s="8" t="str">
        <f t="shared" si="73"/>
        <v>High</v>
      </c>
      <c r="X289" s="15">
        <v>0.13400000000000001</v>
      </c>
      <c r="Y289" s="15">
        <f t="shared" si="74"/>
        <v>0.13400000000000001</v>
      </c>
      <c r="Z289" t="str">
        <f t="shared" si="75"/>
        <v>No</v>
      </c>
      <c r="AA289" s="17">
        <v>9</v>
      </c>
      <c r="AB289" s="8">
        <f t="shared" si="76"/>
        <v>20028.787380000002</v>
      </c>
      <c r="AC289" s="8">
        <f t="shared" si="77"/>
        <v>9599.85</v>
      </c>
      <c r="AD289" s="8">
        <f t="shared" si="78"/>
        <v>10428.937380000001</v>
      </c>
      <c r="AE289" s="15">
        <f t="shared" si="79"/>
        <v>0.52069739331368348</v>
      </c>
      <c r="AF289" s="34">
        <f>MIN(Y289,'Scenario Modeling'!$B$2)</f>
        <v>0.13400000000000001</v>
      </c>
      <c r="AG289">
        <f>ROUND(AA289 * (1 + 'Scenario Modeling'!$B$4), 0)</f>
        <v>9</v>
      </c>
      <c r="AH289">
        <f>T289 * (1 + 'Scenario Modeling'!$B$3)</f>
        <v>1066.6500000000001</v>
      </c>
      <c r="AI289" s="8">
        <f t="shared" si="80"/>
        <v>20028.787380000002</v>
      </c>
      <c r="AJ289" s="8">
        <f t="shared" si="81"/>
        <v>10428.937380000001</v>
      </c>
    </row>
    <row r="290" spans="1:36">
      <c r="A290" t="s">
        <v>302</v>
      </c>
      <c r="B290" s="4">
        <v>45319</v>
      </c>
      <c r="C290" s="28">
        <v>45319</v>
      </c>
      <c r="D290" s="28" t="str">
        <f t="shared" si="66"/>
        <v>Q1-2024</v>
      </c>
      <c r="E290" s="4">
        <v>45321</v>
      </c>
      <c r="F290" s="4">
        <v>45321</v>
      </c>
      <c r="G290" s="17">
        <f t="shared" si="67"/>
        <v>2</v>
      </c>
      <c r="H290" s="17">
        <f t="shared" si="68"/>
        <v>2</v>
      </c>
      <c r="I290" t="str">
        <f t="shared" si="69"/>
        <v>Yes</v>
      </c>
      <c r="J290" s="2">
        <f t="shared" si="70"/>
        <v>44933</v>
      </c>
      <c r="K290" t="s">
        <v>646</v>
      </c>
      <c r="L290" t="s">
        <v>661</v>
      </c>
      <c r="M290" t="s">
        <v>695</v>
      </c>
      <c r="N290" t="str">
        <f t="shared" si="71"/>
        <v>Africa - South Africa - Cape Town</v>
      </c>
      <c r="O290" t="s">
        <v>704</v>
      </c>
      <c r="P290" t="s">
        <v>711</v>
      </c>
      <c r="Q290" t="s">
        <v>721</v>
      </c>
      <c r="R290" t="s">
        <v>733</v>
      </c>
      <c r="S290" t="s">
        <v>1022</v>
      </c>
      <c r="T290" s="6">
        <v>798.45</v>
      </c>
      <c r="U290" s="8">
        <v>1592.02</v>
      </c>
      <c r="V290" s="8">
        <f t="shared" si="72"/>
        <v>1592.02</v>
      </c>
      <c r="W290" s="8" t="str">
        <f t="shared" si="73"/>
        <v>Medium</v>
      </c>
      <c r="X290" s="15">
        <v>6.6000000000000003E-2</v>
      </c>
      <c r="Y290" s="15">
        <f t="shared" si="74"/>
        <v>6.6000000000000003E-2</v>
      </c>
      <c r="Z290" t="str">
        <f t="shared" si="75"/>
        <v>No</v>
      </c>
      <c r="AA290" s="17">
        <v>18</v>
      </c>
      <c r="AB290" s="8">
        <f t="shared" si="76"/>
        <v>26765.040239999998</v>
      </c>
      <c r="AC290" s="8">
        <f t="shared" si="77"/>
        <v>14372.1</v>
      </c>
      <c r="AD290" s="8">
        <f t="shared" si="78"/>
        <v>12392.940239999998</v>
      </c>
      <c r="AE290" s="15">
        <f t="shared" si="79"/>
        <v>0.46302714768494585</v>
      </c>
      <c r="AF290" s="34">
        <f>MIN(Y290,'Scenario Modeling'!$B$2)</f>
        <v>6.6000000000000003E-2</v>
      </c>
      <c r="AG290">
        <f>ROUND(AA290 * (1 + 'Scenario Modeling'!$B$4), 0)</f>
        <v>18</v>
      </c>
      <c r="AH290">
        <f>T290 * (1 + 'Scenario Modeling'!$B$3)</f>
        <v>798.45</v>
      </c>
      <c r="AI290" s="8">
        <f t="shared" si="80"/>
        <v>26765.040239999998</v>
      </c>
      <c r="AJ290" s="8">
        <f t="shared" si="81"/>
        <v>12392.940239999998</v>
      </c>
    </row>
    <row r="291" spans="1:36">
      <c r="A291" t="s">
        <v>303</v>
      </c>
      <c r="B291" s="4">
        <v>45125</v>
      </c>
      <c r="C291" s="28">
        <v>45125</v>
      </c>
      <c r="D291" s="28" t="str">
        <f t="shared" si="66"/>
        <v>Q3-2023</v>
      </c>
      <c r="E291" s="4">
        <v>45148</v>
      </c>
      <c r="F291" s="4">
        <v>45148</v>
      </c>
      <c r="G291" s="17">
        <f t="shared" si="67"/>
        <v>23</v>
      </c>
      <c r="H291" s="17">
        <f t="shared" si="68"/>
        <v>23</v>
      </c>
      <c r="I291" t="str">
        <f t="shared" si="69"/>
        <v>No</v>
      </c>
      <c r="J291" s="2">
        <f t="shared" si="70"/>
        <v>44933</v>
      </c>
      <c r="K291" t="s">
        <v>646</v>
      </c>
      <c r="L291" t="s">
        <v>661</v>
      </c>
      <c r="M291" t="s">
        <v>682</v>
      </c>
      <c r="N291" t="str">
        <f t="shared" si="71"/>
        <v>Africa - South Africa - Johannesburg</v>
      </c>
      <c r="O291" t="s">
        <v>705</v>
      </c>
      <c r="P291" t="s">
        <v>707</v>
      </c>
      <c r="Q291" t="s">
        <v>716</v>
      </c>
      <c r="R291" t="s">
        <v>727</v>
      </c>
      <c r="S291" t="s">
        <v>1023</v>
      </c>
      <c r="T291" s="6">
        <v>1271.56</v>
      </c>
      <c r="U291" s="8">
        <v>995.47</v>
      </c>
      <c r="V291" s="8">
        <f t="shared" si="72"/>
        <v>995.47</v>
      </c>
      <c r="W291" s="8" t="str">
        <f t="shared" si="73"/>
        <v>Medium</v>
      </c>
      <c r="X291" s="15">
        <v>0.192</v>
      </c>
      <c r="Y291" s="15">
        <f t="shared" si="74"/>
        <v>0.192</v>
      </c>
      <c r="Z291" t="str">
        <f t="shared" si="75"/>
        <v>No</v>
      </c>
      <c r="AA291" s="17">
        <v>13</v>
      </c>
      <c r="AB291" s="8">
        <f t="shared" si="76"/>
        <v>10456.416880000001</v>
      </c>
      <c r="AC291" s="8">
        <f t="shared" si="77"/>
        <v>16530.28</v>
      </c>
      <c r="AD291" s="8">
        <f t="shared" si="78"/>
        <v>-6073.8631199999982</v>
      </c>
      <c r="AE291" s="15">
        <f t="shared" si="79"/>
        <v>-0.58087423155607754</v>
      </c>
      <c r="AF291" s="34">
        <f>MIN(Y291,'Scenario Modeling'!$B$2)</f>
        <v>0.192</v>
      </c>
      <c r="AG291">
        <f>ROUND(AA291 * (1 + 'Scenario Modeling'!$B$4), 0)</f>
        <v>13</v>
      </c>
      <c r="AH291">
        <f>T291 * (1 + 'Scenario Modeling'!$B$3)</f>
        <v>1271.56</v>
      </c>
      <c r="AI291" s="8">
        <f t="shared" si="80"/>
        <v>10456.416880000001</v>
      </c>
      <c r="AJ291" s="8">
        <f t="shared" si="81"/>
        <v>-6073.8631199999982</v>
      </c>
    </row>
    <row r="292" spans="1:36">
      <c r="A292" t="s">
        <v>304</v>
      </c>
      <c r="B292" s="4">
        <v>45897</v>
      </c>
      <c r="C292" s="28">
        <v>45897</v>
      </c>
      <c r="D292" s="28" t="str">
        <f t="shared" si="66"/>
        <v>Q3-2025</v>
      </c>
      <c r="E292" s="4">
        <v>45895</v>
      </c>
      <c r="F292" s="4">
        <f>B292+3</f>
        <v>45900</v>
      </c>
      <c r="G292" s="17">
        <f t="shared" si="67"/>
        <v>-2</v>
      </c>
      <c r="H292" s="17">
        <f t="shared" si="68"/>
        <v>3</v>
      </c>
      <c r="I292" t="str">
        <f t="shared" si="69"/>
        <v>Yes</v>
      </c>
      <c r="J292" s="2">
        <f t="shared" si="70"/>
        <v>44941</v>
      </c>
      <c r="K292" t="s">
        <v>646</v>
      </c>
      <c r="L292" t="s">
        <v>651</v>
      </c>
      <c r="M292" t="s">
        <v>663</v>
      </c>
      <c r="N292" t="str">
        <f t="shared" si="71"/>
        <v>Africa - Nigeria - Port Harcourt</v>
      </c>
      <c r="O292" t="s">
        <v>705</v>
      </c>
      <c r="P292" t="s">
        <v>707</v>
      </c>
      <c r="Q292" t="s">
        <v>720</v>
      </c>
      <c r="R292" t="s">
        <v>733</v>
      </c>
      <c r="S292" t="s">
        <v>1024</v>
      </c>
      <c r="T292" s="6">
        <v>521.05999999999995</v>
      </c>
      <c r="U292" s="8">
        <v>1240.31</v>
      </c>
      <c r="V292" s="8">
        <f t="shared" si="72"/>
        <v>1240.31</v>
      </c>
      <c r="W292" s="8" t="str">
        <f t="shared" si="73"/>
        <v>Medium</v>
      </c>
      <c r="X292" s="15">
        <v>0.14599999999999999</v>
      </c>
      <c r="Y292" s="15">
        <f t="shared" si="74"/>
        <v>0.14599999999999999</v>
      </c>
      <c r="Z292" t="str">
        <f t="shared" si="75"/>
        <v>No</v>
      </c>
      <c r="AA292" s="17">
        <v>18</v>
      </c>
      <c r="AB292" s="8">
        <f t="shared" si="76"/>
        <v>19066.045319999997</v>
      </c>
      <c r="AC292" s="8">
        <f t="shared" si="77"/>
        <v>9379.0799999999981</v>
      </c>
      <c r="AD292" s="8">
        <f t="shared" si="78"/>
        <v>9686.9653199999993</v>
      </c>
      <c r="AE292" s="15">
        <f t="shared" si="79"/>
        <v>0.50807417885650974</v>
      </c>
      <c r="AF292" s="34">
        <f>MIN(Y292,'Scenario Modeling'!$B$2)</f>
        <v>0.14599999999999999</v>
      </c>
      <c r="AG292">
        <f>ROUND(AA292 * (1 + 'Scenario Modeling'!$B$4), 0)</f>
        <v>18</v>
      </c>
      <c r="AH292">
        <f>T292 * (1 + 'Scenario Modeling'!$B$3)</f>
        <v>521.05999999999995</v>
      </c>
      <c r="AI292" s="8">
        <f t="shared" si="80"/>
        <v>19066.045319999997</v>
      </c>
      <c r="AJ292" s="8">
        <f t="shared" si="81"/>
        <v>9686.9653199999993</v>
      </c>
    </row>
    <row r="293" spans="1:36">
      <c r="A293" t="s">
        <v>305</v>
      </c>
      <c r="B293" s="4">
        <v>45746</v>
      </c>
      <c r="C293" s="28">
        <v>45746</v>
      </c>
      <c r="D293" s="28" t="str">
        <f t="shared" si="66"/>
        <v>Q1-2025</v>
      </c>
      <c r="E293" s="4">
        <v>45754</v>
      </c>
      <c r="F293" s="4">
        <v>45754</v>
      </c>
      <c r="G293" s="17">
        <f t="shared" si="67"/>
        <v>8</v>
      </c>
      <c r="H293" s="17">
        <f t="shared" si="68"/>
        <v>8</v>
      </c>
      <c r="I293" t="str">
        <f t="shared" si="69"/>
        <v>No</v>
      </c>
      <c r="J293" s="2">
        <f t="shared" si="70"/>
        <v>44955</v>
      </c>
      <c r="K293" t="s">
        <v>648</v>
      </c>
      <c r="L293" t="s">
        <v>655</v>
      </c>
      <c r="M293" t="s">
        <v>670</v>
      </c>
      <c r="N293" t="str">
        <f t="shared" si="71"/>
        <v>Americas - Brazil - São Paulo</v>
      </c>
      <c r="O293" t="s">
        <v>703</v>
      </c>
      <c r="P293" t="s">
        <v>711</v>
      </c>
      <c r="Q293" t="s">
        <v>716</v>
      </c>
      <c r="R293" t="s">
        <v>728</v>
      </c>
      <c r="S293" t="s">
        <v>1025</v>
      </c>
      <c r="T293" s="6">
        <v>71.62</v>
      </c>
      <c r="U293" s="8">
        <v>118.37</v>
      </c>
      <c r="V293" s="8">
        <f t="shared" si="72"/>
        <v>118.37</v>
      </c>
      <c r="W293" s="8" t="str">
        <f t="shared" si="73"/>
        <v>Low</v>
      </c>
      <c r="X293" s="15">
        <v>0.156</v>
      </c>
      <c r="Y293" s="15">
        <f t="shared" si="74"/>
        <v>0.156</v>
      </c>
      <c r="Z293" t="str">
        <f t="shared" si="75"/>
        <v>No</v>
      </c>
      <c r="AA293" s="17">
        <v>11</v>
      </c>
      <c r="AB293" s="8">
        <f t="shared" si="76"/>
        <v>1098.9470800000001</v>
      </c>
      <c r="AC293" s="8">
        <f t="shared" si="77"/>
        <v>787.82</v>
      </c>
      <c r="AD293" s="8">
        <f t="shared" si="78"/>
        <v>311.12708000000009</v>
      </c>
      <c r="AE293" s="15">
        <f t="shared" si="79"/>
        <v>0.28311379652603474</v>
      </c>
      <c r="AF293" s="34">
        <f>MIN(Y293,'Scenario Modeling'!$B$2)</f>
        <v>0.156</v>
      </c>
      <c r="AG293">
        <f>ROUND(AA293 * (1 + 'Scenario Modeling'!$B$4), 0)</f>
        <v>11</v>
      </c>
      <c r="AH293">
        <f>T293 * (1 + 'Scenario Modeling'!$B$3)</f>
        <v>71.62</v>
      </c>
      <c r="AI293" s="8">
        <f t="shared" si="80"/>
        <v>1098.9470800000001</v>
      </c>
      <c r="AJ293" s="8">
        <f t="shared" si="81"/>
        <v>311.12708000000009</v>
      </c>
    </row>
    <row r="294" spans="1:36">
      <c r="A294" t="s">
        <v>306</v>
      </c>
      <c r="B294" s="4">
        <v>45220</v>
      </c>
      <c r="C294" s="28">
        <v>45220</v>
      </c>
      <c r="D294" s="28" t="str">
        <f t="shared" si="66"/>
        <v>Q4-2023</v>
      </c>
      <c r="E294" s="4">
        <v>45239</v>
      </c>
      <c r="F294" s="4">
        <v>45239</v>
      </c>
      <c r="G294" s="17">
        <f t="shared" si="67"/>
        <v>19</v>
      </c>
      <c r="H294" s="17">
        <f t="shared" si="68"/>
        <v>19</v>
      </c>
      <c r="I294" t="str">
        <f t="shared" si="69"/>
        <v>No</v>
      </c>
      <c r="J294" s="2">
        <f t="shared" si="70"/>
        <v>44945</v>
      </c>
      <c r="K294" t="s">
        <v>649</v>
      </c>
      <c r="L294" t="s">
        <v>658</v>
      </c>
      <c r="M294" t="s">
        <v>683</v>
      </c>
      <c r="N294" t="str">
        <f t="shared" si="71"/>
        <v>Europe - United Kingdom - London</v>
      </c>
      <c r="O294" t="s">
        <v>703</v>
      </c>
      <c r="P294" t="s">
        <v>711</v>
      </c>
      <c r="Q294" t="s">
        <v>720</v>
      </c>
      <c r="R294" t="s">
        <v>733</v>
      </c>
      <c r="S294" t="s">
        <v>1026</v>
      </c>
      <c r="T294" s="6">
        <v>1142.48</v>
      </c>
      <c r="U294" s="8">
        <v>2105.5300000000002</v>
      </c>
      <c r="V294" s="8">
        <f t="shared" si="72"/>
        <v>2105.5300000000002</v>
      </c>
      <c r="W294" s="8" t="str">
        <f t="shared" si="73"/>
        <v>High</v>
      </c>
      <c r="X294" s="15">
        <v>0.20699999999999999</v>
      </c>
      <c r="Y294" s="15">
        <f t="shared" si="74"/>
        <v>0.20699999999999999</v>
      </c>
      <c r="Z294" t="str">
        <f t="shared" si="75"/>
        <v>Yes</v>
      </c>
      <c r="AA294" s="17">
        <v>14</v>
      </c>
      <c r="AB294" s="8">
        <f t="shared" si="76"/>
        <v>23375.594060000003</v>
      </c>
      <c r="AC294" s="8">
        <f t="shared" si="77"/>
        <v>15994.720000000001</v>
      </c>
      <c r="AD294" s="8">
        <f t="shared" si="78"/>
        <v>7380.8740600000019</v>
      </c>
      <c r="AE294" s="15">
        <f t="shared" si="79"/>
        <v>0.31575129346680658</v>
      </c>
      <c r="AF294" s="34">
        <f>MIN(Y294,'Scenario Modeling'!$B$2)</f>
        <v>0.20699999999999999</v>
      </c>
      <c r="AG294">
        <f>ROUND(AA294 * (1 + 'Scenario Modeling'!$B$4), 0)</f>
        <v>14</v>
      </c>
      <c r="AH294">
        <f>T294 * (1 + 'Scenario Modeling'!$B$3)</f>
        <v>1142.48</v>
      </c>
      <c r="AI294" s="8">
        <f t="shared" si="80"/>
        <v>23375.594060000003</v>
      </c>
      <c r="AJ294" s="8">
        <f t="shared" si="81"/>
        <v>7380.8740600000019</v>
      </c>
    </row>
    <row r="295" spans="1:36">
      <c r="A295" t="s">
        <v>307</v>
      </c>
      <c r="B295" s="4">
        <v>45161</v>
      </c>
      <c r="C295" s="28">
        <v>45161</v>
      </c>
      <c r="D295" s="28" t="str">
        <f t="shared" si="66"/>
        <v>Q3-2023</v>
      </c>
      <c r="E295" s="4">
        <v>45191</v>
      </c>
      <c r="F295" s="4">
        <v>45191</v>
      </c>
      <c r="G295" s="17">
        <f t="shared" si="67"/>
        <v>30</v>
      </c>
      <c r="H295" s="17">
        <f t="shared" si="68"/>
        <v>30</v>
      </c>
      <c r="I295" t="str">
        <f t="shared" si="69"/>
        <v>No</v>
      </c>
      <c r="J295" s="2">
        <f t="shared" si="70"/>
        <v>44945</v>
      </c>
      <c r="K295" t="s">
        <v>649</v>
      </c>
      <c r="L295" t="s">
        <v>658</v>
      </c>
      <c r="M295" t="s">
        <v>683</v>
      </c>
      <c r="N295" t="str">
        <f t="shared" si="71"/>
        <v>Europe - United Kingdom - London</v>
      </c>
      <c r="O295" t="s">
        <v>704</v>
      </c>
      <c r="P295" t="s">
        <v>710</v>
      </c>
      <c r="Q295" t="s">
        <v>719</v>
      </c>
      <c r="R295" t="s">
        <v>733</v>
      </c>
      <c r="S295" t="s">
        <v>1027</v>
      </c>
      <c r="T295" s="6">
        <v>209.81</v>
      </c>
      <c r="U295" s="8">
        <v>523</v>
      </c>
      <c r="V295" s="8">
        <f t="shared" si="72"/>
        <v>523</v>
      </c>
      <c r="W295" s="8" t="str">
        <f t="shared" si="73"/>
        <v>Low</v>
      </c>
      <c r="X295" s="15">
        <v>5.8999999999999997E-2</v>
      </c>
      <c r="Y295" s="15">
        <f t="shared" si="74"/>
        <v>5.8999999999999997E-2</v>
      </c>
      <c r="Z295" t="str">
        <f t="shared" si="75"/>
        <v>No</v>
      </c>
      <c r="AA295" s="17">
        <v>15</v>
      </c>
      <c r="AB295" s="8">
        <f t="shared" si="76"/>
        <v>7382.1450000000004</v>
      </c>
      <c r="AC295" s="8">
        <f t="shared" si="77"/>
        <v>3147.15</v>
      </c>
      <c r="AD295" s="8">
        <f t="shared" si="78"/>
        <v>4234.9950000000008</v>
      </c>
      <c r="AE295" s="15">
        <f t="shared" si="79"/>
        <v>0.57368082041195356</v>
      </c>
      <c r="AF295" s="34">
        <f>MIN(Y295,'Scenario Modeling'!$B$2)</f>
        <v>5.8999999999999997E-2</v>
      </c>
      <c r="AG295">
        <f>ROUND(AA295 * (1 + 'Scenario Modeling'!$B$4), 0)</f>
        <v>15</v>
      </c>
      <c r="AH295">
        <f>T295 * (1 + 'Scenario Modeling'!$B$3)</f>
        <v>209.81</v>
      </c>
      <c r="AI295" s="8">
        <f t="shared" si="80"/>
        <v>7382.1450000000004</v>
      </c>
      <c r="AJ295" s="8">
        <f t="shared" si="81"/>
        <v>4234.9950000000008</v>
      </c>
    </row>
    <row r="296" spans="1:36">
      <c r="A296" t="s">
        <v>308</v>
      </c>
      <c r="B296" s="4">
        <v>45758</v>
      </c>
      <c r="C296" s="28">
        <v>45758</v>
      </c>
      <c r="D296" s="28" t="str">
        <f t="shared" si="66"/>
        <v>Q2-2025</v>
      </c>
      <c r="E296" s="4">
        <v>45781</v>
      </c>
      <c r="F296" s="4">
        <v>45781</v>
      </c>
      <c r="G296" s="17">
        <f t="shared" si="67"/>
        <v>23</v>
      </c>
      <c r="H296" s="17">
        <f t="shared" si="68"/>
        <v>23</v>
      </c>
      <c r="I296" t="str">
        <f t="shared" si="69"/>
        <v>No</v>
      </c>
      <c r="J296" s="2">
        <f t="shared" si="70"/>
        <v>44988</v>
      </c>
      <c r="K296" t="s">
        <v>647</v>
      </c>
      <c r="L296" t="s">
        <v>652</v>
      </c>
      <c r="M296" t="s">
        <v>666</v>
      </c>
      <c r="N296" t="str">
        <f t="shared" si="71"/>
        <v>Asia - Japan - Osaka</v>
      </c>
      <c r="O296" t="s">
        <v>705</v>
      </c>
      <c r="P296" t="s">
        <v>708</v>
      </c>
      <c r="Q296" t="s">
        <v>724</v>
      </c>
      <c r="R296" t="s">
        <v>727</v>
      </c>
      <c r="S296" t="s">
        <v>1028</v>
      </c>
      <c r="T296" s="6">
        <v>786.2</v>
      </c>
      <c r="U296" s="8">
        <v>1075.3</v>
      </c>
      <c r="V296" s="8">
        <f t="shared" si="72"/>
        <v>1075.3</v>
      </c>
      <c r="W296" s="8" t="str">
        <f t="shared" si="73"/>
        <v>Medium</v>
      </c>
      <c r="X296" s="15">
        <v>0.08</v>
      </c>
      <c r="Y296" s="15">
        <f t="shared" si="74"/>
        <v>0.08</v>
      </c>
      <c r="Z296" t="str">
        <f t="shared" si="75"/>
        <v>No</v>
      </c>
      <c r="AA296" s="17">
        <v>9</v>
      </c>
      <c r="AB296" s="8">
        <f t="shared" si="76"/>
        <v>8903.4839999999986</v>
      </c>
      <c r="AC296" s="8">
        <f t="shared" si="77"/>
        <v>7075.8</v>
      </c>
      <c r="AD296" s="8">
        <f t="shared" si="78"/>
        <v>1827.6839999999984</v>
      </c>
      <c r="AE296" s="15">
        <f t="shared" si="79"/>
        <v>0.20527739478163815</v>
      </c>
      <c r="AF296" s="34">
        <f>MIN(Y296,'Scenario Modeling'!$B$2)</f>
        <v>0.08</v>
      </c>
      <c r="AG296">
        <f>ROUND(AA296 * (1 + 'Scenario Modeling'!$B$4), 0)</f>
        <v>9</v>
      </c>
      <c r="AH296">
        <f>T296 * (1 + 'Scenario Modeling'!$B$3)</f>
        <v>786.2</v>
      </c>
      <c r="AI296" s="8">
        <f t="shared" si="80"/>
        <v>8903.4839999999986</v>
      </c>
      <c r="AJ296" s="8">
        <f t="shared" si="81"/>
        <v>1827.6839999999984</v>
      </c>
    </row>
    <row r="297" spans="1:36">
      <c r="A297" t="s">
        <v>309</v>
      </c>
      <c r="B297" s="4">
        <v>45809</v>
      </c>
      <c r="C297" s="28">
        <v>45809</v>
      </c>
      <c r="D297" s="28" t="str">
        <f t="shared" si="66"/>
        <v>Q2-2025</v>
      </c>
      <c r="E297" s="4">
        <v>45835</v>
      </c>
      <c r="F297" s="4">
        <v>45835</v>
      </c>
      <c r="G297" s="17">
        <f t="shared" si="67"/>
        <v>26</v>
      </c>
      <c r="H297" s="17">
        <f t="shared" si="68"/>
        <v>26</v>
      </c>
      <c r="I297" t="str">
        <f t="shared" si="69"/>
        <v>No</v>
      </c>
      <c r="J297" s="2">
        <f t="shared" si="70"/>
        <v>44948</v>
      </c>
      <c r="K297" t="s">
        <v>649</v>
      </c>
      <c r="L297" t="s">
        <v>656</v>
      </c>
      <c r="M297" t="s">
        <v>684</v>
      </c>
      <c r="N297" t="str">
        <f t="shared" si="71"/>
        <v>Europe - Germany - Munich</v>
      </c>
      <c r="O297" t="s">
        <v>704</v>
      </c>
      <c r="P297" t="s">
        <v>710</v>
      </c>
      <c r="Q297" t="s">
        <v>718</v>
      </c>
      <c r="R297" t="s">
        <v>731</v>
      </c>
      <c r="S297" t="s">
        <v>1029</v>
      </c>
      <c r="T297" s="6">
        <v>1362.31</v>
      </c>
      <c r="U297" s="8">
        <v>3294.57</v>
      </c>
      <c r="V297" s="8">
        <f t="shared" si="72"/>
        <v>3294.57</v>
      </c>
      <c r="W297" s="8" t="str">
        <f t="shared" si="73"/>
        <v>High</v>
      </c>
      <c r="X297" s="15">
        <v>0.113</v>
      </c>
      <c r="Y297" s="15">
        <f t="shared" si="74"/>
        <v>0.113</v>
      </c>
      <c r="Z297" t="str">
        <f t="shared" si="75"/>
        <v>No</v>
      </c>
      <c r="AA297" s="17">
        <v>7</v>
      </c>
      <c r="AB297" s="8">
        <f t="shared" si="76"/>
        <v>20455.985130000001</v>
      </c>
      <c r="AC297" s="8">
        <f t="shared" si="77"/>
        <v>9536.17</v>
      </c>
      <c r="AD297" s="8">
        <f t="shared" si="78"/>
        <v>10919.815130000001</v>
      </c>
      <c r="AE297" s="15">
        <f t="shared" si="79"/>
        <v>0.5338200561157721</v>
      </c>
      <c r="AF297" s="34">
        <f>MIN(Y297,'Scenario Modeling'!$B$2)</f>
        <v>0.113</v>
      </c>
      <c r="AG297">
        <f>ROUND(AA297 * (1 + 'Scenario Modeling'!$B$4), 0)</f>
        <v>7</v>
      </c>
      <c r="AH297">
        <f>T297 * (1 + 'Scenario Modeling'!$B$3)</f>
        <v>1362.31</v>
      </c>
      <c r="AI297" s="8">
        <f t="shared" si="80"/>
        <v>20455.985130000001</v>
      </c>
      <c r="AJ297" s="8">
        <f t="shared" si="81"/>
        <v>10919.815130000001</v>
      </c>
    </row>
    <row r="298" spans="1:36">
      <c r="A298" t="s">
        <v>310</v>
      </c>
      <c r="B298" s="4">
        <v>45353</v>
      </c>
      <c r="C298" s="28">
        <v>45353</v>
      </c>
      <c r="D298" s="28" t="str">
        <f t="shared" si="66"/>
        <v>Q1-2024</v>
      </c>
      <c r="E298" s="4">
        <v>45367</v>
      </c>
      <c r="F298" s="4">
        <v>45367</v>
      </c>
      <c r="G298" s="17">
        <f t="shared" si="67"/>
        <v>14</v>
      </c>
      <c r="H298" s="17">
        <f t="shared" si="68"/>
        <v>14</v>
      </c>
      <c r="I298" t="str">
        <f t="shared" si="69"/>
        <v>No</v>
      </c>
      <c r="J298" s="2">
        <f t="shared" si="70"/>
        <v>44928</v>
      </c>
      <c r="K298" t="s">
        <v>648</v>
      </c>
      <c r="L298" t="s">
        <v>653</v>
      </c>
      <c r="M298" t="s">
        <v>688</v>
      </c>
      <c r="N298" t="str">
        <f t="shared" si="71"/>
        <v>Americas - Canada - Vancouver</v>
      </c>
      <c r="O298" t="s">
        <v>703</v>
      </c>
      <c r="P298" t="s">
        <v>711</v>
      </c>
      <c r="Q298" t="s">
        <v>719</v>
      </c>
      <c r="R298" t="s">
        <v>728</v>
      </c>
      <c r="S298" t="s">
        <v>1030</v>
      </c>
      <c r="T298" s="6">
        <v>248.24</v>
      </c>
      <c r="U298" s="8">
        <v>464.05</v>
      </c>
      <c r="V298" s="8">
        <f t="shared" si="72"/>
        <v>464.05</v>
      </c>
      <c r="W298" s="8" t="str">
        <f t="shared" si="73"/>
        <v>Low</v>
      </c>
      <c r="X298" s="15">
        <v>0.16900000000000001</v>
      </c>
      <c r="Y298" s="15">
        <f t="shared" si="74"/>
        <v>0.16900000000000001</v>
      </c>
      <c r="Z298" t="str">
        <f t="shared" si="75"/>
        <v>No</v>
      </c>
      <c r="AA298" s="17">
        <v>11</v>
      </c>
      <c r="AB298" s="8">
        <f t="shared" si="76"/>
        <v>4241.88105</v>
      </c>
      <c r="AC298" s="8">
        <f t="shared" si="77"/>
        <v>2730.6400000000003</v>
      </c>
      <c r="AD298" s="8">
        <f t="shared" si="78"/>
        <v>1511.2410499999996</v>
      </c>
      <c r="AE298" s="15">
        <f t="shared" si="79"/>
        <v>0.3562667203975462</v>
      </c>
      <c r="AF298" s="34">
        <f>MIN(Y298,'Scenario Modeling'!$B$2)</f>
        <v>0.16900000000000001</v>
      </c>
      <c r="AG298">
        <f>ROUND(AA298 * (1 + 'Scenario Modeling'!$B$4), 0)</f>
        <v>11</v>
      </c>
      <c r="AH298">
        <f>T298 * (1 + 'Scenario Modeling'!$B$3)</f>
        <v>248.24</v>
      </c>
      <c r="AI298" s="8">
        <f t="shared" si="80"/>
        <v>4241.88105</v>
      </c>
      <c r="AJ298" s="8">
        <f t="shared" si="81"/>
        <v>1511.2410499999996</v>
      </c>
    </row>
    <row r="299" spans="1:36">
      <c r="A299" t="s">
        <v>311</v>
      </c>
      <c r="B299" s="4">
        <v>45097</v>
      </c>
      <c r="C299" s="28">
        <v>45097</v>
      </c>
      <c r="D299" s="28" t="str">
        <f t="shared" si="66"/>
        <v>Q2-2023</v>
      </c>
      <c r="E299" s="4">
        <v>45115</v>
      </c>
      <c r="F299" s="4">
        <v>45115</v>
      </c>
      <c r="G299" s="17">
        <f t="shared" si="67"/>
        <v>18</v>
      </c>
      <c r="H299" s="17">
        <f t="shared" si="68"/>
        <v>18</v>
      </c>
      <c r="I299" t="str">
        <f t="shared" si="69"/>
        <v>No</v>
      </c>
      <c r="J299" s="2">
        <f t="shared" si="70"/>
        <v>44939</v>
      </c>
      <c r="K299" t="s">
        <v>648</v>
      </c>
      <c r="L299" t="s">
        <v>660</v>
      </c>
      <c r="M299" t="s">
        <v>697</v>
      </c>
      <c r="N299" t="str">
        <f t="shared" si="71"/>
        <v>Americas - USA - Austin</v>
      </c>
      <c r="O299" t="s">
        <v>703</v>
      </c>
      <c r="P299" t="s">
        <v>711</v>
      </c>
      <c r="Q299" t="s">
        <v>721</v>
      </c>
      <c r="R299" t="s">
        <v>732</v>
      </c>
      <c r="S299" t="s">
        <v>1031</v>
      </c>
      <c r="T299" s="6">
        <v>337</v>
      </c>
      <c r="U299" s="8">
        <v>511.03</v>
      </c>
      <c r="V299" s="8">
        <f t="shared" si="72"/>
        <v>511.03</v>
      </c>
      <c r="W299" s="8" t="str">
        <f t="shared" si="73"/>
        <v>Low</v>
      </c>
      <c r="X299" s="15">
        <v>0.108</v>
      </c>
      <c r="Y299" s="15">
        <f t="shared" si="74"/>
        <v>0.108</v>
      </c>
      <c r="Z299" t="str">
        <f t="shared" si="75"/>
        <v>No</v>
      </c>
      <c r="AA299" s="17">
        <v>7</v>
      </c>
      <c r="AB299" s="8">
        <f t="shared" si="76"/>
        <v>3190.8713200000002</v>
      </c>
      <c r="AC299" s="8">
        <f t="shared" si="77"/>
        <v>2359</v>
      </c>
      <c r="AD299" s="8">
        <f t="shared" si="78"/>
        <v>831.8713200000002</v>
      </c>
      <c r="AE299" s="15">
        <f t="shared" si="79"/>
        <v>0.26070349963219458</v>
      </c>
      <c r="AF299" s="34">
        <f>MIN(Y299,'Scenario Modeling'!$B$2)</f>
        <v>0.108</v>
      </c>
      <c r="AG299">
        <f>ROUND(AA299 * (1 + 'Scenario Modeling'!$B$4), 0)</f>
        <v>7</v>
      </c>
      <c r="AH299">
        <f>T299 * (1 + 'Scenario Modeling'!$B$3)</f>
        <v>337</v>
      </c>
      <c r="AI299" s="8">
        <f t="shared" si="80"/>
        <v>3190.8713200000002</v>
      </c>
      <c r="AJ299" s="8">
        <f t="shared" si="81"/>
        <v>831.8713200000002</v>
      </c>
    </row>
    <row r="300" spans="1:36">
      <c r="A300" t="s">
        <v>312</v>
      </c>
      <c r="B300" s="4">
        <v>45377</v>
      </c>
      <c r="C300" s="28">
        <v>45377</v>
      </c>
      <c r="D300" s="28" t="str">
        <f t="shared" si="66"/>
        <v>Q1-2024</v>
      </c>
      <c r="E300" s="4">
        <v>45387</v>
      </c>
      <c r="F300" s="4">
        <v>45387</v>
      </c>
      <c r="G300" s="17">
        <f t="shared" si="67"/>
        <v>10</v>
      </c>
      <c r="H300" s="17">
        <f t="shared" si="68"/>
        <v>10</v>
      </c>
      <c r="I300" t="str">
        <f t="shared" si="69"/>
        <v>No</v>
      </c>
      <c r="J300" s="2">
        <f t="shared" si="70"/>
        <v>44939</v>
      </c>
      <c r="K300" t="s">
        <v>648</v>
      </c>
      <c r="L300" t="s">
        <v>660</v>
      </c>
      <c r="M300" t="s">
        <v>697</v>
      </c>
      <c r="N300" t="str">
        <f t="shared" si="71"/>
        <v>Americas - USA - Austin</v>
      </c>
      <c r="O300" t="s">
        <v>704</v>
      </c>
      <c r="P300" t="s">
        <v>711</v>
      </c>
      <c r="Q300" t="s">
        <v>713</v>
      </c>
      <c r="R300" t="s">
        <v>732</v>
      </c>
      <c r="S300" t="s">
        <v>1032</v>
      </c>
      <c r="T300" s="6">
        <v>5.66</v>
      </c>
      <c r="U300" s="8">
        <v>4.22</v>
      </c>
      <c r="V300" s="8">
        <f t="shared" si="72"/>
        <v>4.22</v>
      </c>
      <c r="W300" s="8" t="str">
        <f t="shared" si="73"/>
        <v>Low</v>
      </c>
      <c r="X300" s="15">
        <v>0.11899999999999999</v>
      </c>
      <c r="Y300" s="15">
        <f t="shared" si="74"/>
        <v>0.11899999999999999</v>
      </c>
      <c r="Z300" t="str">
        <f t="shared" si="75"/>
        <v>No</v>
      </c>
      <c r="AA300" s="17">
        <v>18</v>
      </c>
      <c r="AB300" s="8">
        <f t="shared" si="76"/>
        <v>66.920760000000001</v>
      </c>
      <c r="AC300" s="8">
        <f t="shared" si="77"/>
        <v>101.88</v>
      </c>
      <c r="AD300" s="8">
        <f t="shared" si="78"/>
        <v>-34.959239999999994</v>
      </c>
      <c r="AE300" s="15">
        <f t="shared" si="79"/>
        <v>-0.52239753403876454</v>
      </c>
      <c r="AF300" s="34">
        <f>MIN(Y300,'Scenario Modeling'!$B$2)</f>
        <v>0.11899999999999999</v>
      </c>
      <c r="AG300">
        <f>ROUND(AA300 * (1 + 'Scenario Modeling'!$B$4), 0)</f>
        <v>18</v>
      </c>
      <c r="AH300">
        <f>T300 * (1 + 'Scenario Modeling'!$B$3)</f>
        <v>5.66</v>
      </c>
      <c r="AI300" s="8">
        <f t="shared" si="80"/>
        <v>66.920760000000001</v>
      </c>
      <c r="AJ300" s="8">
        <f t="shared" si="81"/>
        <v>-34.959239999999994</v>
      </c>
    </row>
    <row r="301" spans="1:36">
      <c r="A301" t="s">
        <v>313</v>
      </c>
      <c r="B301" s="4">
        <v>45679</v>
      </c>
      <c r="C301" s="28">
        <v>45679</v>
      </c>
      <c r="D301" s="28" t="str">
        <f t="shared" si="66"/>
        <v>Q1-2025</v>
      </c>
      <c r="E301" s="4">
        <v>45679</v>
      </c>
      <c r="F301" s="4">
        <v>45679</v>
      </c>
      <c r="G301" s="17">
        <f t="shared" si="67"/>
        <v>0</v>
      </c>
      <c r="H301" s="17">
        <f t="shared" si="68"/>
        <v>0</v>
      </c>
      <c r="I301" t="str">
        <f t="shared" si="69"/>
        <v>Yes</v>
      </c>
      <c r="J301" s="2">
        <f t="shared" si="70"/>
        <v>44936</v>
      </c>
      <c r="K301" t="s">
        <v>649</v>
      </c>
      <c r="L301" t="s">
        <v>657</v>
      </c>
      <c r="M301" t="s">
        <v>679</v>
      </c>
      <c r="N301" t="str">
        <f t="shared" si="71"/>
        <v>Europe - France - Lyon</v>
      </c>
      <c r="O301" t="s">
        <v>705</v>
      </c>
      <c r="P301" t="s">
        <v>708</v>
      </c>
      <c r="Q301" t="s">
        <v>717</v>
      </c>
      <c r="R301" t="s">
        <v>733</v>
      </c>
      <c r="S301" t="s">
        <v>1033</v>
      </c>
      <c r="T301" s="6">
        <v>591.72</v>
      </c>
      <c r="U301" s="8">
        <v>577.24</v>
      </c>
      <c r="V301" s="8">
        <f t="shared" si="72"/>
        <v>577.24</v>
      </c>
      <c r="W301" s="8" t="str">
        <f t="shared" si="73"/>
        <v>Low</v>
      </c>
      <c r="X301" s="15">
        <v>0</v>
      </c>
      <c r="Y301" s="15">
        <f t="shared" si="74"/>
        <v>0</v>
      </c>
      <c r="Z301" t="str">
        <f t="shared" si="75"/>
        <v>No</v>
      </c>
      <c r="AA301" s="17">
        <v>22</v>
      </c>
      <c r="AB301" s="8">
        <f t="shared" si="76"/>
        <v>12699.28</v>
      </c>
      <c r="AC301" s="8">
        <f t="shared" si="77"/>
        <v>13017.84</v>
      </c>
      <c r="AD301" s="8">
        <f t="shared" si="78"/>
        <v>-318.55999999999949</v>
      </c>
      <c r="AE301" s="15">
        <f t="shared" si="79"/>
        <v>-2.5084886702238195E-2</v>
      </c>
      <c r="AF301" s="34">
        <f>MIN(Y301,'Scenario Modeling'!$B$2)</f>
        <v>0</v>
      </c>
      <c r="AG301">
        <f>ROUND(AA301 * (1 + 'Scenario Modeling'!$B$4), 0)</f>
        <v>22</v>
      </c>
      <c r="AH301">
        <f>T301 * (1 + 'Scenario Modeling'!$B$3)</f>
        <v>591.72</v>
      </c>
      <c r="AI301" s="8">
        <f t="shared" si="80"/>
        <v>12699.28</v>
      </c>
      <c r="AJ301" s="8">
        <f t="shared" si="81"/>
        <v>-318.55999999999949</v>
      </c>
    </row>
    <row r="302" spans="1:36">
      <c r="A302" t="s">
        <v>314</v>
      </c>
      <c r="B302" s="4">
        <v>45787</v>
      </c>
      <c r="C302" s="28">
        <v>45787</v>
      </c>
      <c r="D302" s="28" t="str">
        <f t="shared" si="66"/>
        <v>Q2-2025</v>
      </c>
      <c r="E302" s="4">
        <v>45804</v>
      </c>
      <c r="F302" s="4">
        <v>45804</v>
      </c>
      <c r="G302" s="17">
        <f t="shared" si="67"/>
        <v>17</v>
      </c>
      <c r="H302" s="17">
        <f t="shared" si="68"/>
        <v>17</v>
      </c>
      <c r="I302" t="str">
        <f t="shared" si="69"/>
        <v>No</v>
      </c>
      <c r="J302" s="2">
        <f t="shared" si="70"/>
        <v>44928</v>
      </c>
      <c r="K302" t="s">
        <v>648</v>
      </c>
      <c r="L302" t="s">
        <v>653</v>
      </c>
      <c r="M302" t="s">
        <v>688</v>
      </c>
      <c r="N302" t="str">
        <f t="shared" si="71"/>
        <v>Americas - Canada - Vancouver</v>
      </c>
      <c r="O302" t="s">
        <v>702</v>
      </c>
      <c r="P302" t="s">
        <v>711</v>
      </c>
      <c r="Q302" t="s">
        <v>712</v>
      </c>
      <c r="R302" t="s">
        <v>727</v>
      </c>
      <c r="S302" t="s">
        <v>1034</v>
      </c>
      <c r="T302" s="6">
        <v>862.89</v>
      </c>
      <c r="U302" s="8">
        <v>1426.03</v>
      </c>
      <c r="V302" s="8">
        <f t="shared" si="72"/>
        <v>1426.03</v>
      </c>
      <c r="W302" s="8" t="str">
        <f t="shared" si="73"/>
        <v>Medium</v>
      </c>
      <c r="X302" s="15">
        <v>5.6000000000000001E-2</v>
      </c>
      <c r="Y302" s="15">
        <f t="shared" si="74"/>
        <v>5.6000000000000001E-2</v>
      </c>
      <c r="Z302" t="str">
        <f t="shared" si="75"/>
        <v>No</v>
      </c>
      <c r="AA302" s="17">
        <v>19</v>
      </c>
      <c r="AB302" s="8">
        <f t="shared" si="76"/>
        <v>25577.274079999999</v>
      </c>
      <c r="AC302" s="8">
        <f t="shared" si="77"/>
        <v>16394.91</v>
      </c>
      <c r="AD302" s="8">
        <f t="shared" si="78"/>
        <v>9182.3640799999994</v>
      </c>
      <c r="AE302" s="15">
        <f t="shared" si="79"/>
        <v>0.35900479665188778</v>
      </c>
      <c r="AF302" s="34">
        <f>MIN(Y302,'Scenario Modeling'!$B$2)</f>
        <v>5.6000000000000001E-2</v>
      </c>
      <c r="AG302">
        <f>ROUND(AA302 * (1 + 'Scenario Modeling'!$B$4), 0)</f>
        <v>19</v>
      </c>
      <c r="AH302">
        <f>T302 * (1 + 'Scenario Modeling'!$B$3)</f>
        <v>862.89</v>
      </c>
      <c r="AI302" s="8">
        <f t="shared" si="80"/>
        <v>25577.274079999999</v>
      </c>
      <c r="AJ302" s="8">
        <f t="shared" si="81"/>
        <v>9182.3640799999994</v>
      </c>
    </row>
    <row r="303" spans="1:36">
      <c r="A303" t="s">
        <v>315</v>
      </c>
      <c r="B303" s="4">
        <v>45204</v>
      </c>
      <c r="C303" s="28">
        <v>45204</v>
      </c>
      <c r="D303" s="28" t="str">
        <f t="shared" si="66"/>
        <v>Q4-2023</v>
      </c>
      <c r="E303" s="4">
        <v>45230</v>
      </c>
      <c r="F303" s="4">
        <v>45230</v>
      </c>
      <c r="G303" s="17">
        <f t="shared" si="67"/>
        <v>26</v>
      </c>
      <c r="H303" s="17">
        <f t="shared" si="68"/>
        <v>26</v>
      </c>
      <c r="I303" t="str">
        <f t="shared" si="69"/>
        <v>No</v>
      </c>
      <c r="J303" s="2">
        <f t="shared" si="70"/>
        <v>44938</v>
      </c>
      <c r="K303" t="s">
        <v>647</v>
      </c>
      <c r="L303" t="s">
        <v>659</v>
      </c>
      <c r="M303" t="s">
        <v>685</v>
      </c>
      <c r="N303" t="str">
        <f t="shared" si="71"/>
        <v>Asia - China - Shanghai</v>
      </c>
      <c r="O303" t="s">
        <v>704</v>
      </c>
      <c r="P303" t="s">
        <v>710</v>
      </c>
      <c r="Q303" t="s">
        <v>713</v>
      </c>
      <c r="R303" t="s">
        <v>728</v>
      </c>
      <c r="S303" t="s">
        <v>1035</v>
      </c>
      <c r="T303" s="6">
        <v>649.91</v>
      </c>
      <c r="U303" s="8">
        <v>1360.12</v>
      </c>
      <c r="V303" s="8">
        <f t="shared" si="72"/>
        <v>1360.12</v>
      </c>
      <c r="W303" s="8" t="str">
        <f t="shared" si="73"/>
        <v>Medium</v>
      </c>
      <c r="X303" s="15">
        <v>0.19400000000000001</v>
      </c>
      <c r="Y303" s="15">
        <f t="shared" si="74"/>
        <v>0.19400000000000001</v>
      </c>
      <c r="Z303" t="str">
        <f t="shared" si="75"/>
        <v>No</v>
      </c>
      <c r="AA303" s="17">
        <v>9</v>
      </c>
      <c r="AB303" s="8">
        <f t="shared" si="76"/>
        <v>9866.3104799999983</v>
      </c>
      <c r="AC303" s="8">
        <f t="shared" si="77"/>
        <v>5849.19</v>
      </c>
      <c r="AD303" s="8">
        <f t="shared" si="78"/>
        <v>4017.1204799999987</v>
      </c>
      <c r="AE303" s="15">
        <f t="shared" si="79"/>
        <v>0.40715528749506769</v>
      </c>
      <c r="AF303" s="34">
        <f>MIN(Y303,'Scenario Modeling'!$B$2)</f>
        <v>0.19400000000000001</v>
      </c>
      <c r="AG303">
        <f>ROUND(AA303 * (1 + 'Scenario Modeling'!$B$4), 0)</f>
        <v>9</v>
      </c>
      <c r="AH303">
        <f>T303 * (1 + 'Scenario Modeling'!$B$3)</f>
        <v>649.91</v>
      </c>
      <c r="AI303" s="8">
        <f t="shared" si="80"/>
        <v>9866.3104799999983</v>
      </c>
      <c r="AJ303" s="8">
        <f t="shared" si="81"/>
        <v>4017.1204799999987</v>
      </c>
    </row>
    <row r="304" spans="1:36">
      <c r="A304" t="s">
        <v>316</v>
      </c>
      <c r="B304" s="4">
        <v>45125</v>
      </c>
      <c r="C304" s="28">
        <v>45125</v>
      </c>
      <c r="D304" s="28" t="str">
        <f t="shared" si="66"/>
        <v>Q3-2023</v>
      </c>
      <c r="E304" s="4">
        <v>45129</v>
      </c>
      <c r="F304" s="4">
        <v>45129</v>
      </c>
      <c r="G304" s="17">
        <f t="shared" si="67"/>
        <v>4</v>
      </c>
      <c r="H304" s="17">
        <f t="shared" si="68"/>
        <v>4</v>
      </c>
      <c r="I304" t="str">
        <f t="shared" si="69"/>
        <v>Yes</v>
      </c>
      <c r="J304" s="2">
        <f t="shared" si="70"/>
        <v>44955</v>
      </c>
      <c r="K304" t="s">
        <v>648</v>
      </c>
      <c r="L304" t="s">
        <v>655</v>
      </c>
      <c r="M304" t="s">
        <v>670</v>
      </c>
      <c r="N304" t="str">
        <f t="shared" si="71"/>
        <v>Americas - Brazil - São Paulo</v>
      </c>
      <c r="O304" t="s">
        <v>704</v>
      </c>
      <c r="P304" t="s">
        <v>711</v>
      </c>
      <c r="Q304" t="s">
        <v>721</v>
      </c>
      <c r="R304" t="s">
        <v>729</v>
      </c>
      <c r="S304" t="s">
        <v>1036</v>
      </c>
      <c r="T304" s="6">
        <v>1269.55</v>
      </c>
      <c r="U304" s="8">
        <v>2071.1</v>
      </c>
      <c r="V304" s="8">
        <f t="shared" si="72"/>
        <v>2071.1</v>
      </c>
      <c r="W304" s="8" t="str">
        <f t="shared" si="73"/>
        <v>High</v>
      </c>
      <c r="X304" s="15">
        <v>0.129</v>
      </c>
      <c r="Y304" s="15">
        <f t="shared" si="74"/>
        <v>0.129</v>
      </c>
      <c r="Z304" t="str">
        <f t="shared" si="75"/>
        <v>No</v>
      </c>
      <c r="AA304" s="17">
        <v>22</v>
      </c>
      <c r="AB304" s="8">
        <f t="shared" si="76"/>
        <v>39686.4182</v>
      </c>
      <c r="AC304" s="8">
        <f t="shared" si="77"/>
        <v>27930.1</v>
      </c>
      <c r="AD304" s="8">
        <f t="shared" si="78"/>
        <v>11756.318200000002</v>
      </c>
      <c r="AE304" s="15">
        <f t="shared" si="79"/>
        <v>0.29623026549672354</v>
      </c>
      <c r="AF304" s="34">
        <f>MIN(Y304,'Scenario Modeling'!$B$2)</f>
        <v>0.129</v>
      </c>
      <c r="AG304">
        <f>ROUND(AA304 * (1 + 'Scenario Modeling'!$B$4), 0)</f>
        <v>22</v>
      </c>
      <c r="AH304">
        <f>T304 * (1 + 'Scenario Modeling'!$B$3)</f>
        <v>1269.55</v>
      </c>
      <c r="AI304" s="8">
        <f t="shared" si="80"/>
        <v>39686.4182</v>
      </c>
      <c r="AJ304" s="8">
        <f t="shared" si="81"/>
        <v>11756.318200000002</v>
      </c>
    </row>
    <row r="305" spans="1:36">
      <c r="A305" t="s">
        <v>317</v>
      </c>
      <c r="B305" s="4">
        <v>45830</v>
      </c>
      <c r="C305" s="28">
        <v>45830</v>
      </c>
      <c r="D305" s="28" t="str">
        <f t="shared" si="66"/>
        <v>Q2-2025</v>
      </c>
      <c r="E305" s="4">
        <v>45846</v>
      </c>
      <c r="F305" s="4">
        <v>45846</v>
      </c>
      <c r="G305" s="17">
        <f t="shared" si="67"/>
        <v>16</v>
      </c>
      <c r="H305" s="17">
        <f t="shared" si="68"/>
        <v>16</v>
      </c>
      <c r="I305" t="str">
        <f t="shared" si="69"/>
        <v>No</v>
      </c>
      <c r="J305" s="2">
        <f t="shared" si="70"/>
        <v>44945</v>
      </c>
      <c r="K305" t="s">
        <v>649</v>
      </c>
      <c r="L305" t="s">
        <v>658</v>
      </c>
      <c r="M305" t="s">
        <v>683</v>
      </c>
      <c r="N305" t="str">
        <f t="shared" si="71"/>
        <v>Europe - United Kingdom - London</v>
      </c>
      <c r="O305" t="s">
        <v>702</v>
      </c>
      <c r="P305" t="s">
        <v>711</v>
      </c>
      <c r="Q305" t="s">
        <v>720</v>
      </c>
      <c r="R305" t="s">
        <v>730</v>
      </c>
      <c r="S305" t="s">
        <v>1037</v>
      </c>
      <c r="T305" s="6">
        <v>892.73</v>
      </c>
      <c r="U305" s="8">
        <v>979.84</v>
      </c>
      <c r="V305" s="8">
        <f t="shared" si="72"/>
        <v>979.84</v>
      </c>
      <c r="W305" s="8" t="str">
        <f t="shared" si="73"/>
        <v>Medium</v>
      </c>
      <c r="X305" s="15">
        <v>0.17399999999999999</v>
      </c>
      <c r="Y305" s="15">
        <f t="shared" si="74"/>
        <v>0.17399999999999999</v>
      </c>
      <c r="Z305" t="str">
        <f t="shared" si="75"/>
        <v>No</v>
      </c>
      <c r="AA305" s="17">
        <v>10</v>
      </c>
      <c r="AB305" s="8">
        <f t="shared" si="76"/>
        <v>8093.4784</v>
      </c>
      <c r="AC305" s="8">
        <f t="shared" si="77"/>
        <v>8927.2999999999993</v>
      </c>
      <c r="AD305" s="8">
        <f t="shared" si="78"/>
        <v>-833.82159999999931</v>
      </c>
      <c r="AE305" s="15">
        <f t="shared" si="79"/>
        <v>-0.10302388649112838</v>
      </c>
      <c r="AF305" s="34">
        <f>MIN(Y305,'Scenario Modeling'!$B$2)</f>
        <v>0.17399999999999999</v>
      </c>
      <c r="AG305">
        <f>ROUND(AA305 * (1 + 'Scenario Modeling'!$B$4), 0)</f>
        <v>10</v>
      </c>
      <c r="AH305">
        <f>T305 * (1 + 'Scenario Modeling'!$B$3)</f>
        <v>892.73</v>
      </c>
      <c r="AI305" s="8">
        <f t="shared" si="80"/>
        <v>8093.4784</v>
      </c>
      <c r="AJ305" s="8">
        <f t="shared" si="81"/>
        <v>-833.82159999999931</v>
      </c>
    </row>
    <row r="306" spans="1:36">
      <c r="A306" t="s">
        <v>318</v>
      </c>
      <c r="B306" s="4">
        <v>45462</v>
      </c>
      <c r="C306" s="28">
        <v>45462</v>
      </c>
      <c r="D306" s="28" t="str">
        <f t="shared" si="66"/>
        <v>Q2-2024</v>
      </c>
      <c r="E306" s="4">
        <v>45463</v>
      </c>
      <c r="F306" s="4">
        <v>45463</v>
      </c>
      <c r="G306" s="17">
        <f t="shared" si="67"/>
        <v>1</v>
      </c>
      <c r="H306" s="17">
        <f t="shared" si="68"/>
        <v>1</v>
      </c>
      <c r="I306" t="str">
        <f t="shared" si="69"/>
        <v>Yes</v>
      </c>
      <c r="J306" s="2">
        <f t="shared" si="70"/>
        <v>44946</v>
      </c>
      <c r="K306" t="s">
        <v>646</v>
      </c>
      <c r="L306" t="s">
        <v>650</v>
      </c>
      <c r="M306" t="s">
        <v>662</v>
      </c>
      <c r="N306" t="str">
        <f t="shared" si="71"/>
        <v>Africa - Kenya - Kisumu</v>
      </c>
      <c r="O306" t="s">
        <v>705</v>
      </c>
      <c r="P306" t="s">
        <v>711</v>
      </c>
      <c r="Q306" t="s">
        <v>713</v>
      </c>
      <c r="R306" t="s">
        <v>731</v>
      </c>
      <c r="S306" t="s">
        <v>1038</v>
      </c>
      <c r="T306" s="6">
        <v>231.63</v>
      </c>
      <c r="U306" s="8">
        <v>537.39</v>
      </c>
      <c r="V306" s="8">
        <f t="shared" si="72"/>
        <v>537.39</v>
      </c>
      <c r="W306" s="8" t="str">
        <f t="shared" si="73"/>
        <v>Low</v>
      </c>
      <c r="X306" s="15">
        <v>0.08</v>
      </c>
      <c r="Y306" s="15">
        <f t="shared" si="74"/>
        <v>0.08</v>
      </c>
      <c r="Z306" t="str">
        <f t="shared" si="75"/>
        <v>No</v>
      </c>
      <c r="AA306" s="17">
        <v>12</v>
      </c>
      <c r="AB306" s="8">
        <f t="shared" si="76"/>
        <v>5932.7856000000002</v>
      </c>
      <c r="AC306" s="8">
        <f t="shared" si="77"/>
        <v>2779.56</v>
      </c>
      <c r="AD306" s="8">
        <f t="shared" si="78"/>
        <v>3153.2256000000002</v>
      </c>
      <c r="AE306" s="15">
        <f t="shared" si="79"/>
        <v>0.53149158129024587</v>
      </c>
      <c r="AF306" s="34">
        <f>MIN(Y306,'Scenario Modeling'!$B$2)</f>
        <v>0.08</v>
      </c>
      <c r="AG306">
        <f>ROUND(AA306 * (1 + 'Scenario Modeling'!$B$4), 0)</f>
        <v>12</v>
      </c>
      <c r="AH306">
        <f>T306 * (1 + 'Scenario Modeling'!$B$3)</f>
        <v>231.63</v>
      </c>
      <c r="AI306" s="8">
        <f t="shared" si="80"/>
        <v>5932.7856000000002</v>
      </c>
      <c r="AJ306" s="8">
        <f t="shared" si="81"/>
        <v>3153.2256000000002</v>
      </c>
    </row>
    <row r="307" spans="1:36">
      <c r="A307" t="s">
        <v>319</v>
      </c>
      <c r="B307" s="4">
        <v>45756</v>
      </c>
      <c r="C307" s="28">
        <v>45756</v>
      </c>
      <c r="D307" s="28" t="str">
        <f t="shared" si="66"/>
        <v>Q2-2025</v>
      </c>
      <c r="E307" s="4">
        <v>45759</v>
      </c>
      <c r="F307" s="4">
        <v>45759</v>
      </c>
      <c r="G307" s="17">
        <f t="shared" si="67"/>
        <v>3</v>
      </c>
      <c r="H307" s="17">
        <f t="shared" si="68"/>
        <v>3</v>
      </c>
      <c r="I307" t="str">
        <f t="shared" si="69"/>
        <v>Yes</v>
      </c>
      <c r="J307" s="2">
        <f t="shared" si="70"/>
        <v>44936</v>
      </c>
      <c r="K307" t="s">
        <v>649</v>
      </c>
      <c r="L307" t="s">
        <v>657</v>
      </c>
      <c r="M307" t="s">
        <v>679</v>
      </c>
      <c r="N307" t="str">
        <f t="shared" si="71"/>
        <v>Europe - France - Lyon</v>
      </c>
      <c r="O307" t="s">
        <v>705</v>
      </c>
      <c r="P307" t="s">
        <v>710</v>
      </c>
      <c r="Q307" t="s">
        <v>722</v>
      </c>
      <c r="R307" t="s">
        <v>732</v>
      </c>
      <c r="S307" t="s">
        <v>1039</v>
      </c>
      <c r="T307" s="6">
        <v>86.68</v>
      </c>
      <c r="U307" s="8">
        <v>213.32</v>
      </c>
      <c r="V307" s="8">
        <f t="shared" si="72"/>
        <v>213.32</v>
      </c>
      <c r="W307" s="8" t="str">
        <f t="shared" si="73"/>
        <v>Low</v>
      </c>
      <c r="X307" s="15">
        <v>3.7999999999999999E-2</v>
      </c>
      <c r="Y307" s="15">
        <f t="shared" si="74"/>
        <v>3.7999999999999999E-2</v>
      </c>
      <c r="Z307" t="str">
        <f t="shared" si="75"/>
        <v>No</v>
      </c>
      <c r="AA307" s="17">
        <v>8</v>
      </c>
      <c r="AB307" s="8">
        <f t="shared" si="76"/>
        <v>1641.7107199999998</v>
      </c>
      <c r="AC307" s="8">
        <f t="shared" si="77"/>
        <v>693.44</v>
      </c>
      <c r="AD307" s="8">
        <f t="shared" si="78"/>
        <v>948.27071999999976</v>
      </c>
      <c r="AE307" s="15">
        <f t="shared" si="79"/>
        <v>0.57761133459614611</v>
      </c>
      <c r="AF307" s="34">
        <f>MIN(Y307,'Scenario Modeling'!$B$2)</f>
        <v>3.7999999999999999E-2</v>
      </c>
      <c r="AG307">
        <f>ROUND(AA307 * (1 + 'Scenario Modeling'!$B$4), 0)</f>
        <v>8</v>
      </c>
      <c r="AH307">
        <f>T307 * (1 + 'Scenario Modeling'!$B$3)</f>
        <v>86.68</v>
      </c>
      <c r="AI307" s="8">
        <f t="shared" si="80"/>
        <v>1641.7107199999998</v>
      </c>
      <c r="AJ307" s="8">
        <f t="shared" si="81"/>
        <v>948.27071999999976</v>
      </c>
    </row>
    <row r="308" spans="1:36">
      <c r="A308" t="s">
        <v>320</v>
      </c>
      <c r="B308" s="4">
        <v>45741</v>
      </c>
      <c r="C308" s="28">
        <v>45741</v>
      </c>
      <c r="D308" s="28" t="str">
        <f t="shared" si="66"/>
        <v>Q1-2025</v>
      </c>
      <c r="E308" s="4">
        <v>45742</v>
      </c>
      <c r="F308" s="4">
        <v>45742</v>
      </c>
      <c r="G308" s="17">
        <f t="shared" si="67"/>
        <v>1</v>
      </c>
      <c r="H308" s="17">
        <f t="shared" si="68"/>
        <v>1</v>
      </c>
      <c r="I308" t="str">
        <f t="shared" si="69"/>
        <v>Yes</v>
      </c>
      <c r="J308" s="2">
        <f t="shared" si="70"/>
        <v>44941</v>
      </c>
      <c r="K308" t="s">
        <v>646</v>
      </c>
      <c r="L308" t="s">
        <v>651</v>
      </c>
      <c r="M308" t="s">
        <v>665</v>
      </c>
      <c r="N308" t="str">
        <f t="shared" si="71"/>
        <v>Africa - Nigeria - Lagos</v>
      </c>
      <c r="O308" t="s">
        <v>702</v>
      </c>
      <c r="P308" t="s">
        <v>710</v>
      </c>
      <c r="Q308" t="s">
        <v>715</v>
      </c>
      <c r="R308" t="s">
        <v>733</v>
      </c>
      <c r="S308" t="s">
        <v>1040</v>
      </c>
      <c r="T308" s="6">
        <v>1450.43</v>
      </c>
      <c r="U308" s="8">
        <v>1994.67</v>
      </c>
      <c r="V308" s="8">
        <f t="shared" si="72"/>
        <v>1994.67</v>
      </c>
      <c r="W308" s="8" t="str">
        <f t="shared" si="73"/>
        <v>High</v>
      </c>
      <c r="X308" s="15">
        <v>0.1</v>
      </c>
      <c r="Y308" s="15">
        <f t="shared" si="74"/>
        <v>0.1</v>
      </c>
      <c r="Z308" t="str">
        <f t="shared" si="75"/>
        <v>No</v>
      </c>
      <c r="AA308" s="17">
        <v>24</v>
      </c>
      <c r="AB308" s="8">
        <f t="shared" si="76"/>
        <v>43084.872000000003</v>
      </c>
      <c r="AC308" s="8">
        <f t="shared" si="77"/>
        <v>34810.32</v>
      </c>
      <c r="AD308" s="8">
        <f t="shared" si="78"/>
        <v>8274.5520000000033</v>
      </c>
      <c r="AE308" s="15">
        <f t="shared" si="79"/>
        <v>0.19205237513529116</v>
      </c>
      <c r="AF308" s="34">
        <f>MIN(Y308,'Scenario Modeling'!$B$2)</f>
        <v>0.1</v>
      </c>
      <c r="AG308">
        <f>ROUND(AA308 * (1 + 'Scenario Modeling'!$B$4), 0)</f>
        <v>24</v>
      </c>
      <c r="AH308">
        <f>T308 * (1 + 'Scenario Modeling'!$B$3)</f>
        <v>1450.43</v>
      </c>
      <c r="AI308" s="8">
        <f t="shared" si="80"/>
        <v>43084.872000000003</v>
      </c>
      <c r="AJ308" s="8">
        <f t="shared" si="81"/>
        <v>8274.5520000000033</v>
      </c>
    </row>
    <row r="309" spans="1:36">
      <c r="A309" t="s">
        <v>321</v>
      </c>
      <c r="B309" s="4">
        <v>45795</v>
      </c>
      <c r="C309" s="28">
        <v>45795</v>
      </c>
      <c r="D309" s="28" t="str">
        <f t="shared" si="66"/>
        <v>Q2-2025</v>
      </c>
      <c r="E309" s="4">
        <v>45817</v>
      </c>
      <c r="F309" s="4">
        <v>45817</v>
      </c>
      <c r="G309" s="17">
        <f t="shared" si="67"/>
        <v>22</v>
      </c>
      <c r="H309" s="17">
        <f t="shared" si="68"/>
        <v>22</v>
      </c>
      <c r="I309" t="str">
        <f t="shared" si="69"/>
        <v>No</v>
      </c>
      <c r="J309" s="2">
        <f t="shared" si="70"/>
        <v>44939</v>
      </c>
      <c r="K309" t="s">
        <v>648</v>
      </c>
      <c r="L309" t="s">
        <v>660</v>
      </c>
      <c r="M309" t="s">
        <v>700</v>
      </c>
      <c r="N309" t="str">
        <f t="shared" si="71"/>
        <v>Americas - USA - New York</v>
      </c>
      <c r="O309" t="s">
        <v>704</v>
      </c>
      <c r="P309" t="s">
        <v>707</v>
      </c>
      <c r="Q309" t="s">
        <v>722</v>
      </c>
      <c r="R309" t="s">
        <v>729</v>
      </c>
      <c r="S309" t="s">
        <v>1041</v>
      </c>
      <c r="T309" s="6">
        <v>382.96</v>
      </c>
      <c r="U309" s="8">
        <v>552.84</v>
      </c>
      <c r="V309" s="8">
        <f t="shared" si="72"/>
        <v>552.84</v>
      </c>
      <c r="W309" s="8" t="str">
        <f t="shared" si="73"/>
        <v>Low</v>
      </c>
      <c r="X309" s="15">
        <v>0.17599999999999999</v>
      </c>
      <c r="Y309" s="15">
        <f t="shared" si="74"/>
        <v>0.17599999999999999</v>
      </c>
      <c r="Z309" t="str">
        <f t="shared" si="75"/>
        <v>No</v>
      </c>
      <c r="AA309" s="17">
        <v>8</v>
      </c>
      <c r="AB309" s="8">
        <f t="shared" si="76"/>
        <v>3644.3212800000006</v>
      </c>
      <c r="AC309" s="8">
        <f t="shared" si="77"/>
        <v>3063.68</v>
      </c>
      <c r="AD309" s="8">
        <f t="shared" si="78"/>
        <v>580.64128000000073</v>
      </c>
      <c r="AE309" s="15">
        <f t="shared" si="79"/>
        <v>0.15932768693763483</v>
      </c>
      <c r="AF309" s="34">
        <f>MIN(Y309,'Scenario Modeling'!$B$2)</f>
        <v>0.17599999999999999</v>
      </c>
      <c r="AG309">
        <f>ROUND(AA309 * (1 + 'Scenario Modeling'!$B$4), 0)</f>
        <v>8</v>
      </c>
      <c r="AH309">
        <f>T309 * (1 + 'Scenario Modeling'!$B$3)</f>
        <v>382.96</v>
      </c>
      <c r="AI309" s="8">
        <f t="shared" si="80"/>
        <v>3644.3212800000006</v>
      </c>
      <c r="AJ309" s="8">
        <f t="shared" si="81"/>
        <v>580.64128000000073</v>
      </c>
    </row>
    <row r="310" spans="1:36">
      <c r="A310" t="s">
        <v>322</v>
      </c>
      <c r="B310" s="4">
        <v>45679</v>
      </c>
      <c r="C310" s="28">
        <v>45679</v>
      </c>
      <c r="D310" s="28" t="str">
        <f t="shared" si="66"/>
        <v>Q1-2025</v>
      </c>
      <c r="E310" s="4">
        <v>45692</v>
      </c>
      <c r="F310" s="4">
        <v>45692</v>
      </c>
      <c r="G310" s="17">
        <f t="shared" si="67"/>
        <v>13</v>
      </c>
      <c r="H310" s="17">
        <f t="shared" si="68"/>
        <v>13</v>
      </c>
      <c r="I310" t="str">
        <f t="shared" si="69"/>
        <v>No</v>
      </c>
      <c r="J310" s="2">
        <f t="shared" si="70"/>
        <v>44988</v>
      </c>
      <c r="K310" t="s">
        <v>647</v>
      </c>
      <c r="L310" t="s">
        <v>652</v>
      </c>
      <c r="M310" t="s">
        <v>689</v>
      </c>
      <c r="N310" t="str">
        <f t="shared" si="71"/>
        <v>Asia - Japan - Tokyo</v>
      </c>
      <c r="O310" t="s">
        <v>705</v>
      </c>
      <c r="P310" t="s">
        <v>710</v>
      </c>
      <c r="Q310" t="s">
        <v>716</v>
      </c>
      <c r="R310" t="s">
        <v>728</v>
      </c>
      <c r="S310" t="s">
        <v>1042</v>
      </c>
      <c r="T310" s="6">
        <v>122.29</v>
      </c>
      <c r="U310" s="8">
        <v>224.95</v>
      </c>
      <c r="V310" s="8">
        <f t="shared" si="72"/>
        <v>224.95</v>
      </c>
      <c r="W310" s="8" t="str">
        <f t="shared" si="73"/>
        <v>Low</v>
      </c>
      <c r="X310" s="15">
        <v>0.153</v>
      </c>
      <c r="Y310" s="15">
        <f t="shared" si="74"/>
        <v>0.153</v>
      </c>
      <c r="Z310" t="str">
        <f t="shared" si="75"/>
        <v>No</v>
      </c>
      <c r="AA310" s="17">
        <v>28</v>
      </c>
      <c r="AB310" s="8">
        <f t="shared" si="76"/>
        <v>5334.9141999999993</v>
      </c>
      <c r="AC310" s="8">
        <f t="shared" si="77"/>
        <v>3424.1200000000003</v>
      </c>
      <c r="AD310" s="8">
        <f t="shared" si="78"/>
        <v>1910.7941999999989</v>
      </c>
      <c r="AE310" s="15">
        <f t="shared" si="79"/>
        <v>0.3581677471026618</v>
      </c>
      <c r="AF310" s="34">
        <f>MIN(Y310,'Scenario Modeling'!$B$2)</f>
        <v>0.153</v>
      </c>
      <c r="AG310">
        <f>ROUND(AA310 * (1 + 'Scenario Modeling'!$B$4), 0)</f>
        <v>28</v>
      </c>
      <c r="AH310">
        <f>T310 * (1 + 'Scenario Modeling'!$B$3)</f>
        <v>122.29</v>
      </c>
      <c r="AI310" s="8">
        <f t="shared" si="80"/>
        <v>5334.9141999999993</v>
      </c>
      <c r="AJ310" s="8">
        <f t="shared" si="81"/>
        <v>1910.7941999999989</v>
      </c>
    </row>
    <row r="311" spans="1:36">
      <c r="A311" t="s">
        <v>323</v>
      </c>
      <c r="B311" s="4">
        <v>44936</v>
      </c>
      <c r="C311" s="28">
        <v>44936</v>
      </c>
      <c r="D311" s="28" t="str">
        <f t="shared" si="66"/>
        <v>Q1-2023</v>
      </c>
      <c r="E311" s="4">
        <v>44955</v>
      </c>
      <c r="F311" s="4">
        <v>44955</v>
      </c>
      <c r="G311" s="17">
        <f t="shared" si="67"/>
        <v>19</v>
      </c>
      <c r="H311" s="17">
        <f t="shared" si="68"/>
        <v>19</v>
      </c>
      <c r="I311" t="str">
        <f t="shared" si="69"/>
        <v>No</v>
      </c>
      <c r="J311" s="2">
        <f t="shared" si="70"/>
        <v>44936</v>
      </c>
      <c r="K311" t="s">
        <v>649</v>
      </c>
      <c r="L311" t="s">
        <v>657</v>
      </c>
      <c r="M311" t="s">
        <v>679</v>
      </c>
      <c r="N311" t="str">
        <f t="shared" si="71"/>
        <v>Europe - France - Lyon</v>
      </c>
      <c r="O311" t="s">
        <v>703</v>
      </c>
      <c r="P311" t="s">
        <v>711</v>
      </c>
      <c r="Q311" t="s">
        <v>726</v>
      </c>
      <c r="R311" t="s">
        <v>731</v>
      </c>
      <c r="S311" t="s">
        <v>1043</v>
      </c>
      <c r="T311" s="6">
        <v>401.66</v>
      </c>
      <c r="U311" s="8">
        <v>772.09</v>
      </c>
      <c r="V311" s="8">
        <f t="shared" si="72"/>
        <v>772.09</v>
      </c>
      <c r="W311" s="8" t="str">
        <f t="shared" si="73"/>
        <v>Low</v>
      </c>
      <c r="X311" s="15">
        <v>8.8999999999999996E-2</v>
      </c>
      <c r="Y311" s="15">
        <f t="shared" si="74"/>
        <v>8.8999999999999996E-2</v>
      </c>
      <c r="Z311" t="str">
        <f t="shared" si="75"/>
        <v>No</v>
      </c>
      <c r="AA311" s="17">
        <v>14</v>
      </c>
      <c r="AB311" s="8">
        <f t="shared" si="76"/>
        <v>9847.2358600000007</v>
      </c>
      <c r="AC311" s="8">
        <f t="shared" si="77"/>
        <v>5623.2400000000007</v>
      </c>
      <c r="AD311" s="8">
        <f t="shared" si="78"/>
        <v>4223.99586</v>
      </c>
      <c r="AE311" s="15">
        <f t="shared" si="79"/>
        <v>0.42895244107619046</v>
      </c>
      <c r="AF311" s="34">
        <f>MIN(Y311,'Scenario Modeling'!$B$2)</f>
        <v>8.8999999999999996E-2</v>
      </c>
      <c r="AG311">
        <f>ROUND(AA311 * (1 + 'Scenario Modeling'!$B$4), 0)</f>
        <v>14</v>
      </c>
      <c r="AH311">
        <f>T311 * (1 + 'Scenario Modeling'!$B$3)</f>
        <v>401.66</v>
      </c>
      <c r="AI311" s="8">
        <f t="shared" si="80"/>
        <v>9847.2358600000007</v>
      </c>
      <c r="AJ311" s="8">
        <f t="shared" si="81"/>
        <v>4223.99586</v>
      </c>
    </row>
    <row r="312" spans="1:36">
      <c r="A312" t="s">
        <v>324</v>
      </c>
      <c r="B312" s="4">
        <v>45655</v>
      </c>
      <c r="C312" s="28">
        <v>45655</v>
      </c>
      <c r="D312" s="28" t="str">
        <f t="shared" si="66"/>
        <v>Q4-2024</v>
      </c>
      <c r="E312" s="4">
        <v>45669</v>
      </c>
      <c r="F312" s="4">
        <v>45669</v>
      </c>
      <c r="G312" s="17">
        <f t="shared" si="67"/>
        <v>14</v>
      </c>
      <c r="H312" s="17">
        <f t="shared" si="68"/>
        <v>14</v>
      </c>
      <c r="I312" t="str">
        <f t="shared" si="69"/>
        <v>No</v>
      </c>
      <c r="J312" s="2">
        <f t="shared" si="70"/>
        <v>44945</v>
      </c>
      <c r="K312" t="s">
        <v>649</v>
      </c>
      <c r="L312" t="s">
        <v>658</v>
      </c>
      <c r="M312" t="s">
        <v>693</v>
      </c>
      <c r="N312" t="str">
        <f t="shared" si="71"/>
        <v>Europe - United Kingdom - Manchester</v>
      </c>
      <c r="O312" t="s">
        <v>701</v>
      </c>
      <c r="P312" t="s">
        <v>711</v>
      </c>
      <c r="Q312" t="s">
        <v>717</v>
      </c>
      <c r="R312" t="s">
        <v>732</v>
      </c>
      <c r="S312" t="s">
        <v>1044</v>
      </c>
      <c r="T312" s="6">
        <v>1399.72</v>
      </c>
      <c r="U312" s="8">
        <v>3149.21</v>
      </c>
      <c r="V312" s="8">
        <f t="shared" si="72"/>
        <v>3149.21</v>
      </c>
      <c r="W312" s="8" t="str">
        <f t="shared" si="73"/>
        <v>High</v>
      </c>
      <c r="X312" s="15">
        <v>0.185</v>
      </c>
      <c r="Y312" s="15">
        <f t="shared" si="74"/>
        <v>0.185</v>
      </c>
      <c r="Z312" t="str">
        <f t="shared" si="75"/>
        <v>No</v>
      </c>
      <c r="AA312" s="17">
        <v>12</v>
      </c>
      <c r="AB312" s="8">
        <f t="shared" si="76"/>
        <v>30799.273800000003</v>
      </c>
      <c r="AC312" s="8">
        <f t="shared" si="77"/>
        <v>16796.64</v>
      </c>
      <c r="AD312" s="8">
        <f t="shared" si="78"/>
        <v>14002.633800000003</v>
      </c>
      <c r="AE312" s="15">
        <f t="shared" si="79"/>
        <v>0.45464168703873797</v>
      </c>
      <c r="AF312" s="34">
        <f>MIN(Y312,'Scenario Modeling'!$B$2)</f>
        <v>0.185</v>
      </c>
      <c r="AG312">
        <f>ROUND(AA312 * (1 + 'Scenario Modeling'!$B$4), 0)</f>
        <v>12</v>
      </c>
      <c r="AH312">
        <f>T312 * (1 + 'Scenario Modeling'!$B$3)</f>
        <v>1399.72</v>
      </c>
      <c r="AI312" s="8">
        <f t="shared" si="80"/>
        <v>30799.273800000003</v>
      </c>
      <c r="AJ312" s="8">
        <f t="shared" si="81"/>
        <v>14002.633800000003</v>
      </c>
    </row>
    <row r="313" spans="1:36">
      <c r="A313" t="s">
        <v>325</v>
      </c>
      <c r="B313" s="4">
        <v>45435</v>
      </c>
      <c r="C313" s="28">
        <v>45435</v>
      </c>
      <c r="D313" s="28" t="str">
        <f t="shared" si="66"/>
        <v>Q2-2024</v>
      </c>
      <c r="E313" s="4">
        <v>45449</v>
      </c>
      <c r="F313" s="4">
        <v>45449</v>
      </c>
      <c r="G313" s="17">
        <f t="shared" si="67"/>
        <v>14</v>
      </c>
      <c r="H313" s="17">
        <f t="shared" si="68"/>
        <v>14</v>
      </c>
      <c r="I313" t="str">
        <f t="shared" si="69"/>
        <v>No</v>
      </c>
      <c r="J313" s="2">
        <f t="shared" si="70"/>
        <v>44955</v>
      </c>
      <c r="K313" t="s">
        <v>648</v>
      </c>
      <c r="L313" t="s">
        <v>655</v>
      </c>
      <c r="M313" t="s">
        <v>692</v>
      </c>
      <c r="N313" t="str">
        <f t="shared" si="71"/>
        <v>Americas - Brazil - Rio de Janeiro</v>
      </c>
      <c r="O313" t="s">
        <v>703</v>
      </c>
      <c r="P313" t="s">
        <v>708</v>
      </c>
      <c r="Q313" t="s">
        <v>714</v>
      </c>
      <c r="R313" t="s">
        <v>729</v>
      </c>
      <c r="S313" t="s">
        <v>1045</v>
      </c>
      <c r="T313" s="6">
        <v>51.13</v>
      </c>
      <c r="U313" s="8">
        <v>57.53</v>
      </c>
      <c r="V313" s="8">
        <f t="shared" si="72"/>
        <v>57.53</v>
      </c>
      <c r="W313" s="8" t="str">
        <f t="shared" si="73"/>
        <v>Low</v>
      </c>
      <c r="X313" s="15">
        <v>4.4999999999999998E-2</v>
      </c>
      <c r="Y313" s="15">
        <f t="shared" si="74"/>
        <v>4.4999999999999998E-2</v>
      </c>
      <c r="Z313" t="str">
        <f t="shared" si="75"/>
        <v>No</v>
      </c>
      <c r="AA313" s="17">
        <v>16</v>
      </c>
      <c r="AB313" s="8">
        <f t="shared" si="76"/>
        <v>879.05840000000001</v>
      </c>
      <c r="AC313" s="8">
        <f t="shared" si="77"/>
        <v>818.08</v>
      </c>
      <c r="AD313" s="8">
        <f t="shared" si="78"/>
        <v>60.978399999999965</v>
      </c>
      <c r="AE313" s="15">
        <f t="shared" si="79"/>
        <v>6.9367859973808302E-2</v>
      </c>
      <c r="AF313" s="34">
        <f>MIN(Y313,'Scenario Modeling'!$B$2)</f>
        <v>4.4999999999999998E-2</v>
      </c>
      <c r="AG313">
        <f>ROUND(AA313 * (1 + 'Scenario Modeling'!$B$4), 0)</f>
        <v>16</v>
      </c>
      <c r="AH313">
        <f>T313 * (1 + 'Scenario Modeling'!$B$3)</f>
        <v>51.13</v>
      </c>
      <c r="AI313" s="8">
        <f t="shared" si="80"/>
        <v>879.05840000000001</v>
      </c>
      <c r="AJ313" s="8">
        <f t="shared" si="81"/>
        <v>60.978399999999965</v>
      </c>
    </row>
    <row r="314" spans="1:36">
      <c r="A314" t="s">
        <v>326</v>
      </c>
      <c r="B314" s="4">
        <v>45101</v>
      </c>
      <c r="C314" s="28">
        <v>45101</v>
      </c>
      <c r="D314" s="28" t="str">
        <f t="shared" si="66"/>
        <v>Q2-2023</v>
      </c>
      <c r="E314" s="4">
        <v>45099</v>
      </c>
      <c r="F314" s="4">
        <f>B314+3</f>
        <v>45104</v>
      </c>
      <c r="G314" s="17">
        <f t="shared" si="67"/>
        <v>-2</v>
      </c>
      <c r="H314" s="17">
        <f t="shared" si="68"/>
        <v>3</v>
      </c>
      <c r="I314" t="str">
        <f t="shared" si="69"/>
        <v>Yes</v>
      </c>
      <c r="J314" s="2">
        <f t="shared" si="70"/>
        <v>44928</v>
      </c>
      <c r="K314" t="s">
        <v>648</v>
      </c>
      <c r="L314" t="s">
        <v>653</v>
      </c>
      <c r="M314" t="s">
        <v>667</v>
      </c>
      <c r="N314" t="str">
        <f t="shared" si="71"/>
        <v>Americas - Canada - Toronto</v>
      </c>
      <c r="O314" t="s">
        <v>703</v>
      </c>
      <c r="P314" t="s">
        <v>707</v>
      </c>
      <c r="Q314" t="s">
        <v>724</v>
      </c>
      <c r="R314" t="s">
        <v>733</v>
      </c>
      <c r="S314" t="s">
        <v>1046</v>
      </c>
      <c r="T314" s="6">
        <v>471.42</v>
      </c>
      <c r="U314" s="8">
        <v>824.81</v>
      </c>
      <c r="V314" s="8">
        <f t="shared" si="72"/>
        <v>824.81</v>
      </c>
      <c r="W314" s="8" t="str">
        <f t="shared" si="73"/>
        <v>Medium</v>
      </c>
      <c r="X314" s="15">
        <v>8.7999999999999995E-2</v>
      </c>
      <c r="Y314" s="15">
        <f t="shared" si="74"/>
        <v>8.7999999999999995E-2</v>
      </c>
      <c r="Z314" t="str">
        <f t="shared" si="75"/>
        <v>No</v>
      </c>
      <c r="AA314" s="17">
        <v>15</v>
      </c>
      <c r="AB314" s="8">
        <f t="shared" si="76"/>
        <v>11283.400799999999</v>
      </c>
      <c r="AC314" s="8">
        <f t="shared" si="77"/>
        <v>7071.3</v>
      </c>
      <c r="AD314" s="8">
        <f t="shared" si="78"/>
        <v>4212.1007999999993</v>
      </c>
      <c r="AE314" s="15">
        <f t="shared" si="79"/>
        <v>0.37330064531608231</v>
      </c>
      <c r="AF314" s="34">
        <f>MIN(Y314,'Scenario Modeling'!$B$2)</f>
        <v>8.7999999999999995E-2</v>
      </c>
      <c r="AG314">
        <f>ROUND(AA314 * (1 + 'Scenario Modeling'!$B$4), 0)</f>
        <v>15</v>
      </c>
      <c r="AH314">
        <f>T314 * (1 + 'Scenario Modeling'!$B$3)</f>
        <v>471.42</v>
      </c>
      <c r="AI314" s="8">
        <f t="shared" si="80"/>
        <v>11283.400799999999</v>
      </c>
      <c r="AJ314" s="8">
        <f t="shared" si="81"/>
        <v>4212.1007999999993</v>
      </c>
    </row>
    <row r="315" spans="1:36">
      <c r="A315" t="s">
        <v>327</v>
      </c>
      <c r="B315" s="4">
        <v>45600</v>
      </c>
      <c r="C315" s="28">
        <v>45600</v>
      </c>
      <c r="D315" s="28" t="str">
        <f t="shared" si="66"/>
        <v>Q4-2024</v>
      </c>
      <c r="E315" s="4">
        <v>45601</v>
      </c>
      <c r="F315" s="4">
        <v>45601</v>
      </c>
      <c r="G315" s="17">
        <f t="shared" si="67"/>
        <v>1</v>
      </c>
      <c r="H315" s="17">
        <f t="shared" si="68"/>
        <v>1</v>
      </c>
      <c r="I315" t="str">
        <f t="shared" si="69"/>
        <v>Yes</v>
      </c>
      <c r="J315" s="2">
        <f t="shared" si="70"/>
        <v>44945</v>
      </c>
      <c r="K315" t="s">
        <v>649</v>
      </c>
      <c r="L315" t="s">
        <v>658</v>
      </c>
      <c r="M315" t="s">
        <v>683</v>
      </c>
      <c r="N315" t="str">
        <f t="shared" si="71"/>
        <v>Europe - United Kingdom - London</v>
      </c>
      <c r="O315" t="s">
        <v>701</v>
      </c>
      <c r="P315" t="s">
        <v>707</v>
      </c>
      <c r="Q315" t="s">
        <v>724</v>
      </c>
      <c r="R315" t="s">
        <v>728</v>
      </c>
      <c r="S315" t="s">
        <v>1047</v>
      </c>
      <c r="T315" s="6">
        <v>840.68</v>
      </c>
      <c r="U315" s="8">
        <v>1493.53</v>
      </c>
      <c r="V315" s="8">
        <f t="shared" si="72"/>
        <v>1493.53</v>
      </c>
      <c r="W315" s="8" t="str">
        <f t="shared" si="73"/>
        <v>Medium</v>
      </c>
      <c r="X315" s="15">
        <v>0</v>
      </c>
      <c r="Y315" s="15">
        <f t="shared" si="74"/>
        <v>0</v>
      </c>
      <c r="Z315" t="str">
        <f t="shared" si="75"/>
        <v>No</v>
      </c>
      <c r="AA315" s="17">
        <v>27</v>
      </c>
      <c r="AB315" s="8">
        <f t="shared" si="76"/>
        <v>40325.31</v>
      </c>
      <c r="AC315" s="8">
        <f t="shared" si="77"/>
        <v>22698.359999999997</v>
      </c>
      <c r="AD315" s="8">
        <f t="shared" si="78"/>
        <v>17626.95</v>
      </c>
      <c r="AE315" s="15">
        <f t="shared" si="79"/>
        <v>0.43711877230454027</v>
      </c>
      <c r="AF315" s="34">
        <f>MIN(Y315,'Scenario Modeling'!$B$2)</f>
        <v>0</v>
      </c>
      <c r="AG315">
        <f>ROUND(AA315 * (1 + 'Scenario Modeling'!$B$4), 0)</f>
        <v>27</v>
      </c>
      <c r="AH315">
        <f>T315 * (1 + 'Scenario Modeling'!$B$3)</f>
        <v>840.68</v>
      </c>
      <c r="AI315" s="8">
        <f t="shared" si="80"/>
        <v>40325.31</v>
      </c>
      <c r="AJ315" s="8">
        <f t="shared" si="81"/>
        <v>17626.95</v>
      </c>
    </row>
    <row r="316" spans="1:36">
      <c r="A316" t="s">
        <v>328</v>
      </c>
      <c r="B316" s="4">
        <v>45451</v>
      </c>
      <c r="C316" s="28">
        <v>45451</v>
      </c>
      <c r="D316" s="28" t="str">
        <f t="shared" si="66"/>
        <v>Q2-2024</v>
      </c>
      <c r="E316" s="4">
        <v>45467</v>
      </c>
      <c r="F316" s="4">
        <v>45467</v>
      </c>
      <c r="G316" s="17">
        <f t="shared" si="67"/>
        <v>16</v>
      </c>
      <c r="H316" s="17">
        <f t="shared" si="68"/>
        <v>16</v>
      </c>
      <c r="I316" t="str">
        <f t="shared" si="69"/>
        <v>No</v>
      </c>
      <c r="J316" s="2">
        <f t="shared" si="70"/>
        <v>44933</v>
      </c>
      <c r="K316" t="s">
        <v>646</v>
      </c>
      <c r="L316" t="s">
        <v>661</v>
      </c>
      <c r="M316" t="s">
        <v>687</v>
      </c>
      <c r="N316" t="str">
        <f t="shared" si="71"/>
        <v>Africa - South Africa - Durban</v>
      </c>
      <c r="O316" t="s">
        <v>702</v>
      </c>
      <c r="P316" t="s">
        <v>710</v>
      </c>
      <c r="Q316" t="s">
        <v>722</v>
      </c>
      <c r="R316" t="s">
        <v>732</v>
      </c>
      <c r="S316" t="s">
        <v>1048</v>
      </c>
      <c r="T316" s="6">
        <v>597.85</v>
      </c>
      <c r="U316" s="8">
        <v>741.92</v>
      </c>
      <c r="V316" s="8">
        <f t="shared" si="72"/>
        <v>741.92</v>
      </c>
      <c r="W316" s="8" t="str">
        <f t="shared" si="73"/>
        <v>Low</v>
      </c>
      <c r="X316" s="15">
        <v>3.1E-2</v>
      </c>
      <c r="Y316" s="15">
        <f t="shared" si="74"/>
        <v>3.1E-2</v>
      </c>
      <c r="Z316" t="str">
        <f t="shared" si="75"/>
        <v>No</v>
      </c>
      <c r="AA316" s="17">
        <v>7</v>
      </c>
      <c r="AB316" s="8">
        <f t="shared" si="76"/>
        <v>5032.4433599999993</v>
      </c>
      <c r="AC316" s="8">
        <f t="shared" si="77"/>
        <v>4184.95</v>
      </c>
      <c r="AD316" s="8">
        <f t="shared" si="78"/>
        <v>847.49335999999948</v>
      </c>
      <c r="AE316" s="15">
        <f t="shared" si="79"/>
        <v>0.16840594108544515</v>
      </c>
      <c r="AF316" s="34">
        <f>MIN(Y316,'Scenario Modeling'!$B$2)</f>
        <v>3.1E-2</v>
      </c>
      <c r="AG316">
        <f>ROUND(AA316 * (1 + 'Scenario Modeling'!$B$4), 0)</f>
        <v>7</v>
      </c>
      <c r="AH316">
        <f>T316 * (1 + 'Scenario Modeling'!$B$3)</f>
        <v>597.85</v>
      </c>
      <c r="AI316" s="8">
        <f t="shared" si="80"/>
        <v>5032.4433599999993</v>
      </c>
      <c r="AJ316" s="8">
        <f t="shared" si="81"/>
        <v>847.49335999999948</v>
      </c>
    </row>
    <row r="317" spans="1:36">
      <c r="A317" t="s">
        <v>329</v>
      </c>
      <c r="B317" s="4">
        <v>45809</v>
      </c>
      <c r="C317" s="28">
        <v>45809</v>
      </c>
      <c r="D317" s="28" t="str">
        <f t="shared" si="66"/>
        <v>Q2-2025</v>
      </c>
      <c r="E317" s="4">
        <v>45814</v>
      </c>
      <c r="F317" s="4">
        <v>45814</v>
      </c>
      <c r="G317" s="17">
        <f t="shared" si="67"/>
        <v>5</v>
      </c>
      <c r="H317" s="17">
        <f t="shared" si="68"/>
        <v>5</v>
      </c>
      <c r="I317" t="str">
        <f t="shared" si="69"/>
        <v>Yes</v>
      </c>
      <c r="J317" s="2">
        <f t="shared" si="70"/>
        <v>44936</v>
      </c>
      <c r="K317" t="s">
        <v>649</v>
      </c>
      <c r="L317" t="s">
        <v>657</v>
      </c>
      <c r="M317" t="s">
        <v>690</v>
      </c>
      <c r="N317" t="str">
        <f t="shared" si="71"/>
        <v>Europe - France - Paris</v>
      </c>
      <c r="O317" t="s">
        <v>704</v>
      </c>
      <c r="P317" t="s">
        <v>710</v>
      </c>
      <c r="Q317" t="s">
        <v>715</v>
      </c>
      <c r="R317" t="s">
        <v>727</v>
      </c>
      <c r="S317" t="s">
        <v>1049</v>
      </c>
      <c r="T317" s="6">
        <v>379.45</v>
      </c>
      <c r="U317" s="8">
        <v>742.23</v>
      </c>
      <c r="V317" s="8">
        <f t="shared" si="72"/>
        <v>742.23</v>
      </c>
      <c r="W317" s="8" t="str">
        <f t="shared" si="73"/>
        <v>Low</v>
      </c>
      <c r="X317" s="15">
        <v>0.09</v>
      </c>
      <c r="Y317" s="15">
        <f t="shared" si="74"/>
        <v>0.09</v>
      </c>
      <c r="Z317" t="str">
        <f t="shared" si="75"/>
        <v>No</v>
      </c>
      <c r="AA317" s="17">
        <v>13</v>
      </c>
      <c r="AB317" s="8">
        <f t="shared" si="76"/>
        <v>8780.5809000000008</v>
      </c>
      <c r="AC317" s="8">
        <f t="shared" si="77"/>
        <v>4932.8499999999995</v>
      </c>
      <c r="AD317" s="8">
        <f t="shared" si="78"/>
        <v>3847.7309000000014</v>
      </c>
      <c r="AE317" s="15">
        <f t="shared" si="79"/>
        <v>0.43820915083192286</v>
      </c>
      <c r="AF317" s="34">
        <f>MIN(Y317,'Scenario Modeling'!$B$2)</f>
        <v>0.09</v>
      </c>
      <c r="AG317">
        <f>ROUND(AA317 * (1 + 'Scenario Modeling'!$B$4), 0)</f>
        <v>13</v>
      </c>
      <c r="AH317">
        <f>T317 * (1 + 'Scenario Modeling'!$B$3)</f>
        <v>379.45</v>
      </c>
      <c r="AI317" s="8">
        <f t="shared" si="80"/>
        <v>8780.5809000000008</v>
      </c>
      <c r="AJ317" s="8">
        <f t="shared" si="81"/>
        <v>3847.7309000000014</v>
      </c>
    </row>
    <row r="318" spans="1:36">
      <c r="A318" t="s">
        <v>330</v>
      </c>
      <c r="B318" s="4">
        <v>45052</v>
      </c>
      <c r="C318" s="28">
        <v>45052</v>
      </c>
      <c r="D318" s="28" t="str">
        <f t="shared" si="66"/>
        <v>Q2-2023</v>
      </c>
      <c r="E318" s="4">
        <v>45060</v>
      </c>
      <c r="F318" s="4">
        <v>45060</v>
      </c>
      <c r="G318" s="17">
        <f t="shared" si="67"/>
        <v>8</v>
      </c>
      <c r="H318" s="17">
        <f t="shared" si="68"/>
        <v>8</v>
      </c>
      <c r="I318" t="str">
        <f t="shared" si="69"/>
        <v>No</v>
      </c>
      <c r="J318" s="2">
        <f t="shared" si="70"/>
        <v>44988</v>
      </c>
      <c r="K318" t="s">
        <v>647</v>
      </c>
      <c r="L318" t="s">
        <v>652</v>
      </c>
      <c r="M318" t="s">
        <v>666</v>
      </c>
      <c r="N318" t="str">
        <f t="shared" si="71"/>
        <v>Asia - Japan - Osaka</v>
      </c>
      <c r="O318" t="s">
        <v>706</v>
      </c>
      <c r="P318" t="s">
        <v>709</v>
      </c>
      <c r="Q318" t="s">
        <v>717</v>
      </c>
      <c r="R318" t="s">
        <v>730</v>
      </c>
      <c r="S318" t="s">
        <v>1050</v>
      </c>
      <c r="T318" s="6">
        <v>291.18</v>
      </c>
      <c r="U318" s="8">
        <v>479.54</v>
      </c>
      <c r="V318" s="8">
        <f t="shared" si="72"/>
        <v>479.54</v>
      </c>
      <c r="W318" s="8" t="str">
        <f t="shared" si="73"/>
        <v>Low</v>
      </c>
      <c r="X318" s="15">
        <v>0.14099999999999999</v>
      </c>
      <c r="Y318" s="15">
        <f t="shared" si="74"/>
        <v>0.14099999999999999</v>
      </c>
      <c r="Z318" t="str">
        <f t="shared" si="75"/>
        <v>No</v>
      </c>
      <c r="AA318" s="17">
        <v>22</v>
      </c>
      <c r="AB318" s="8">
        <f t="shared" si="76"/>
        <v>9062.34692</v>
      </c>
      <c r="AC318" s="8">
        <f t="shared" si="77"/>
        <v>6405.96</v>
      </c>
      <c r="AD318" s="8">
        <f t="shared" si="78"/>
        <v>2656.3869199999999</v>
      </c>
      <c r="AE318" s="15">
        <f t="shared" si="79"/>
        <v>0.29312350801066001</v>
      </c>
      <c r="AF318" s="34">
        <f>MIN(Y318,'Scenario Modeling'!$B$2)</f>
        <v>0.14099999999999999</v>
      </c>
      <c r="AG318">
        <f>ROUND(AA318 * (1 + 'Scenario Modeling'!$B$4), 0)</f>
        <v>22</v>
      </c>
      <c r="AH318">
        <f>T318 * (1 + 'Scenario Modeling'!$B$3)</f>
        <v>291.18</v>
      </c>
      <c r="AI318" s="8">
        <f t="shared" si="80"/>
        <v>9062.34692</v>
      </c>
      <c r="AJ318" s="8">
        <f t="shared" si="81"/>
        <v>2656.3869199999999</v>
      </c>
    </row>
    <row r="319" spans="1:36">
      <c r="A319" t="s">
        <v>331</v>
      </c>
      <c r="B319" s="4">
        <v>45244</v>
      </c>
      <c r="C319" s="28">
        <v>45244</v>
      </c>
      <c r="D319" s="28" t="str">
        <f t="shared" si="66"/>
        <v>Q4-2023</v>
      </c>
      <c r="E319" s="4">
        <v>45260</v>
      </c>
      <c r="F319" s="4">
        <v>45260</v>
      </c>
      <c r="G319" s="17">
        <f t="shared" si="67"/>
        <v>16</v>
      </c>
      <c r="H319" s="17">
        <f t="shared" si="68"/>
        <v>16</v>
      </c>
      <c r="I319" t="str">
        <f t="shared" si="69"/>
        <v>No</v>
      </c>
      <c r="J319" s="2">
        <f t="shared" si="70"/>
        <v>44955</v>
      </c>
      <c r="K319" t="s">
        <v>648</v>
      </c>
      <c r="L319" t="s">
        <v>655</v>
      </c>
      <c r="M319" t="s">
        <v>670</v>
      </c>
      <c r="N319" t="str">
        <f t="shared" si="71"/>
        <v>Americas - Brazil - São Paulo</v>
      </c>
      <c r="O319" t="s">
        <v>706</v>
      </c>
      <c r="P319" t="s">
        <v>711</v>
      </c>
      <c r="Q319" t="s">
        <v>723</v>
      </c>
      <c r="R319" t="s">
        <v>729</v>
      </c>
      <c r="S319" t="s">
        <v>1051</v>
      </c>
      <c r="T319" s="6">
        <v>1017.92</v>
      </c>
      <c r="U319" s="8">
        <v>1175.25</v>
      </c>
      <c r="V319" s="8">
        <f t="shared" si="72"/>
        <v>1175.25</v>
      </c>
      <c r="W319" s="8" t="str">
        <f t="shared" si="73"/>
        <v>Medium</v>
      </c>
      <c r="X319" s="15">
        <v>7.4999999999999997E-2</v>
      </c>
      <c r="Y319" s="15">
        <f t="shared" si="74"/>
        <v>7.4999999999999997E-2</v>
      </c>
      <c r="Z319" t="str">
        <f t="shared" si="75"/>
        <v>No</v>
      </c>
      <c r="AA319" s="17">
        <v>15</v>
      </c>
      <c r="AB319" s="8">
        <f t="shared" si="76"/>
        <v>16306.59375</v>
      </c>
      <c r="AC319" s="8">
        <f t="shared" si="77"/>
        <v>15268.8</v>
      </c>
      <c r="AD319" s="8">
        <f t="shared" si="78"/>
        <v>1037.7937500000007</v>
      </c>
      <c r="AE319" s="15">
        <f t="shared" si="79"/>
        <v>6.3642583234159542E-2</v>
      </c>
      <c r="AF319" s="34">
        <f>MIN(Y319,'Scenario Modeling'!$B$2)</f>
        <v>7.4999999999999997E-2</v>
      </c>
      <c r="AG319">
        <f>ROUND(AA319 * (1 + 'Scenario Modeling'!$B$4), 0)</f>
        <v>15</v>
      </c>
      <c r="AH319">
        <f>T319 * (1 + 'Scenario Modeling'!$B$3)</f>
        <v>1017.92</v>
      </c>
      <c r="AI319" s="8">
        <f t="shared" si="80"/>
        <v>16306.59375</v>
      </c>
      <c r="AJ319" s="8">
        <f t="shared" si="81"/>
        <v>1037.7937500000007</v>
      </c>
    </row>
    <row r="320" spans="1:36">
      <c r="A320" t="s">
        <v>332</v>
      </c>
      <c r="B320" s="4">
        <v>45748</v>
      </c>
      <c r="C320" s="28">
        <v>45748</v>
      </c>
      <c r="D320" s="28" t="str">
        <f t="shared" si="66"/>
        <v>Q2-2025</v>
      </c>
      <c r="E320" s="4">
        <v>45774</v>
      </c>
      <c r="F320" s="4">
        <v>45774</v>
      </c>
      <c r="G320" s="17">
        <f t="shared" si="67"/>
        <v>26</v>
      </c>
      <c r="H320" s="17">
        <f t="shared" si="68"/>
        <v>26</v>
      </c>
      <c r="I320" t="str">
        <f t="shared" si="69"/>
        <v>No</v>
      </c>
      <c r="J320" s="2">
        <f t="shared" si="70"/>
        <v>44939</v>
      </c>
      <c r="K320" t="s">
        <v>648</v>
      </c>
      <c r="L320" t="s">
        <v>660</v>
      </c>
      <c r="M320" t="s">
        <v>686</v>
      </c>
      <c r="N320" t="str">
        <f t="shared" si="71"/>
        <v>Americas - USA - San Francisco</v>
      </c>
      <c r="O320" t="s">
        <v>701</v>
      </c>
      <c r="P320" t="s">
        <v>711</v>
      </c>
      <c r="Q320" t="s">
        <v>714</v>
      </c>
      <c r="R320" t="s">
        <v>732</v>
      </c>
      <c r="S320" t="s">
        <v>1052</v>
      </c>
      <c r="T320" s="6">
        <v>156.55000000000001</v>
      </c>
      <c r="U320" s="8">
        <v>227.45</v>
      </c>
      <c r="V320" s="8">
        <f t="shared" si="72"/>
        <v>227.45</v>
      </c>
      <c r="W320" s="8" t="str">
        <f t="shared" si="73"/>
        <v>Low</v>
      </c>
      <c r="X320" s="15">
        <v>1.4E-2</v>
      </c>
      <c r="Y320" s="15">
        <f t="shared" si="74"/>
        <v>1.4E-2</v>
      </c>
      <c r="Z320" t="str">
        <f t="shared" si="75"/>
        <v>No</v>
      </c>
      <c r="AA320" s="17">
        <v>13</v>
      </c>
      <c r="AB320" s="8">
        <f t="shared" si="76"/>
        <v>2915.4540999999999</v>
      </c>
      <c r="AC320" s="8">
        <f t="shared" si="77"/>
        <v>2035.15</v>
      </c>
      <c r="AD320" s="8">
        <f t="shared" si="78"/>
        <v>880.30409999999983</v>
      </c>
      <c r="AE320" s="15">
        <f t="shared" si="79"/>
        <v>0.3019440779396938</v>
      </c>
      <c r="AF320" s="34">
        <f>MIN(Y320,'Scenario Modeling'!$B$2)</f>
        <v>1.4E-2</v>
      </c>
      <c r="AG320">
        <f>ROUND(AA320 * (1 + 'Scenario Modeling'!$B$4), 0)</f>
        <v>13</v>
      </c>
      <c r="AH320">
        <f>T320 * (1 + 'Scenario Modeling'!$B$3)</f>
        <v>156.55000000000001</v>
      </c>
      <c r="AI320" s="8">
        <f t="shared" si="80"/>
        <v>2915.4540999999999</v>
      </c>
      <c r="AJ320" s="8">
        <f t="shared" si="81"/>
        <v>880.30409999999983</v>
      </c>
    </row>
    <row r="321" spans="1:36">
      <c r="A321" t="s">
        <v>333</v>
      </c>
      <c r="B321" s="4">
        <v>45008</v>
      </c>
      <c r="C321" s="28">
        <v>45008</v>
      </c>
      <c r="D321" s="28" t="str">
        <f t="shared" si="66"/>
        <v>Q1-2023</v>
      </c>
      <c r="E321" s="4">
        <v>45031</v>
      </c>
      <c r="F321" s="4">
        <v>45031</v>
      </c>
      <c r="G321" s="17">
        <f t="shared" si="67"/>
        <v>23</v>
      </c>
      <c r="H321" s="17">
        <f t="shared" si="68"/>
        <v>23</v>
      </c>
      <c r="I321" t="str">
        <f t="shared" si="69"/>
        <v>No</v>
      </c>
      <c r="J321" s="2">
        <f t="shared" si="70"/>
        <v>44946</v>
      </c>
      <c r="K321" t="s">
        <v>646</v>
      </c>
      <c r="L321" t="s">
        <v>650</v>
      </c>
      <c r="M321" t="s">
        <v>675</v>
      </c>
      <c r="N321" t="str">
        <f t="shared" si="71"/>
        <v>Africa - Kenya - Mombasa</v>
      </c>
      <c r="O321" t="s">
        <v>705</v>
      </c>
      <c r="P321" t="s">
        <v>707</v>
      </c>
      <c r="Q321" t="s">
        <v>712</v>
      </c>
      <c r="R321" t="s">
        <v>733</v>
      </c>
      <c r="S321" t="s">
        <v>1053</v>
      </c>
      <c r="T321" s="6">
        <v>875.36</v>
      </c>
      <c r="U321" s="8">
        <v>1178.6199999999999</v>
      </c>
      <c r="V321" s="8">
        <f t="shared" si="72"/>
        <v>1178.6199999999999</v>
      </c>
      <c r="W321" s="8" t="str">
        <f t="shared" si="73"/>
        <v>Medium</v>
      </c>
      <c r="X321" s="15">
        <v>0.151</v>
      </c>
      <c r="Y321" s="15">
        <f t="shared" si="74"/>
        <v>0.151</v>
      </c>
      <c r="Z321" t="str">
        <f t="shared" si="75"/>
        <v>No</v>
      </c>
      <c r="AA321" s="17">
        <v>53</v>
      </c>
      <c r="AB321" s="8">
        <f t="shared" si="76"/>
        <v>53034.364139999991</v>
      </c>
      <c r="AC321" s="8">
        <f t="shared" si="77"/>
        <v>46394.080000000002</v>
      </c>
      <c r="AD321" s="8">
        <f t="shared" si="78"/>
        <v>6640.2841399999888</v>
      </c>
      <c r="AE321" s="15">
        <f t="shared" si="79"/>
        <v>0.12520719815685888</v>
      </c>
      <c r="AF321" s="34">
        <f>MIN(Y321,'Scenario Modeling'!$B$2)</f>
        <v>0.151</v>
      </c>
      <c r="AG321">
        <f>ROUND(AA321 * (1 + 'Scenario Modeling'!$B$4), 0)</f>
        <v>53</v>
      </c>
      <c r="AH321">
        <f>T321 * (1 + 'Scenario Modeling'!$B$3)</f>
        <v>875.36</v>
      </c>
      <c r="AI321" s="8">
        <f t="shared" si="80"/>
        <v>53034.364139999991</v>
      </c>
      <c r="AJ321" s="8">
        <f t="shared" si="81"/>
        <v>6640.2841399999888</v>
      </c>
    </row>
    <row r="322" spans="1:36">
      <c r="A322" t="s">
        <v>334</v>
      </c>
      <c r="B322" s="4">
        <v>45440</v>
      </c>
      <c r="C322" s="28">
        <v>45440</v>
      </c>
      <c r="D322" s="28" t="str">
        <f t="shared" si="66"/>
        <v>Q2-2024</v>
      </c>
      <c r="E322" s="4">
        <v>45461</v>
      </c>
      <c r="F322" s="4">
        <v>45461</v>
      </c>
      <c r="G322" s="17">
        <f t="shared" si="67"/>
        <v>21</v>
      </c>
      <c r="H322" s="17">
        <f t="shared" si="68"/>
        <v>21</v>
      </c>
      <c r="I322" t="str">
        <f t="shared" si="69"/>
        <v>No</v>
      </c>
      <c r="J322" s="2">
        <f t="shared" si="70"/>
        <v>44948</v>
      </c>
      <c r="K322" t="s">
        <v>649</v>
      </c>
      <c r="L322" t="s">
        <v>656</v>
      </c>
      <c r="M322" t="s">
        <v>698</v>
      </c>
      <c r="N322" t="str">
        <f t="shared" si="71"/>
        <v>Europe - Germany - Frankfurt</v>
      </c>
      <c r="O322" t="s">
        <v>705</v>
      </c>
      <c r="P322" t="s">
        <v>708</v>
      </c>
      <c r="Q322" t="s">
        <v>718</v>
      </c>
      <c r="R322" t="s">
        <v>730</v>
      </c>
      <c r="S322" t="s">
        <v>1054</v>
      </c>
      <c r="T322" s="6">
        <v>986.85</v>
      </c>
      <c r="U322" s="8">
        <v>2422.1</v>
      </c>
      <c r="V322" s="8">
        <f t="shared" si="72"/>
        <v>2422.1</v>
      </c>
      <c r="W322" s="8" t="str">
        <f t="shared" si="73"/>
        <v>High</v>
      </c>
      <c r="X322" s="15">
        <v>7.5999999999999998E-2</v>
      </c>
      <c r="Y322" s="15">
        <f t="shared" si="74"/>
        <v>7.5999999999999998E-2</v>
      </c>
      <c r="Z322" t="str">
        <f t="shared" si="75"/>
        <v>No</v>
      </c>
      <c r="AA322" s="17">
        <v>10</v>
      </c>
      <c r="AB322" s="8">
        <f t="shared" si="76"/>
        <v>22380.204000000002</v>
      </c>
      <c r="AC322" s="8">
        <f t="shared" si="77"/>
        <v>9868.5</v>
      </c>
      <c r="AD322" s="8">
        <f t="shared" si="78"/>
        <v>12511.704000000002</v>
      </c>
      <c r="AE322" s="15">
        <f t="shared" si="79"/>
        <v>0.55905227673527913</v>
      </c>
      <c r="AF322" s="34">
        <f>MIN(Y322,'Scenario Modeling'!$B$2)</f>
        <v>7.5999999999999998E-2</v>
      </c>
      <c r="AG322">
        <f>ROUND(AA322 * (1 + 'Scenario Modeling'!$B$4), 0)</f>
        <v>10</v>
      </c>
      <c r="AH322">
        <f>T322 * (1 + 'Scenario Modeling'!$B$3)</f>
        <v>986.85</v>
      </c>
      <c r="AI322" s="8">
        <f t="shared" si="80"/>
        <v>22380.204000000002</v>
      </c>
      <c r="AJ322" s="8">
        <f t="shared" si="81"/>
        <v>12511.704000000002</v>
      </c>
    </row>
    <row r="323" spans="1:36">
      <c r="A323" t="s">
        <v>335</v>
      </c>
      <c r="B323" s="4">
        <v>45293</v>
      </c>
      <c r="C323" s="28">
        <v>45293</v>
      </c>
      <c r="D323" s="28" t="str">
        <f t="shared" ref="D323:D386" si="82">"Q"&amp;ROUNDUP(MONTH(B323)/3,0)&amp;"-"&amp;YEAR(B323)</f>
        <v>Q1-2024</v>
      </c>
      <c r="E323" s="4">
        <v>45292</v>
      </c>
      <c r="F323" s="4">
        <f>B323+7</f>
        <v>45300</v>
      </c>
      <c r="G323" s="17">
        <f t="shared" ref="G323:G386" si="83">E323-B323</f>
        <v>-1</v>
      </c>
      <c r="H323" s="17">
        <f t="shared" ref="H323:H386" si="84">F323-B323</f>
        <v>7</v>
      </c>
      <c r="I323" t="str">
        <f t="shared" ref="I323:I386" si="85">IF(H323&lt;=7, "Yes", "No")</f>
        <v>Yes</v>
      </c>
      <c r="J323" s="2">
        <f t="shared" ref="J323:J386" si="86">_xlfn.MINIFS($B$2:$B$633, $L$2:$L$633, L323)</f>
        <v>44939</v>
      </c>
      <c r="K323" t="s">
        <v>648</v>
      </c>
      <c r="L323" t="s">
        <v>660</v>
      </c>
      <c r="M323" t="s">
        <v>677</v>
      </c>
      <c r="N323" t="str">
        <f t="shared" ref="N323:N386" si="87">_xlfn.TEXTJOIN(" - ", TRUE, K323:M323)</f>
        <v>Americas - USA - Chicago</v>
      </c>
      <c r="O323" t="s">
        <v>702</v>
      </c>
      <c r="P323" t="s">
        <v>709</v>
      </c>
      <c r="Q323" t="s">
        <v>717</v>
      </c>
      <c r="R323" t="s">
        <v>729</v>
      </c>
      <c r="S323" t="s">
        <v>1055</v>
      </c>
      <c r="T323" s="6">
        <v>404.77</v>
      </c>
      <c r="U323" s="8">
        <v>433.88</v>
      </c>
      <c r="V323" s="8">
        <f t="shared" ref="V323:V386" si="88">ABS(U323)</f>
        <v>433.88</v>
      </c>
      <c r="W323" s="8" t="str">
        <f t="shared" ref="W323:W386" si="89">IF(V323 &lt;= _xlfn.PERCENTILE.INC($V$2:$V$633, 0.33), "Low", IF(V323 &lt;= _xlfn.PERCENTILE.INC($V$2:$V$633, 0.67), "Medium", "High"))</f>
        <v>Low</v>
      </c>
      <c r="X323" s="15">
        <v>0.215</v>
      </c>
      <c r="Y323" s="15">
        <f t="shared" ref="Y323:Y386" si="90">IF(X323&gt;30%,AVERAGEIF($X$2:$X$633,"&lt;30%"),X323)</f>
        <v>0.215</v>
      </c>
      <c r="Z323" t="str">
        <f t="shared" ref="Z323:Z386" si="91">IF(Y323&gt;0.2, "Yes", "No")</f>
        <v>Yes</v>
      </c>
      <c r="AA323" s="17">
        <v>22</v>
      </c>
      <c r="AB323" s="8">
        <f t="shared" ref="AB323:AB386" si="92">U323*AA323*(1-Y323)</f>
        <v>7493.1076000000012</v>
      </c>
      <c r="AC323" s="8">
        <f t="shared" ref="AC323:AC386" si="93">T323*AA323</f>
        <v>8904.9399999999987</v>
      </c>
      <c r="AD323" s="8">
        <f t="shared" ref="AD323:AD386" si="94">AB323-AC323</f>
        <v>-1411.8323999999975</v>
      </c>
      <c r="AE323" s="15">
        <f t="shared" ref="AE323:AE386" si="95" xml:space="preserve"> IF(AB323=0, 0, AD323 / AB323)</f>
        <v>-0.18841747314558746</v>
      </c>
      <c r="AF323" s="34">
        <f>MIN(Y323,'Scenario Modeling'!$B$2)</f>
        <v>0.215</v>
      </c>
      <c r="AG323">
        <f>ROUND(AA323 * (1 + 'Scenario Modeling'!$B$4), 0)</f>
        <v>22</v>
      </c>
      <c r="AH323">
        <f>T323 * (1 + 'Scenario Modeling'!$B$3)</f>
        <v>404.77</v>
      </c>
      <c r="AI323" s="8">
        <f t="shared" ref="AI323:AI386" si="96">V323 * AG323 * (1 - AF323)</f>
        <v>7493.1076000000012</v>
      </c>
      <c r="AJ323" s="8">
        <f t="shared" ref="AJ323:AJ386" si="97">AI323 - (AH323 * AG323)</f>
        <v>-1411.8323999999975</v>
      </c>
    </row>
    <row r="324" spans="1:36">
      <c r="A324" t="s">
        <v>336</v>
      </c>
      <c r="B324" s="4">
        <v>44985</v>
      </c>
      <c r="C324" s="28">
        <v>44985</v>
      </c>
      <c r="D324" s="28" t="str">
        <f t="shared" si="82"/>
        <v>Q1-2023</v>
      </c>
      <c r="E324" s="4">
        <v>44984</v>
      </c>
      <c r="F324" s="4">
        <f>B324+18</f>
        <v>45003</v>
      </c>
      <c r="G324" s="17">
        <f t="shared" si="83"/>
        <v>-1</v>
      </c>
      <c r="H324" s="17">
        <f t="shared" si="84"/>
        <v>18</v>
      </c>
      <c r="I324" t="str">
        <f t="shared" si="85"/>
        <v>No</v>
      </c>
      <c r="J324" s="2">
        <f t="shared" si="86"/>
        <v>44936</v>
      </c>
      <c r="K324" t="s">
        <v>649</v>
      </c>
      <c r="L324" t="s">
        <v>657</v>
      </c>
      <c r="M324" t="s">
        <v>673</v>
      </c>
      <c r="N324" t="str">
        <f t="shared" si="87"/>
        <v>Europe - France - Marseille</v>
      </c>
      <c r="O324" t="s">
        <v>701</v>
      </c>
      <c r="P324" t="s">
        <v>707</v>
      </c>
      <c r="Q324" t="s">
        <v>723</v>
      </c>
      <c r="R324" t="s">
        <v>729</v>
      </c>
      <c r="S324" t="s">
        <v>1056</v>
      </c>
      <c r="T324" s="6">
        <v>1299.81</v>
      </c>
      <c r="U324" s="8">
        <v>3149.13</v>
      </c>
      <c r="V324" s="8">
        <f t="shared" si="88"/>
        <v>3149.13</v>
      </c>
      <c r="W324" s="8" t="str">
        <f t="shared" si="89"/>
        <v>High</v>
      </c>
      <c r="X324" s="15">
        <v>0.10299999999999999</v>
      </c>
      <c r="Y324" s="15">
        <f t="shared" si="90"/>
        <v>0.10299999999999999</v>
      </c>
      <c r="Z324" t="str">
        <f t="shared" si="91"/>
        <v>No</v>
      </c>
      <c r="AA324" s="17">
        <v>14</v>
      </c>
      <c r="AB324" s="8">
        <f t="shared" si="92"/>
        <v>39546.774539999999</v>
      </c>
      <c r="AC324" s="8">
        <f t="shared" si="93"/>
        <v>18197.34</v>
      </c>
      <c r="AD324" s="8">
        <f t="shared" si="94"/>
        <v>21349.434539999998</v>
      </c>
      <c r="AE324" s="15">
        <f t="shared" si="95"/>
        <v>0.53985273864511729</v>
      </c>
      <c r="AF324" s="34">
        <f>MIN(Y324,'Scenario Modeling'!$B$2)</f>
        <v>0.10299999999999999</v>
      </c>
      <c r="AG324">
        <f>ROUND(AA324 * (1 + 'Scenario Modeling'!$B$4), 0)</f>
        <v>14</v>
      </c>
      <c r="AH324">
        <f>T324 * (1 + 'Scenario Modeling'!$B$3)</f>
        <v>1299.81</v>
      </c>
      <c r="AI324" s="8">
        <f t="shared" si="96"/>
        <v>39546.774539999999</v>
      </c>
      <c r="AJ324" s="8">
        <f t="shared" si="97"/>
        <v>21349.434539999998</v>
      </c>
    </row>
    <row r="325" spans="1:36">
      <c r="A325" t="s">
        <v>337</v>
      </c>
      <c r="B325" s="4">
        <v>45340</v>
      </c>
      <c r="C325" s="28">
        <v>45340</v>
      </c>
      <c r="D325" s="28" t="str">
        <f t="shared" si="82"/>
        <v>Q1-2024</v>
      </c>
      <c r="E325" s="4">
        <v>45362</v>
      </c>
      <c r="F325" s="4">
        <v>45362</v>
      </c>
      <c r="G325" s="17">
        <f t="shared" si="83"/>
        <v>22</v>
      </c>
      <c r="H325" s="17">
        <f t="shared" si="84"/>
        <v>22</v>
      </c>
      <c r="I325" t="str">
        <f t="shared" si="85"/>
        <v>No</v>
      </c>
      <c r="J325" s="2">
        <f t="shared" si="86"/>
        <v>44955</v>
      </c>
      <c r="K325" t="s">
        <v>648</v>
      </c>
      <c r="L325" t="s">
        <v>655</v>
      </c>
      <c r="M325" t="s">
        <v>670</v>
      </c>
      <c r="N325" t="str">
        <f t="shared" si="87"/>
        <v>Americas - Brazil - São Paulo</v>
      </c>
      <c r="O325" t="s">
        <v>704</v>
      </c>
      <c r="P325" t="s">
        <v>708</v>
      </c>
      <c r="Q325" t="s">
        <v>720</v>
      </c>
      <c r="R325" t="s">
        <v>727</v>
      </c>
      <c r="S325" t="s">
        <v>1057</v>
      </c>
      <c r="T325" s="6">
        <v>80.48</v>
      </c>
      <c r="U325" s="8">
        <v>65.650000000000006</v>
      </c>
      <c r="V325" s="8">
        <f t="shared" si="88"/>
        <v>65.650000000000006</v>
      </c>
      <c r="W325" s="8" t="str">
        <f t="shared" si="89"/>
        <v>Low</v>
      </c>
      <c r="X325" s="15">
        <v>0.17599999999999999</v>
      </c>
      <c r="Y325" s="15">
        <f t="shared" si="90"/>
        <v>0.17599999999999999</v>
      </c>
      <c r="Z325" t="str">
        <f t="shared" si="91"/>
        <v>No</v>
      </c>
      <c r="AA325" s="17">
        <v>13</v>
      </c>
      <c r="AB325" s="8">
        <f t="shared" si="92"/>
        <v>703.2428000000001</v>
      </c>
      <c r="AC325" s="8">
        <f t="shared" si="93"/>
        <v>1046.24</v>
      </c>
      <c r="AD325" s="8">
        <f t="shared" si="94"/>
        <v>-342.99719999999991</v>
      </c>
      <c r="AE325" s="15">
        <f t="shared" si="95"/>
        <v>-0.48773652570634191</v>
      </c>
      <c r="AF325" s="34">
        <f>MIN(Y325,'Scenario Modeling'!$B$2)</f>
        <v>0.17599999999999999</v>
      </c>
      <c r="AG325">
        <f>ROUND(AA325 * (1 + 'Scenario Modeling'!$B$4), 0)</f>
        <v>13</v>
      </c>
      <c r="AH325">
        <f>T325 * (1 + 'Scenario Modeling'!$B$3)</f>
        <v>80.48</v>
      </c>
      <c r="AI325" s="8">
        <f t="shared" si="96"/>
        <v>703.2428000000001</v>
      </c>
      <c r="AJ325" s="8">
        <f t="shared" si="97"/>
        <v>-342.99719999999991</v>
      </c>
    </row>
    <row r="326" spans="1:36">
      <c r="A326" t="s">
        <v>338</v>
      </c>
      <c r="B326" s="4">
        <v>45544</v>
      </c>
      <c r="C326" s="28">
        <v>45544</v>
      </c>
      <c r="D326" s="28" t="str">
        <f t="shared" si="82"/>
        <v>Q3-2024</v>
      </c>
      <c r="E326" s="4">
        <v>45573</v>
      </c>
      <c r="F326" s="4">
        <v>45573</v>
      </c>
      <c r="G326" s="17">
        <f t="shared" si="83"/>
        <v>29</v>
      </c>
      <c r="H326" s="17">
        <f t="shared" si="84"/>
        <v>29</v>
      </c>
      <c r="I326" t="str">
        <f t="shared" si="85"/>
        <v>No</v>
      </c>
      <c r="J326" s="2">
        <f t="shared" si="86"/>
        <v>44955</v>
      </c>
      <c r="K326" t="s">
        <v>648</v>
      </c>
      <c r="L326" t="s">
        <v>655</v>
      </c>
      <c r="M326" t="s">
        <v>670</v>
      </c>
      <c r="N326" t="str">
        <f t="shared" si="87"/>
        <v>Americas - Brazil - São Paulo</v>
      </c>
      <c r="O326" t="s">
        <v>702</v>
      </c>
      <c r="P326" t="s">
        <v>711</v>
      </c>
      <c r="Q326" t="s">
        <v>713</v>
      </c>
      <c r="R326" t="s">
        <v>727</v>
      </c>
      <c r="S326" t="s">
        <v>1058</v>
      </c>
      <c r="T326" s="6">
        <v>1010.33</v>
      </c>
      <c r="U326" s="8">
        <v>2492.14</v>
      </c>
      <c r="V326" s="8">
        <f t="shared" si="88"/>
        <v>2492.14</v>
      </c>
      <c r="W326" s="8" t="str">
        <f t="shared" si="89"/>
        <v>High</v>
      </c>
      <c r="X326" s="15">
        <v>5.0999999999999997E-2</v>
      </c>
      <c r="Y326" s="15">
        <f t="shared" si="90"/>
        <v>5.0999999999999997E-2</v>
      </c>
      <c r="Z326" t="str">
        <f t="shared" si="91"/>
        <v>No</v>
      </c>
      <c r="AA326" s="17">
        <v>11</v>
      </c>
      <c r="AB326" s="8">
        <f t="shared" si="92"/>
        <v>26015.449459999996</v>
      </c>
      <c r="AC326" s="8">
        <f t="shared" si="93"/>
        <v>11113.630000000001</v>
      </c>
      <c r="AD326" s="8">
        <f t="shared" si="94"/>
        <v>14901.819459999995</v>
      </c>
      <c r="AE326" s="15">
        <f t="shared" si="95"/>
        <v>0.57280653493656752</v>
      </c>
      <c r="AF326" s="34">
        <f>MIN(Y326,'Scenario Modeling'!$B$2)</f>
        <v>5.0999999999999997E-2</v>
      </c>
      <c r="AG326">
        <f>ROUND(AA326 * (1 + 'Scenario Modeling'!$B$4), 0)</f>
        <v>11</v>
      </c>
      <c r="AH326">
        <f>T326 * (1 + 'Scenario Modeling'!$B$3)</f>
        <v>1010.33</v>
      </c>
      <c r="AI326" s="8">
        <f t="shared" si="96"/>
        <v>26015.449459999996</v>
      </c>
      <c r="AJ326" s="8">
        <f t="shared" si="97"/>
        <v>14901.819459999995</v>
      </c>
    </row>
    <row r="327" spans="1:36">
      <c r="A327" t="s">
        <v>339</v>
      </c>
      <c r="B327" s="4">
        <v>45053</v>
      </c>
      <c r="C327" s="28">
        <v>45053</v>
      </c>
      <c r="D327" s="28" t="str">
        <f t="shared" si="82"/>
        <v>Q2-2023</v>
      </c>
      <c r="E327" s="4">
        <v>45075</v>
      </c>
      <c r="F327" s="4">
        <v>45075</v>
      </c>
      <c r="G327" s="17">
        <f t="shared" si="83"/>
        <v>22</v>
      </c>
      <c r="H327" s="17">
        <f t="shared" si="84"/>
        <v>22</v>
      </c>
      <c r="I327" t="str">
        <f t="shared" si="85"/>
        <v>No</v>
      </c>
      <c r="J327" s="2">
        <f t="shared" si="86"/>
        <v>44933</v>
      </c>
      <c r="K327" t="s">
        <v>646</v>
      </c>
      <c r="L327" t="s">
        <v>661</v>
      </c>
      <c r="M327" t="s">
        <v>687</v>
      </c>
      <c r="N327" t="str">
        <f t="shared" si="87"/>
        <v>Africa - South Africa - Durban</v>
      </c>
      <c r="O327" t="s">
        <v>702</v>
      </c>
      <c r="P327" t="s">
        <v>710</v>
      </c>
      <c r="Q327" t="s">
        <v>723</v>
      </c>
      <c r="R327" t="s">
        <v>733</v>
      </c>
      <c r="S327" t="s">
        <v>1059</v>
      </c>
      <c r="T327" s="6">
        <v>653.86</v>
      </c>
      <c r="U327" s="8">
        <v>931.84</v>
      </c>
      <c r="V327" s="8">
        <f t="shared" si="88"/>
        <v>931.84</v>
      </c>
      <c r="W327" s="8" t="str">
        <f t="shared" si="89"/>
        <v>Medium</v>
      </c>
      <c r="X327" s="15">
        <v>0.121</v>
      </c>
      <c r="Y327" s="15">
        <f t="shared" si="90"/>
        <v>0.121</v>
      </c>
      <c r="Z327" t="str">
        <f t="shared" si="91"/>
        <v>No</v>
      </c>
      <c r="AA327" s="17">
        <v>12</v>
      </c>
      <c r="AB327" s="8">
        <f t="shared" si="92"/>
        <v>9829.0483199999999</v>
      </c>
      <c r="AC327" s="8">
        <f t="shared" si="93"/>
        <v>7846.32</v>
      </c>
      <c r="AD327" s="8">
        <f t="shared" si="94"/>
        <v>1982.7283200000002</v>
      </c>
      <c r="AE327" s="15">
        <f t="shared" si="95"/>
        <v>0.20172129136506273</v>
      </c>
      <c r="AF327" s="34">
        <f>MIN(Y327,'Scenario Modeling'!$B$2)</f>
        <v>0.121</v>
      </c>
      <c r="AG327">
        <f>ROUND(AA327 * (1 + 'Scenario Modeling'!$B$4), 0)</f>
        <v>12</v>
      </c>
      <c r="AH327">
        <f>T327 * (1 + 'Scenario Modeling'!$B$3)</f>
        <v>653.86</v>
      </c>
      <c r="AI327" s="8">
        <f t="shared" si="96"/>
        <v>9829.0483199999999</v>
      </c>
      <c r="AJ327" s="8">
        <f t="shared" si="97"/>
        <v>1982.7283200000002</v>
      </c>
    </row>
    <row r="328" spans="1:36">
      <c r="A328" t="s">
        <v>340</v>
      </c>
      <c r="B328" s="4">
        <v>45303</v>
      </c>
      <c r="C328" s="28">
        <v>45303</v>
      </c>
      <c r="D328" s="28" t="str">
        <f t="shared" si="82"/>
        <v>Q1-2024</v>
      </c>
      <c r="E328" s="4">
        <v>45320</v>
      </c>
      <c r="F328" s="4">
        <v>45320</v>
      </c>
      <c r="G328" s="17">
        <f t="shared" si="83"/>
        <v>17</v>
      </c>
      <c r="H328" s="17">
        <f t="shared" si="84"/>
        <v>17</v>
      </c>
      <c r="I328" t="str">
        <f t="shared" si="85"/>
        <v>No</v>
      </c>
      <c r="J328" s="2">
        <f t="shared" si="86"/>
        <v>44955</v>
      </c>
      <c r="K328" t="s">
        <v>647</v>
      </c>
      <c r="L328" t="s">
        <v>654</v>
      </c>
      <c r="M328" t="s">
        <v>696</v>
      </c>
      <c r="N328" t="str">
        <f t="shared" si="87"/>
        <v>Asia - India - Hyderabad</v>
      </c>
      <c r="O328" t="s">
        <v>705</v>
      </c>
      <c r="P328" t="s">
        <v>711</v>
      </c>
      <c r="Q328" t="s">
        <v>717</v>
      </c>
      <c r="R328" t="s">
        <v>727</v>
      </c>
      <c r="S328" t="s">
        <v>1060</v>
      </c>
      <c r="T328" s="6">
        <v>310.02</v>
      </c>
      <c r="U328" s="8">
        <v>619.51</v>
      </c>
      <c r="V328" s="8">
        <f t="shared" si="88"/>
        <v>619.51</v>
      </c>
      <c r="W328" s="8" t="str">
        <f t="shared" si="89"/>
        <v>Low</v>
      </c>
      <c r="X328" s="15">
        <v>4.2000000000000003E-2</v>
      </c>
      <c r="Y328" s="15">
        <f t="shared" si="90"/>
        <v>4.2000000000000003E-2</v>
      </c>
      <c r="Z328" t="str">
        <f t="shared" si="91"/>
        <v>No</v>
      </c>
      <c r="AA328" s="17">
        <v>4</v>
      </c>
      <c r="AB328" s="8">
        <f t="shared" si="92"/>
        <v>2373.9623200000001</v>
      </c>
      <c r="AC328" s="8">
        <f t="shared" si="93"/>
        <v>1240.08</v>
      </c>
      <c r="AD328" s="8">
        <f t="shared" si="94"/>
        <v>1133.8823200000002</v>
      </c>
      <c r="AE328" s="15">
        <f t="shared" si="95"/>
        <v>0.47763282106347843</v>
      </c>
      <c r="AF328" s="34">
        <f>MIN(Y328,'Scenario Modeling'!$B$2)</f>
        <v>4.2000000000000003E-2</v>
      </c>
      <c r="AG328">
        <f>ROUND(AA328 * (1 + 'Scenario Modeling'!$B$4), 0)</f>
        <v>4</v>
      </c>
      <c r="AH328">
        <f>T328 * (1 + 'Scenario Modeling'!$B$3)</f>
        <v>310.02</v>
      </c>
      <c r="AI328" s="8">
        <f t="shared" si="96"/>
        <v>2373.9623200000001</v>
      </c>
      <c r="AJ328" s="8">
        <f t="shared" si="97"/>
        <v>1133.8823200000002</v>
      </c>
    </row>
    <row r="329" spans="1:36">
      <c r="A329" t="s">
        <v>341</v>
      </c>
      <c r="B329" s="4">
        <v>45087</v>
      </c>
      <c r="C329" s="28">
        <v>45087</v>
      </c>
      <c r="D329" s="28" t="str">
        <f t="shared" si="82"/>
        <v>Q2-2023</v>
      </c>
      <c r="E329" s="4">
        <v>45095</v>
      </c>
      <c r="F329" s="4">
        <v>45095</v>
      </c>
      <c r="G329" s="17">
        <f t="shared" si="83"/>
        <v>8</v>
      </c>
      <c r="H329" s="17">
        <f t="shared" si="84"/>
        <v>8</v>
      </c>
      <c r="I329" t="str">
        <f t="shared" si="85"/>
        <v>No</v>
      </c>
      <c r="J329" s="2">
        <f t="shared" si="86"/>
        <v>44946</v>
      </c>
      <c r="K329" t="s">
        <v>646</v>
      </c>
      <c r="L329" t="s">
        <v>650</v>
      </c>
      <c r="M329" t="s">
        <v>678</v>
      </c>
      <c r="N329" t="str">
        <f t="shared" si="87"/>
        <v>Africa - Kenya - Nakuru</v>
      </c>
      <c r="O329" t="s">
        <v>706</v>
      </c>
      <c r="P329" t="s">
        <v>711</v>
      </c>
      <c r="Q329" t="s">
        <v>722</v>
      </c>
      <c r="R329" t="s">
        <v>730</v>
      </c>
      <c r="S329" t="s">
        <v>1061</v>
      </c>
      <c r="T329" s="6">
        <v>894.23</v>
      </c>
      <c r="U329" s="8">
        <v>1421.55</v>
      </c>
      <c r="V329" s="8">
        <f t="shared" si="88"/>
        <v>1421.55</v>
      </c>
      <c r="W329" s="8" t="str">
        <f t="shared" si="89"/>
        <v>Medium</v>
      </c>
      <c r="X329" s="15">
        <v>0.109</v>
      </c>
      <c r="Y329" s="15">
        <f t="shared" si="90"/>
        <v>0.109</v>
      </c>
      <c r="Z329" t="str">
        <f t="shared" si="91"/>
        <v>No</v>
      </c>
      <c r="AA329" s="17">
        <v>3</v>
      </c>
      <c r="AB329" s="8">
        <f t="shared" si="92"/>
        <v>3799.8031499999997</v>
      </c>
      <c r="AC329" s="8">
        <f t="shared" si="93"/>
        <v>2682.69</v>
      </c>
      <c r="AD329" s="8">
        <f t="shared" si="94"/>
        <v>1117.1131499999997</v>
      </c>
      <c r="AE329" s="15">
        <f t="shared" si="95"/>
        <v>0.29399237431549574</v>
      </c>
      <c r="AF329" s="34">
        <f>MIN(Y329,'Scenario Modeling'!$B$2)</f>
        <v>0.109</v>
      </c>
      <c r="AG329">
        <f>ROUND(AA329 * (1 + 'Scenario Modeling'!$B$4), 0)</f>
        <v>3</v>
      </c>
      <c r="AH329">
        <f>T329 * (1 + 'Scenario Modeling'!$B$3)</f>
        <v>894.23</v>
      </c>
      <c r="AI329" s="8">
        <f t="shared" si="96"/>
        <v>3799.8031499999997</v>
      </c>
      <c r="AJ329" s="8">
        <f t="shared" si="97"/>
        <v>1117.1131499999997</v>
      </c>
    </row>
    <row r="330" spans="1:36">
      <c r="A330" t="s">
        <v>342</v>
      </c>
      <c r="B330" s="4">
        <v>45796</v>
      </c>
      <c r="C330" s="28">
        <v>45796</v>
      </c>
      <c r="D330" s="28" t="str">
        <f t="shared" si="82"/>
        <v>Q2-2025</v>
      </c>
      <c r="E330" s="4">
        <v>45794</v>
      </c>
      <c r="F330" s="4">
        <f>B330+7</f>
        <v>45803</v>
      </c>
      <c r="G330" s="17">
        <f t="shared" si="83"/>
        <v>-2</v>
      </c>
      <c r="H330" s="17">
        <f t="shared" si="84"/>
        <v>7</v>
      </c>
      <c r="I330" t="str">
        <f t="shared" si="85"/>
        <v>Yes</v>
      </c>
      <c r="J330" s="2">
        <f t="shared" si="86"/>
        <v>44955</v>
      </c>
      <c r="K330" t="s">
        <v>648</v>
      </c>
      <c r="L330" t="s">
        <v>655</v>
      </c>
      <c r="M330" t="s">
        <v>670</v>
      </c>
      <c r="N330" t="str">
        <f t="shared" si="87"/>
        <v>Americas - Brazil - São Paulo</v>
      </c>
      <c r="O330" t="s">
        <v>705</v>
      </c>
      <c r="P330" t="s">
        <v>710</v>
      </c>
      <c r="Q330" t="s">
        <v>716</v>
      </c>
      <c r="R330" t="s">
        <v>732</v>
      </c>
      <c r="S330" t="s">
        <v>1062</v>
      </c>
      <c r="T330" s="6">
        <v>383.77</v>
      </c>
      <c r="U330" s="8">
        <v>952.56</v>
      </c>
      <c r="V330" s="8">
        <f t="shared" si="88"/>
        <v>952.56</v>
      </c>
      <c r="W330" s="8" t="str">
        <f t="shared" si="89"/>
        <v>Medium</v>
      </c>
      <c r="X330" s="15">
        <v>0.34599999999999997</v>
      </c>
      <c r="Y330" s="15">
        <f t="shared" si="90"/>
        <v>0.11861439999999995</v>
      </c>
      <c r="Z330" t="str">
        <f t="shared" si="91"/>
        <v>No</v>
      </c>
      <c r="AA330" s="17">
        <v>10</v>
      </c>
      <c r="AB330" s="8">
        <f t="shared" si="92"/>
        <v>8395.7266713599984</v>
      </c>
      <c r="AC330" s="8">
        <f t="shared" si="93"/>
        <v>3837.7</v>
      </c>
      <c r="AD330" s="8">
        <f t="shared" si="94"/>
        <v>4558.0266713599985</v>
      </c>
      <c r="AE330" s="15">
        <f t="shared" si="95"/>
        <v>0.54289841127255967</v>
      </c>
      <c r="AF330" s="34">
        <f>MIN(Y330,'Scenario Modeling'!$B$2)</f>
        <v>0.11861439999999995</v>
      </c>
      <c r="AG330">
        <f>ROUND(AA330 * (1 + 'Scenario Modeling'!$B$4), 0)</f>
        <v>10</v>
      </c>
      <c r="AH330">
        <f>T330 * (1 + 'Scenario Modeling'!$B$3)</f>
        <v>383.77</v>
      </c>
      <c r="AI330" s="8">
        <f t="shared" si="96"/>
        <v>8395.7266713599984</v>
      </c>
      <c r="AJ330" s="8">
        <f t="shared" si="97"/>
        <v>4558.0266713599985</v>
      </c>
    </row>
    <row r="331" spans="1:36">
      <c r="A331" t="s">
        <v>343</v>
      </c>
      <c r="B331" s="4">
        <v>45221</v>
      </c>
      <c r="C331" s="28">
        <v>45221</v>
      </c>
      <c r="D331" s="28" t="str">
        <f t="shared" si="82"/>
        <v>Q4-2023</v>
      </c>
      <c r="E331" s="4">
        <v>45246</v>
      </c>
      <c r="F331" s="4">
        <v>45246</v>
      </c>
      <c r="G331" s="17">
        <f t="shared" si="83"/>
        <v>25</v>
      </c>
      <c r="H331" s="17">
        <f t="shared" si="84"/>
        <v>25</v>
      </c>
      <c r="I331" t="str">
        <f t="shared" si="85"/>
        <v>No</v>
      </c>
      <c r="J331" s="2">
        <f t="shared" si="86"/>
        <v>44928</v>
      </c>
      <c r="K331" t="s">
        <v>648</v>
      </c>
      <c r="L331" t="s">
        <v>653</v>
      </c>
      <c r="M331" t="s">
        <v>667</v>
      </c>
      <c r="N331" t="str">
        <f t="shared" si="87"/>
        <v>Americas - Canada - Toronto</v>
      </c>
      <c r="O331" t="s">
        <v>705</v>
      </c>
      <c r="P331" t="s">
        <v>709</v>
      </c>
      <c r="Q331" t="s">
        <v>714</v>
      </c>
      <c r="R331" t="s">
        <v>731</v>
      </c>
      <c r="S331" t="s">
        <v>1063</v>
      </c>
      <c r="T331" s="6">
        <v>1373.31</v>
      </c>
      <c r="U331" s="8">
        <v>3154.14</v>
      </c>
      <c r="V331" s="8">
        <f t="shared" si="88"/>
        <v>3154.14</v>
      </c>
      <c r="W331" s="8" t="str">
        <f t="shared" si="89"/>
        <v>High</v>
      </c>
      <c r="X331" s="15">
        <v>0.2</v>
      </c>
      <c r="Y331" s="15">
        <f t="shared" si="90"/>
        <v>0.2</v>
      </c>
      <c r="Z331" t="str">
        <f t="shared" si="91"/>
        <v>No</v>
      </c>
      <c r="AA331" s="17">
        <v>11</v>
      </c>
      <c r="AB331" s="8">
        <f t="shared" si="92"/>
        <v>27756.432000000001</v>
      </c>
      <c r="AC331" s="8">
        <f t="shared" si="93"/>
        <v>15106.41</v>
      </c>
      <c r="AD331" s="8">
        <f t="shared" si="94"/>
        <v>12650.022000000001</v>
      </c>
      <c r="AE331" s="15">
        <f t="shared" si="95"/>
        <v>0.45575101295440279</v>
      </c>
      <c r="AF331" s="34">
        <f>MIN(Y331,'Scenario Modeling'!$B$2)</f>
        <v>0.2</v>
      </c>
      <c r="AG331">
        <f>ROUND(AA331 * (1 + 'Scenario Modeling'!$B$4), 0)</f>
        <v>11</v>
      </c>
      <c r="AH331">
        <f>T331 * (1 + 'Scenario Modeling'!$B$3)</f>
        <v>1373.31</v>
      </c>
      <c r="AI331" s="8">
        <f t="shared" si="96"/>
        <v>27756.432000000001</v>
      </c>
      <c r="AJ331" s="8">
        <f t="shared" si="97"/>
        <v>12650.022000000001</v>
      </c>
    </row>
    <row r="332" spans="1:36">
      <c r="A332" t="s">
        <v>344</v>
      </c>
      <c r="B332" s="4">
        <v>45668</v>
      </c>
      <c r="C332" s="28">
        <v>45668</v>
      </c>
      <c r="D332" s="28" t="str">
        <f t="shared" si="82"/>
        <v>Q1-2025</v>
      </c>
      <c r="E332" s="4">
        <v>45680</v>
      </c>
      <c r="F332" s="4">
        <v>45680</v>
      </c>
      <c r="G332" s="17">
        <f t="shared" si="83"/>
        <v>12</v>
      </c>
      <c r="H332" s="17">
        <f t="shared" si="84"/>
        <v>12</v>
      </c>
      <c r="I332" t="str">
        <f t="shared" si="85"/>
        <v>No</v>
      </c>
      <c r="J332" s="2">
        <f t="shared" si="86"/>
        <v>44939</v>
      </c>
      <c r="K332" t="s">
        <v>648</v>
      </c>
      <c r="L332" t="s">
        <v>660</v>
      </c>
      <c r="M332" t="s">
        <v>697</v>
      </c>
      <c r="N332" t="str">
        <f t="shared" si="87"/>
        <v>Americas - USA - Austin</v>
      </c>
      <c r="O332" t="s">
        <v>704</v>
      </c>
      <c r="P332" t="s">
        <v>710</v>
      </c>
      <c r="Q332" t="s">
        <v>722</v>
      </c>
      <c r="R332" t="s">
        <v>730</v>
      </c>
      <c r="S332" t="s">
        <v>1064</v>
      </c>
      <c r="T332" s="6">
        <v>100.69</v>
      </c>
      <c r="U332" s="8">
        <v>226.14</v>
      </c>
      <c r="V332" s="8">
        <f t="shared" si="88"/>
        <v>226.14</v>
      </c>
      <c r="W332" s="8" t="str">
        <f t="shared" si="89"/>
        <v>Low</v>
      </c>
      <c r="X332" s="15">
        <v>6.5000000000000002E-2</v>
      </c>
      <c r="Y332" s="15">
        <f t="shared" si="90"/>
        <v>6.5000000000000002E-2</v>
      </c>
      <c r="Z332" t="str">
        <f t="shared" si="91"/>
        <v>No</v>
      </c>
      <c r="AA332" s="17">
        <v>12</v>
      </c>
      <c r="AB332" s="8">
        <f t="shared" si="92"/>
        <v>2537.2908000000002</v>
      </c>
      <c r="AC332" s="8">
        <f t="shared" si="93"/>
        <v>1208.28</v>
      </c>
      <c r="AD332" s="8">
        <f t="shared" si="94"/>
        <v>1329.0108000000002</v>
      </c>
      <c r="AE332" s="15">
        <f t="shared" si="95"/>
        <v>0.52379128162999689</v>
      </c>
      <c r="AF332" s="34">
        <f>MIN(Y332,'Scenario Modeling'!$B$2)</f>
        <v>6.5000000000000002E-2</v>
      </c>
      <c r="AG332">
        <f>ROUND(AA332 * (1 + 'Scenario Modeling'!$B$4), 0)</f>
        <v>12</v>
      </c>
      <c r="AH332">
        <f>T332 * (1 + 'Scenario Modeling'!$B$3)</f>
        <v>100.69</v>
      </c>
      <c r="AI332" s="8">
        <f t="shared" si="96"/>
        <v>2537.2908000000002</v>
      </c>
      <c r="AJ332" s="8">
        <f t="shared" si="97"/>
        <v>1329.0108000000002</v>
      </c>
    </row>
    <row r="333" spans="1:36">
      <c r="A333" t="s">
        <v>345</v>
      </c>
      <c r="B333" s="4">
        <v>45914</v>
      </c>
      <c r="C333" s="28">
        <v>45914</v>
      </c>
      <c r="D333" s="28" t="str">
        <f t="shared" si="82"/>
        <v>Q3-2025</v>
      </c>
      <c r="E333" s="4">
        <v>45926</v>
      </c>
      <c r="F333" s="4">
        <v>45926</v>
      </c>
      <c r="G333" s="17">
        <f t="shared" si="83"/>
        <v>12</v>
      </c>
      <c r="H333" s="17">
        <f t="shared" si="84"/>
        <v>12</v>
      </c>
      <c r="I333" t="str">
        <f t="shared" si="85"/>
        <v>No</v>
      </c>
      <c r="J333" s="2">
        <f t="shared" si="86"/>
        <v>44945</v>
      </c>
      <c r="K333" t="s">
        <v>649</v>
      </c>
      <c r="L333" t="s">
        <v>658</v>
      </c>
      <c r="M333" t="s">
        <v>683</v>
      </c>
      <c r="N333" t="str">
        <f t="shared" si="87"/>
        <v>Europe - United Kingdom - London</v>
      </c>
      <c r="O333" t="s">
        <v>705</v>
      </c>
      <c r="P333" t="s">
        <v>711</v>
      </c>
      <c r="Q333" t="s">
        <v>725</v>
      </c>
      <c r="R333" t="s">
        <v>729</v>
      </c>
      <c r="S333" t="s">
        <v>1065</v>
      </c>
      <c r="T333" s="6">
        <v>425.15</v>
      </c>
      <c r="U333" s="8">
        <v>885.92</v>
      </c>
      <c r="V333" s="8">
        <f t="shared" si="88"/>
        <v>885.92</v>
      </c>
      <c r="W333" s="8" t="str">
        <f t="shared" si="89"/>
        <v>Medium</v>
      </c>
      <c r="X333" s="15">
        <v>0.23899999999999999</v>
      </c>
      <c r="Y333" s="15">
        <f t="shared" si="90"/>
        <v>0.23899999999999999</v>
      </c>
      <c r="Z333" t="str">
        <f t="shared" si="91"/>
        <v>Yes</v>
      </c>
      <c r="AA333" s="17">
        <v>13</v>
      </c>
      <c r="AB333" s="8">
        <f t="shared" si="92"/>
        <v>8764.4065599999994</v>
      </c>
      <c r="AC333" s="8">
        <f t="shared" si="93"/>
        <v>5526.95</v>
      </c>
      <c r="AD333" s="8">
        <f t="shared" si="94"/>
        <v>3237.4565599999996</v>
      </c>
      <c r="AE333" s="15">
        <f t="shared" si="95"/>
        <v>0.3693868532725848</v>
      </c>
      <c r="AF333" s="34">
        <f>MIN(Y333,'Scenario Modeling'!$B$2)</f>
        <v>0.23899999999999999</v>
      </c>
      <c r="AG333">
        <f>ROUND(AA333 * (1 + 'Scenario Modeling'!$B$4), 0)</f>
        <v>13</v>
      </c>
      <c r="AH333">
        <f>T333 * (1 + 'Scenario Modeling'!$B$3)</f>
        <v>425.15</v>
      </c>
      <c r="AI333" s="8">
        <f t="shared" si="96"/>
        <v>8764.4065599999994</v>
      </c>
      <c r="AJ333" s="8">
        <f t="shared" si="97"/>
        <v>3237.4565599999996</v>
      </c>
    </row>
    <row r="334" spans="1:36">
      <c r="A334" t="s">
        <v>346</v>
      </c>
      <c r="B334" s="4">
        <v>45168</v>
      </c>
      <c r="C334" s="28">
        <v>45168</v>
      </c>
      <c r="D334" s="28" t="str">
        <f t="shared" si="82"/>
        <v>Q3-2023</v>
      </c>
      <c r="E334" s="4">
        <v>45172</v>
      </c>
      <c r="F334" s="4">
        <v>45172</v>
      </c>
      <c r="G334" s="17">
        <f t="shared" si="83"/>
        <v>4</v>
      </c>
      <c r="H334" s="17">
        <f t="shared" si="84"/>
        <v>4</v>
      </c>
      <c r="I334" t="str">
        <f t="shared" si="85"/>
        <v>Yes</v>
      </c>
      <c r="J334" s="2">
        <f t="shared" si="86"/>
        <v>44955</v>
      </c>
      <c r="K334" t="s">
        <v>647</v>
      </c>
      <c r="L334" t="s">
        <v>654</v>
      </c>
      <c r="M334" t="s">
        <v>680</v>
      </c>
      <c r="N334" t="str">
        <f t="shared" si="87"/>
        <v>Asia - India - Delhi</v>
      </c>
      <c r="O334" t="s">
        <v>705</v>
      </c>
      <c r="P334" t="s">
        <v>709</v>
      </c>
      <c r="Q334" t="s">
        <v>716</v>
      </c>
      <c r="R334" t="s">
        <v>733</v>
      </c>
      <c r="S334" t="s">
        <v>1066</v>
      </c>
      <c r="T334" s="6">
        <v>1082.25</v>
      </c>
      <c r="U334" s="8">
        <v>2433.34</v>
      </c>
      <c r="V334" s="8">
        <f t="shared" si="88"/>
        <v>2433.34</v>
      </c>
      <c r="W334" s="8" t="str">
        <f t="shared" si="89"/>
        <v>High</v>
      </c>
      <c r="X334" s="15">
        <v>0.27</v>
      </c>
      <c r="Y334" s="15">
        <f t="shared" si="90"/>
        <v>0.27</v>
      </c>
      <c r="Z334" t="str">
        <f t="shared" si="91"/>
        <v>Yes</v>
      </c>
      <c r="AA334" s="17">
        <v>4</v>
      </c>
      <c r="AB334" s="8">
        <f t="shared" si="92"/>
        <v>7105.3528000000006</v>
      </c>
      <c r="AC334" s="8">
        <f t="shared" si="93"/>
        <v>4329</v>
      </c>
      <c r="AD334" s="8">
        <f t="shared" si="94"/>
        <v>2776.3528000000006</v>
      </c>
      <c r="AE334" s="15">
        <f t="shared" si="95"/>
        <v>0.3907410199251472</v>
      </c>
      <c r="AF334" s="34">
        <f>MIN(Y334,'Scenario Modeling'!$B$2)</f>
        <v>0.25</v>
      </c>
      <c r="AG334">
        <f>ROUND(AA334 * (1 + 'Scenario Modeling'!$B$4), 0)</f>
        <v>4</v>
      </c>
      <c r="AH334">
        <f>T334 * (1 + 'Scenario Modeling'!$B$3)</f>
        <v>1082.25</v>
      </c>
      <c r="AI334" s="8">
        <f t="shared" si="96"/>
        <v>7300.02</v>
      </c>
      <c r="AJ334" s="8">
        <f t="shared" si="97"/>
        <v>2971.0200000000004</v>
      </c>
    </row>
    <row r="335" spans="1:36">
      <c r="A335" t="s">
        <v>347</v>
      </c>
      <c r="B335" s="4">
        <v>45245</v>
      </c>
      <c r="C335" s="28">
        <v>45245</v>
      </c>
      <c r="D335" s="28" t="str">
        <f t="shared" si="82"/>
        <v>Q4-2023</v>
      </c>
      <c r="E335" s="4">
        <v>45266</v>
      </c>
      <c r="F335" s="4">
        <v>45266</v>
      </c>
      <c r="G335" s="17">
        <f t="shared" si="83"/>
        <v>21</v>
      </c>
      <c r="H335" s="17">
        <f t="shared" si="84"/>
        <v>21</v>
      </c>
      <c r="I335" t="str">
        <f t="shared" si="85"/>
        <v>No</v>
      </c>
      <c r="J335" s="2">
        <f t="shared" si="86"/>
        <v>44945</v>
      </c>
      <c r="K335" t="s">
        <v>649</v>
      </c>
      <c r="L335" t="s">
        <v>658</v>
      </c>
      <c r="M335" t="s">
        <v>693</v>
      </c>
      <c r="N335" t="str">
        <f t="shared" si="87"/>
        <v>Europe - United Kingdom - Manchester</v>
      </c>
      <c r="O335" t="s">
        <v>702</v>
      </c>
      <c r="P335" t="s">
        <v>711</v>
      </c>
      <c r="Q335" t="s">
        <v>722</v>
      </c>
      <c r="R335" t="s">
        <v>733</v>
      </c>
      <c r="S335" t="s">
        <v>1067</v>
      </c>
      <c r="T335" s="6">
        <v>1184.99</v>
      </c>
      <c r="U335" s="8">
        <v>1154.3399999999999</v>
      </c>
      <c r="V335" s="8">
        <f t="shared" si="88"/>
        <v>1154.3399999999999</v>
      </c>
      <c r="W335" s="8" t="str">
        <f t="shared" si="89"/>
        <v>Medium</v>
      </c>
      <c r="X335" s="15">
        <v>2.8000000000000001E-2</v>
      </c>
      <c r="Y335" s="15">
        <f t="shared" si="90"/>
        <v>2.8000000000000001E-2</v>
      </c>
      <c r="Z335" t="str">
        <f t="shared" si="91"/>
        <v>No</v>
      </c>
      <c r="AA335" s="17">
        <v>5</v>
      </c>
      <c r="AB335" s="8">
        <f t="shared" si="92"/>
        <v>5610.0923999999995</v>
      </c>
      <c r="AC335" s="8">
        <f t="shared" si="93"/>
        <v>5924.95</v>
      </c>
      <c r="AD335" s="8">
        <f t="shared" si="94"/>
        <v>-314.85760000000028</v>
      </c>
      <c r="AE335" s="15">
        <f t="shared" si="95"/>
        <v>-5.6123424990290764E-2</v>
      </c>
      <c r="AF335" s="34">
        <f>MIN(Y335,'Scenario Modeling'!$B$2)</f>
        <v>2.8000000000000001E-2</v>
      </c>
      <c r="AG335">
        <f>ROUND(AA335 * (1 + 'Scenario Modeling'!$B$4), 0)</f>
        <v>5</v>
      </c>
      <c r="AH335">
        <f>T335 * (1 + 'Scenario Modeling'!$B$3)</f>
        <v>1184.99</v>
      </c>
      <c r="AI335" s="8">
        <f t="shared" si="96"/>
        <v>5610.0923999999995</v>
      </c>
      <c r="AJ335" s="8">
        <f t="shared" si="97"/>
        <v>-314.85760000000028</v>
      </c>
    </row>
    <row r="336" spans="1:36">
      <c r="A336" t="s">
        <v>348</v>
      </c>
      <c r="B336" s="4">
        <v>45774</v>
      </c>
      <c r="C336" s="28">
        <v>45774</v>
      </c>
      <c r="D336" s="28" t="str">
        <f t="shared" si="82"/>
        <v>Q2-2025</v>
      </c>
      <c r="E336" s="4">
        <v>45804</v>
      </c>
      <c r="F336" s="4">
        <v>45804</v>
      </c>
      <c r="G336" s="17">
        <f t="shared" si="83"/>
        <v>30</v>
      </c>
      <c r="H336" s="17">
        <f t="shared" si="84"/>
        <v>30</v>
      </c>
      <c r="I336" t="str">
        <f t="shared" si="85"/>
        <v>No</v>
      </c>
      <c r="J336" s="2">
        <f t="shared" si="86"/>
        <v>44955</v>
      </c>
      <c r="K336" t="s">
        <v>647</v>
      </c>
      <c r="L336" t="s">
        <v>654</v>
      </c>
      <c r="M336" t="s">
        <v>680</v>
      </c>
      <c r="N336" t="str">
        <f t="shared" si="87"/>
        <v>Asia - India - Delhi</v>
      </c>
      <c r="O336" t="s">
        <v>706</v>
      </c>
      <c r="P336" t="s">
        <v>709</v>
      </c>
      <c r="Q336" t="s">
        <v>722</v>
      </c>
      <c r="R336" t="s">
        <v>730</v>
      </c>
      <c r="S336" t="s">
        <v>1068</v>
      </c>
      <c r="T336" s="6">
        <v>481.32</v>
      </c>
      <c r="U336" s="8">
        <v>1135.99</v>
      </c>
      <c r="V336" s="8">
        <f t="shared" si="88"/>
        <v>1135.99</v>
      </c>
      <c r="W336" s="8" t="str">
        <f t="shared" si="89"/>
        <v>Medium</v>
      </c>
      <c r="X336" s="15">
        <v>0.14499999999999999</v>
      </c>
      <c r="Y336" s="15">
        <f t="shared" si="90"/>
        <v>0.14499999999999999</v>
      </c>
      <c r="Z336" t="str">
        <f t="shared" si="91"/>
        <v>No</v>
      </c>
      <c r="AA336" s="17">
        <v>5</v>
      </c>
      <c r="AB336" s="8">
        <f t="shared" si="92"/>
        <v>4856.35725</v>
      </c>
      <c r="AC336" s="8">
        <f t="shared" si="93"/>
        <v>2406.6</v>
      </c>
      <c r="AD336" s="8">
        <f t="shared" si="94"/>
        <v>2449.7572500000001</v>
      </c>
      <c r="AE336" s="15">
        <f t="shared" si="95"/>
        <v>0.50444337677175621</v>
      </c>
      <c r="AF336" s="34">
        <f>MIN(Y336,'Scenario Modeling'!$B$2)</f>
        <v>0.14499999999999999</v>
      </c>
      <c r="AG336">
        <f>ROUND(AA336 * (1 + 'Scenario Modeling'!$B$4), 0)</f>
        <v>5</v>
      </c>
      <c r="AH336">
        <f>T336 * (1 + 'Scenario Modeling'!$B$3)</f>
        <v>481.32</v>
      </c>
      <c r="AI336" s="8">
        <f t="shared" si="96"/>
        <v>4856.35725</v>
      </c>
      <c r="AJ336" s="8">
        <f t="shared" si="97"/>
        <v>2449.7572500000001</v>
      </c>
    </row>
    <row r="337" spans="1:36">
      <c r="A337" t="s">
        <v>349</v>
      </c>
      <c r="B337" s="4">
        <v>45391</v>
      </c>
      <c r="C337" s="28">
        <v>45391</v>
      </c>
      <c r="D337" s="28" t="str">
        <f t="shared" si="82"/>
        <v>Q2-2024</v>
      </c>
      <c r="E337" s="4">
        <v>45400</v>
      </c>
      <c r="F337" s="4">
        <v>45400</v>
      </c>
      <c r="G337" s="17">
        <f t="shared" si="83"/>
        <v>9</v>
      </c>
      <c r="H337" s="17">
        <f t="shared" si="84"/>
        <v>9</v>
      </c>
      <c r="I337" t="str">
        <f t="shared" si="85"/>
        <v>No</v>
      </c>
      <c r="J337" s="2">
        <f t="shared" si="86"/>
        <v>44936</v>
      </c>
      <c r="K337" t="s">
        <v>649</v>
      </c>
      <c r="L337" t="s">
        <v>657</v>
      </c>
      <c r="M337" t="s">
        <v>679</v>
      </c>
      <c r="N337" t="str">
        <f t="shared" si="87"/>
        <v>Europe - France - Lyon</v>
      </c>
      <c r="O337" t="s">
        <v>704</v>
      </c>
      <c r="P337" t="s">
        <v>708</v>
      </c>
      <c r="Q337" t="s">
        <v>718</v>
      </c>
      <c r="R337" t="s">
        <v>728</v>
      </c>
      <c r="S337" t="s">
        <v>1069</v>
      </c>
      <c r="T337" s="6">
        <v>1288.8499999999999</v>
      </c>
      <c r="U337" s="8">
        <v>2751.84</v>
      </c>
      <c r="V337" s="8">
        <f t="shared" si="88"/>
        <v>2751.84</v>
      </c>
      <c r="W337" s="8" t="str">
        <f t="shared" si="89"/>
        <v>High</v>
      </c>
      <c r="X337" s="15">
        <v>0.158</v>
      </c>
      <c r="Y337" s="15">
        <f t="shared" si="90"/>
        <v>0.158</v>
      </c>
      <c r="Z337" t="str">
        <f t="shared" si="91"/>
        <v>No</v>
      </c>
      <c r="AA337" s="17">
        <v>7</v>
      </c>
      <c r="AB337" s="8">
        <f t="shared" si="92"/>
        <v>16219.34496</v>
      </c>
      <c r="AC337" s="8">
        <f t="shared" si="93"/>
        <v>9021.9499999999989</v>
      </c>
      <c r="AD337" s="8">
        <f t="shared" si="94"/>
        <v>7197.3949600000014</v>
      </c>
      <c r="AE337" s="15">
        <f t="shared" si="95"/>
        <v>0.44375373837538756</v>
      </c>
      <c r="AF337" s="34">
        <f>MIN(Y337,'Scenario Modeling'!$B$2)</f>
        <v>0.158</v>
      </c>
      <c r="AG337">
        <f>ROUND(AA337 * (1 + 'Scenario Modeling'!$B$4), 0)</f>
        <v>7</v>
      </c>
      <c r="AH337">
        <f>T337 * (1 + 'Scenario Modeling'!$B$3)</f>
        <v>1288.8499999999999</v>
      </c>
      <c r="AI337" s="8">
        <f t="shared" si="96"/>
        <v>16219.34496</v>
      </c>
      <c r="AJ337" s="8">
        <f t="shared" si="97"/>
        <v>7197.3949600000014</v>
      </c>
    </row>
    <row r="338" spans="1:36">
      <c r="A338" t="s">
        <v>350</v>
      </c>
      <c r="B338" s="4">
        <v>45484</v>
      </c>
      <c r="C338" s="28">
        <v>45484</v>
      </c>
      <c r="D338" s="28" t="str">
        <f t="shared" si="82"/>
        <v>Q3-2024</v>
      </c>
      <c r="E338" s="4">
        <v>45504</v>
      </c>
      <c r="F338" s="4">
        <v>45504</v>
      </c>
      <c r="G338" s="17">
        <f t="shared" si="83"/>
        <v>20</v>
      </c>
      <c r="H338" s="17">
        <f t="shared" si="84"/>
        <v>20</v>
      </c>
      <c r="I338" t="str">
        <f t="shared" si="85"/>
        <v>No</v>
      </c>
      <c r="J338" s="2">
        <f t="shared" si="86"/>
        <v>44938</v>
      </c>
      <c r="K338" t="s">
        <v>647</v>
      </c>
      <c r="L338" t="s">
        <v>659</v>
      </c>
      <c r="M338" t="s">
        <v>676</v>
      </c>
      <c r="N338" t="str">
        <f t="shared" si="87"/>
        <v>Asia - China - Shenzhen</v>
      </c>
      <c r="O338" t="s">
        <v>704</v>
      </c>
      <c r="P338" t="s">
        <v>708</v>
      </c>
      <c r="Q338" t="s">
        <v>715</v>
      </c>
      <c r="R338" t="s">
        <v>730</v>
      </c>
      <c r="S338" t="s">
        <v>1070</v>
      </c>
      <c r="T338" s="6">
        <v>647.26</v>
      </c>
      <c r="U338" s="8">
        <v>1374.72</v>
      </c>
      <c r="V338" s="8">
        <f t="shared" si="88"/>
        <v>1374.72</v>
      </c>
      <c r="W338" s="8" t="str">
        <f t="shared" si="89"/>
        <v>Medium</v>
      </c>
      <c r="X338" s="15">
        <v>6.6000000000000003E-2</v>
      </c>
      <c r="Y338" s="15">
        <f t="shared" si="90"/>
        <v>6.6000000000000003E-2</v>
      </c>
      <c r="Z338" t="str">
        <f t="shared" si="91"/>
        <v>No</v>
      </c>
      <c r="AA338" s="17">
        <v>22</v>
      </c>
      <c r="AB338" s="8">
        <f t="shared" si="92"/>
        <v>28247.74656</v>
      </c>
      <c r="AC338" s="8">
        <f t="shared" si="93"/>
        <v>14239.72</v>
      </c>
      <c r="AD338" s="8">
        <f t="shared" si="94"/>
        <v>14008.02656</v>
      </c>
      <c r="AE338" s="15">
        <f t="shared" si="95"/>
        <v>0.49589890401508901</v>
      </c>
      <c r="AF338" s="34">
        <f>MIN(Y338,'Scenario Modeling'!$B$2)</f>
        <v>6.6000000000000003E-2</v>
      </c>
      <c r="AG338">
        <f>ROUND(AA338 * (1 + 'Scenario Modeling'!$B$4), 0)</f>
        <v>22</v>
      </c>
      <c r="AH338">
        <f>T338 * (1 + 'Scenario Modeling'!$B$3)</f>
        <v>647.26</v>
      </c>
      <c r="AI338" s="8">
        <f t="shared" si="96"/>
        <v>28247.74656</v>
      </c>
      <c r="AJ338" s="8">
        <f t="shared" si="97"/>
        <v>14008.02656</v>
      </c>
    </row>
    <row r="339" spans="1:36">
      <c r="A339" t="s">
        <v>351</v>
      </c>
      <c r="B339" s="4">
        <v>45340</v>
      </c>
      <c r="C339" s="28">
        <v>45340</v>
      </c>
      <c r="D339" s="28" t="str">
        <f t="shared" si="82"/>
        <v>Q1-2024</v>
      </c>
      <c r="E339" s="4">
        <v>45354</v>
      </c>
      <c r="F339" s="4">
        <v>45354</v>
      </c>
      <c r="G339" s="17">
        <f t="shared" si="83"/>
        <v>14</v>
      </c>
      <c r="H339" s="17">
        <f t="shared" si="84"/>
        <v>14</v>
      </c>
      <c r="I339" t="str">
        <f t="shared" si="85"/>
        <v>No</v>
      </c>
      <c r="J339" s="2">
        <f t="shared" si="86"/>
        <v>44955</v>
      </c>
      <c r="K339" t="s">
        <v>648</v>
      </c>
      <c r="L339" t="s">
        <v>655</v>
      </c>
      <c r="M339" t="s">
        <v>672</v>
      </c>
      <c r="N339" t="str">
        <f t="shared" si="87"/>
        <v>Americas - Brazil - Brasília</v>
      </c>
      <c r="O339" t="s">
        <v>706</v>
      </c>
      <c r="P339" t="s">
        <v>710</v>
      </c>
      <c r="Q339" t="s">
        <v>720</v>
      </c>
      <c r="R339" t="s">
        <v>728</v>
      </c>
      <c r="S339" t="s">
        <v>1071</v>
      </c>
      <c r="T339" s="6">
        <v>624.23</v>
      </c>
      <c r="U339" s="8">
        <v>1318.37</v>
      </c>
      <c r="V339" s="8">
        <f t="shared" si="88"/>
        <v>1318.37</v>
      </c>
      <c r="W339" s="8" t="str">
        <f t="shared" si="89"/>
        <v>Medium</v>
      </c>
      <c r="X339" s="15">
        <v>0.21</v>
      </c>
      <c r="Y339" s="15">
        <f t="shared" si="90"/>
        <v>0.21</v>
      </c>
      <c r="Z339" t="str">
        <f t="shared" si="91"/>
        <v>Yes</v>
      </c>
      <c r="AA339" s="17">
        <v>37</v>
      </c>
      <c r="AB339" s="8">
        <f t="shared" si="92"/>
        <v>38535.955099999999</v>
      </c>
      <c r="AC339" s="8">
        <f t="shared" si="93"/>
        <v>23096.510000000002</v>
      </c>
      <c r="AD339" s="8">
        <f t="shared" si="94"/>
        <v>15439.445099999997</v>
      </c>
      <c r="AE339" s="15">
        <f t="shared" si="95"/>
        <v>0.40065038118128793</v>
      </c>
      <c r="AF339" s="34">
        <f>MIN(Y339,'Scenario Modeling'!$B$2)</f>
        <v>0.21</v>
      </c>
      <c r="AG339">
        <f>ROUND(AA339 * (1 + 'Scenario Modeling'!$B$4), 0)</f>
        <v>37</v>
      </c>
      <c r="AH339">
        <f>T339 * (1 + 'Scenario Modeling'!$B$3)</f>
        <v>624.23</v>
      </c>
      <c r="AI339" s="8">
        <f t="shared" si="96"/>
        <v>38535.955099999999</v>
      </c>
      <c r="AJ339" s="8">
        <f t="shared" si="97"/>
        <v>15439.445099999997</v>
      </c>
    </row>
    <row r="340" spans="1:36">
      <c r="A340" t="s">
        <v>352</v>
      </c>
      <c r="B340" s="4">
        <v>45132</v>
      </c>
      <c r="C340" s="28">
        <v>45132</v>
      </c>
      <c r="D340" s="28" t="str">
        <f t="shared" si="82"/>
        <v>Q3-2023</v>
      </c>
      <c r="E340" s="4">
        <v>45148</v>
      </c>
      <c r="F340" s="4">
        <v>45148</v>
      </c>
      <c r="G340" s="17">
        <f t="shared" si="83"/>
        <v>16</v>
      </c>
      <c r="H340" s="17">
        <f t="shared" si="84"/>
        <v>16</v>
      </c>
      <c r="I340" t="str">
        <f t="shared" si="85"/>
        <v>No</v>
      </c>
      <c r="J340" s="2">
        <f t="shared" si="86"/>
        <v>44941</v>
      </c>
      <c r="K340" t="s">
        <v>646</v>
      </c>
      <c r="L340" t="s">
        <v>651</v>
      </c>
      <c r="M340" t="s">
        <v>663</v>
      </c>
      <c r="N340" t="str">
        <f t="shared" si="87"/>
        <v>Africa - Nigeria - Port Harcourt</v>
      </c>
      <c r="O340" t="s">
        <v>701</v>
      </c>
      <c r="P340" t="s">
        <v>710</v>
      </c>
      <c r="Q340" t="s">
        <v>714</v>
      </c>
      <c r="R340" t="s">
        <v>733</v>
      </c>
      <c r="S340" t="s">
        <v>1072</v>
      </c>
      <c r="T340" s="6">
        <v>506.83</v>
      </c>
      <c r="U340" s="8">
        <v>441.74</v>
      </c>
      <c r="V340" s="8">
        <f t="shared" si="88"/>
        <v>441.74</v>
      </c>
      <c r="W340" s="8" t="str">
        <f t="shared" si="89"/>
        <v>Low</v>
      </c>
      <c r="X340" s="15">
        <v>0.24</v>
      </c>
      <c r="Y340" s="15">
        <f t="shared" si="90"/>
        <v>0.24</v>
      </c>
      <c r="Z340" t="str">
        <f t="shared" si="91"/>
        <v>Yes</v>
      </c>
      <c r="AA340" s="17">
        <v>9</v>
      </c>
      <c r="AB340" s="8">
        <f t="shared" si="92"/>
        <v>3021.5016000000001</v>
      </c>
      <c r="AC340" s="8">
        <f t="shared" si="93"/>
        <v>4561.47</v>
      </c>
      <c r="AD340" s="8">
        <f t="shared" si="94"/>
        <v>-1539.9684000000002</v>
      </c>
      <c r="AE340" s="15">
        <f t="shared" si="95"/>
        <v>-0.50966989393618067</v>
      </c>
      <c r="AF340" s="34">
        <f>MIN(Y340,'Scenario Modeling'!$B$2)</f>
        <v>0.24</v>
      </c>
      <c r="AG340">
        <f>ROUND(AA340 * (1 + 'Scenario Modeling'!$B$4), 0)</f>
        <v>9</v>
      </c>
      <c r="AH340">
        <f>T340 * (1 + 'Scenario Modeling'!$B$3)</f>
        <v>506.83</v>
      </c>
      <c r="AI340" s="8">
        <f t="shared" si="96"/>
        <v>3021.5016000000001</v>
      </c>
      <c r="AJ340" s="8">
        <f t="shared" si="97"/>
        <v>-1539.9684000000002</v>
      </c>
    </row>
    <row r="341" spans="1:36">
      <c r="A341" t="s">
        <v>353</v>
      </c>
      <c r="B341" s="4">
        <v>45121</v>
      </c>
      <c r="C341" s="28">
        <v>45121</v>
      </c>
      <c r="D341" s="28" t="str">
        <f t="shared" si="82"/>
        <v>Q3-2023</v>
      </c>
      <c r="E341" s="4">
        <v>45128</v>
      </c>
      <c r="F341" s="4">
        <v>45128</v>
      </c>
      <c r="G341" s="17">
        <f t="shared" si="83"/>
        <v>7</v>
      </c>
      <c r="H341" s="17">
        <f t="shared" si="84"/>
        <v>7</v>
      </c>
      <c r="I341" t="str">
        <f t="shared" si="85"/>
        <v>Yes</v>
      </c>
      <c r="J341" s="2">
        <f t="shared" si="86"/>
        <v>44933</v>
      </c>
      <c r="K341" t="s">
        <v>646</v>
      </c>
      <c r="L341" t="s">
        <v>661</v>
      </c>
      <c r="M341" t="s">
        <v>687</v>
      </c>
      <c r="N341" t="str">
        <f t="shared" si="87"/>
        <v>Africa - South Africa - Durban</v>
      </c>
      <c r="O341" t="s">
        <v>706</v>
      </c>
      <c r="P341" t="s">
        <v>709</v>
      </c>
      <c r="Q341" t="s">
        <v>720</v>
      </c>
      <c r="R341" t="s">
        <v>732</v>
      </c>
      <c r="S341" t="s">
        <v>1073</v>
      </c>
      <c r="T341" s="6">
        <v>620.74</v>
      </c>
      <c r="U341" s="8">
        <v>1330.07</v>
      </c>
      <c r="V341" s="8">
        <f t="shared" si="88"/>
        <v>1330.07</v>
      </c>
      <c r="W341" s="8" t="str">
        <f t="shared" si="89"/>
        <v>Medium</v>
      </c>
      <c r="X341" s="15">
        <v>0.29899999999999999</v>
      </c>
      <c r="Y341" s="15">
        <f t="shared" si="90"/>
        <v>0.29899999999999999</v>
      </c>
      <c r="Z341" t="str">
        <f t="shared" si="91"/>
        <v>Yes</v>
      </c>
      <c r="AA341" s="17">
        <v>28</v>
      </c>
      <c r="AB341" s="8">
        <f t="shared" si="92"/>
        <v>26106.613960000002</v>
      </c>
      <c r="AC341" s="8">
        <f t="shared" si="93"/>
        <v>17380.72</v>
      </c>
      <c r="AD341" s="8">
        <f t="shared" si="94"/>
        <v>8725.8939600000012</v>
      </c>
      <c r="AE341" s="15">
        <f t="shared" si="95"/>
        <v>0.33424073965967516</v>
      </c>
      <c r="AF341" s="34">
        <f>MIN(Y341,'Scenario Modeling'!$B$2)</f>
        <v>0.25</v>
      </c>
      <c r="AG341">
        <f>ROUND(AA341 * (1 + 'Scenario Modeling'!$B$4), 0)</f>
        <v>28</v>
      </c>
      <c r="AH341">
        <f>T341 * (1 + 'Scenario Modeling'!$B$3)</f>
        <v>620.74</v>
      </c>
      <c r="AI341" s="8">
        <f t="shared" si="96"/>
        <v>27931.47</v>
      </c>
      <c r="AJ341" s="8">
        <f t="shared" si="97"/>
        <v>10550.75</v>
      </c>
    </row>
    <row r="342" spans="1:36">
      <c r="A342" t="s">
        <v>354</v>
      </c>
      <c r="B342" s="4">
        <v>45131</v>
      </c>
      <c r="C342" s="28">
        <v>45131</v>
      </c>
      <c r="D342" s="28" t="str">
        <f t="shared" si="82"/>
        <v>Q3-2023</v>
      </c>
      <c r="E342" s="4">
        <v>45157</v>
      </c>
      <c r="F342" s="4">
        <v>45157</v>
      </c>
      <c r="G342" s="17">
        <f t="shared" si="83"/>
        <v>26</v>
      </c>
      <c r="H342" s="17">
        <f t="shared" si="84"/>
        <v>26</v>
      </c>
      <c r="I342" t="str">
        <f t="shared" si="85"/>
        <v>No</v>
      </c>
      <c r="J342" s="2">
        <f t="shared" si="86"/>
        <v>44946</v>
      </c>
      <c r="K342" t="s">
        <v>646</v>
      </c>
      <c r="L342" t="s">
        <v>650</v>
      </c>
      <c r="M342" t="s">
        <v>664</v>
      </c>
      <c r="N342" t="str">
        <f t="shared" si="87"/>
        <v>Africa - Kenya - Nairobi</v>
      </c>
      <c r="O342" t="s">
        <v>706</v>
      </c>
      <c r="P342" t="s">
        <v>710</v>
      </c>
      <c r="Q342" t="s">
        <v>724</v>
      </c>
      <c r="R342" t="s">
        <v>733</v>
      </c>
      <c r="S342" t="s">
        <v>1074</v>
      </c>
      <c r="T342" s="6">
        <v>661.45</v>
      </c>
      <c r="U342" s="8">
        <v>1634.86</v>
      </c>
      <c r="V342" s="8">
        <f t="shared" si="88"/>
        <v>1634.86</v>
      </c>
      <c r="W342" s="8" t="str">
        <f t="shared" si="89"/>
        <v>Medium</v>
      </c>
      <c r="X342" s="15">
        <v>0.56499999999999995</v>
      </c>
      <c r="Y342" s="15">
        <f t="shared" si="90"/>
        <v>0.11861439999999995</v>
      </c>
      <c r="Z342" t="str">
        <f t="shared" si="91"/>
        <v>No</v>
      </c>
      <c r="AA342" s="17">
        <v>24</v>
      </c>
      <c r="AB342" s="8">
        <f t="shared" si="92"/>
        <v>34582.609488383998</v>
      </c>
      <c r="AC342" s="8">
        <f t="shared" si="93"/>
        <v>15874.800000000001</v>
      </c>
      <c r="AD342" s="8">
        <f t="shared" si="94"/>
        <v>18707.809488383995</v>
      </c>
      <c r="AE342" s="15">
        <f t="shared" si="95"/>
        <v>0.54096003063816767</v>
      </c>
      <c r="AF342" s="34">
        <f>MIN(Y342,'Scenario Modeling'!$B$2)</f>
        <v>0.11861439999999995</v>
      </c>
      <c r="AG342">
        <f>ROUND(AA342 * (1 + 'Scenario Modeling'!$B$4), 0)</f>
        <v>24</v>
      </c>
      <c r="AH342">
        <f>T342 * (1 + 'Scenario Modeling'!$B$3)</f>
        <v>661.45</v>
      </c>
      <c r="AI342" s="8">
        <f t="shared" si="96"/>
        <v>34582.609488383998</v>
      </c>
      <c r="AJ342" s="8">
        <f t="shared" si="97"/>
        <v>18707.809488383995</v>
      </c>
    </row>
    <row r="343" spans="1:36">
      <c r="A343" t="s">
        <v>355</v>
      </c>
      <c r="B343" s="4">
        <v>45029</v>
      </c>
      <c r="C343" s="28">
        <v>45029</v>
      </c>
      <c r="D343" s="28" t="str">
        <f t="shared" si="82"/>
        <v>Q2-2023</v>
      </c>
      <c r="E343" s="4">
        <v>45027</v>
      </c>
      <c r="F343" s="4">
        <f>B343+11</f>
        <v>45040</v>
      </c>
      <c r="G343" s="17">
        <f t="shared" si="83"/>
        <v>-2</v>
      </c>
      <c r="H343" s="17">
        <f t="shared" si="84"/>
        <v>11</v>
      </c>
      <c r="I343" t="str">
        <f t="shared" si="85"/>
        <v>No</v>
      </c>
      <c r="J343" s="2">
        <f t="shared" si="86"/>
        <v>44939</v>
      </c>
      <c r="K343" t="s">
        <v>648</v>
      </c>
      <c r="L343" t="s">
        <v>660</v>
      </c>
      <c r="M343" t="s">
        <v>686</v>
      </c>
      <c r="N343" t="str">
        <f t="shared" si="87"/>
        <v>Americas - USA - San Francisco</v>
      </c>
      <c r="O343" t="s">
        <v>702</v>
      </c>
      <c r="P343" t="s">
        <v>709</v>
      </c>
      <c r="Q343" t="s">
        <v>715</v>
      </c>
      <c r="R343" t="s">
        <v>729</v>
      </c>
      <c r="S343" t="s">
        <v>1075</v>
      </c>
      <c r="T343" s="6">
        <v>32.1</v>
      </c>
      <c r="U343" s="8">
        <v>70.599999999999994</v>
      </c>
      <c r="V343" s="8">
        <f t="shared" si="88"/>
        <v>70.599999999999994</v>
      </c>
      <c r="W343" s="8" t="str">
        <f t="shared" si="89"/>
        <v>Low</v>
      </c>
      <c r="X343" s="15">
        <v>0.28199999999999997</v>
      </c>
      <c r="Y343" s="15">
        <f t="shared" si="90"/>
        <v>0.28199999999999997</v>
      </c>
      <c r="Z343" t="str">
        <f t="shared" si="91"/>
        <v>Yes</v>
      </c>
      <c r="AA343" s="17">
        <v>22</v>
      </c>
      <c r="AB343" s="8">
        <f t="shared" si="92"/>
        <v>1115.1975999999997</v>
      </c>
      <c r="AC343" s="8">
        <f t="shared" si="93"/>
        <v>706.2</v>
      </c>
      <c r="AD343" s="8">
        <f t="shared" si="94"/>
        <v>408.99759999999969</v>
      </c>
      <c r="AE343" s="15">
        <f t="shared" si="95"/>
        <v>0.36674899587301818</v>
      </c>
      <c r="AF343" s="34">
        <f>MIN(Y343,'Scenario Modeling'!$B$2)</f>
        <v>0.25</v>
      </c>
      <c r="AG343">
        <f>ROUND(AA343 * (1 + 'Scenario Modeling'!$B$4), 0)</f>
        <v>22</v>
      </c>
      <c r="AH343">
        <f>T343 * (1 + 'Scenario Modeling'!$B$3)</f>
        <v>32.1</v>
      </c>
      <c r="AI343" s="8">
        <f t="shared" si="96"/>
        <v>1164.8999999999999</v>
      </c>
      <c r="AJ343" s="8">
        <f t="shared" si="97"/>
        <v>458.69999999999982</v>
      </c>
    </row>
    <row r="344" spans="1:36">
      <c r="A344" t="s">
        <v>356</v>
      </c>
      <c r="B344" s="4">
        <v>45594</v>
      </c>
      <c r="C344" s="28">
        <v>45594</v>
      </c>
      <c r="D344" s="28" t="str">
        <f t="shared" si="82"/>
        <v>Q4-2024</v>
      </c>
      <c r="E344" s="4">
        <v>45600</v>
      </c>
      <c r="F344" s="4">
        <v>45600</v>
      </c>
      <c r="G344" s="17">
        <f t="shared" si="83"/>
        <v>6</v>
      </c>
      <c r="H344" s="17">
        <f t="shared" si="84"/>
        <v>6</v>
      </c>
      <c r="I344" t="str">
        <f t="shared" si="85"/>
        <v>Yes</v>
      </c>
      <c r="J344" s="2">
        <f t="shared" si="86"/>
        <v>44946</v>
      </c>
      <c r="K344" t="s">
        <v>646</v>
      </c>
      <c r="L344" t="s">
        <v>650</v>
      </c>
      <c r="M344" t="s">
        <v>664</v>
      </c>
      <c r="N344" t="str">
        <f t="shared" si="87"/>
        <v>Africa - Kenya - Nairobi</v>
      </c>
      <c r="O344" t="s">
        <v>701</v>
      </c>
      <c r="P344" t="s">
        <v>710</v>
      </c>
      <c r="Q344" t="s">
        <v>724</v>
      </c>
      <c r="R344" t="s">
        <v>728</v>
      </c>
      <c r="S344" t="s">
        <v>1076</v>
      </c>
      <c r="T344" s="6">
        <v>805.81</v>
      </c>
      <c r="U344" s="8">
        <v>1823.04</v>
      </c>
      <c r="V344" s="8">
        <f t="shared" si="88"/>
        <v>1823.04</v>
      </c>
      <c r="W344" s="8" t="str">
        <f t="shared" si="89"/>
        <v>High</v>
      </c>
      <c r="X344" s="15">
        <v>0</v>
      </c>
      <c r="Y344" s="15">
        <f t="shared" si="90"/>
        <v>0</v>
      </c>
      <c r="Z344" t="str">
        <f t="shared" si="91"/>
        <v>No</v>
      </c>
      <c r="AA344" s="17">
        <v>11</v>
      </c>
      <c r="AB344" s="8">
        <f t="shared" si="92"/>
        <v>20053.439999999999</v>
      </c>
      <c r="AC344" s="8">
        <f t="shared" si="93"/>
        <v>8863.91</v>
      </c>
      <c r="AD344" s="8">
        <f t="shared" si="94"/>
        <v>11189.529999999999</v>
      </c>
      <c r="AE344" s="15">
        <f t="shared" si="95"/>
        <v>0.55798556257679477</v>
      </c>
      <c r="AF344" s="34">
        <f>MIN(Y344,'Scenario Modeling'!$B$2)</f>
        <v>0</v>
      </c>
      <c r="AG344">
        <f>ROUND(AA344 * (1 + 'Scenario Modeling'!$B$4), 0)</f>
        <v>11</v>
      </c>
      <c r="AH344">
        <f>T344 * (1 + 'Scenario Modeling'!$B$3)</f>
        <v>805.81</v>
      </c>
      <c r="AI344" s="8">
        <f t="shared" si="96"/>
        <v>20053.439999999999</v>
      </c>
      <c r="AJ344" s="8">
        <f t="shared" si="97"/>
        <v>11189.529999999999</v>
      </c>
    </row>
    <row r="345" spans="1:36">
      <c r="A345" t="s">
        <v>357</v>
      </c>
      <c r="B345" s="4">
        <v>45339</v>
      </c>
      <c r="C345" s="28">
        <v>45339</v>
      </c>
      <c r="D345" s="28" t="str">
        <f t="shared" si="82"/>
        <v>Q1-2024</v>
      </c>
      <c r="E345" s="4">
        <v>45355</v>
      </c>
      <c r="F345" s="4">
        <v>45355</v>
      </c>
      <c r="G345" s="17">
        <f t="shared" si="83"/>
        <v>16</v>
      </c>
      <c r="H345" s="17">
        <f t="shared" si="84"/>
        <v>16</v>
      </c>
      <c r="I345" t="str">
        <f t="shared" si="85"/>
        <v>No</v>
      </c>
      <c r="J345" s="2">
        <f t="shared" si="86"/>
        <v>44955</v>
      </c>
      <c r="K345" t="s">
        <v>647</v>
      </c>
      <c r="L345" t="s">
        <v>654</v>
      </c>
      <c r="M345" t="s">
        <v>680</v>
      </c>
      <c r="N345" t="str">
        <f t="shared" si="87"/>
        <v>Asia - India - Delhi</v>
      </c>
      <c r="O345" t="s">
        <v>705</v>
      </c>
      <c r="P345" t="s">
        <v>709</v>
      </c>
      <c r="Q345" t="s">
        <v>721</v>
      </c>
      <c r="R345" t="s">
        <v>730</v>
      </c>
      <c r="S345" t="s">
        <v>1077</v>
      </c>
      <c r="T345" s="6">
        <v>1231.8</v>
      </c>
      <c r="U345" s="8">
        <v>2015.99</v>
      </c>
      <c r="V345" s="8">
        <f t="shared" si="88"/>
        <v>2015.99</v>
      </c>
      <c r="W345" s="8" t="str">
        <f t="shared" si="89"/>
        <v>High</v>
      </c>
      <c r="X345" s="15">
        <v>0.26100000000000001</v>
      </c>
      <c r="Y345" s="15">
        <f t="shared" si="90"/>
        <v>0.26100000000000001</v>
      </c>
      <c r="Z345" t="str">
        <f t="shared" si="91"/>
        <v>Yes</v>
      </c>
      <c r="AA345" s="17">
        <v>6</v>
      </c>
      <c r="AB345" s="8">
        <f t="shared" si="92"/>
        <v>8938.8996600000009</v>
      </c>
      <c r="AC345" s="8">
        <f t="shared" si="93"/>
        <v>7390.7999999999993</v>
      </c>
      <c r="AD345" s="8">
        <f t="shared" si="94"/>
        <v>1548.0996600000017</v>
      </c>
      <c r="AE345" s="15">
        <f t="shared" si="95"/>
        <v>0.17318682599464391</v>
      </c>
      <c r="AF345" s="34">
        <f>MIN(Y345,'Scenario Modeling'!$B$2)</f>
        <v>0.25</v>
      </c>
      <c r="AG345">
        <f>ROUND(AA345 * (1 + 'Scenario Modeling'!$B$4), 0)</f>
        <v>6</v>
      </c>
      <c r="AH345">
        <f>T345 * (1 + 'Scenario Modeling'!$B$3)</f>
        <v>1231.8</v>
      </c>
      <c r="AI345" s="8">
        <f t="shared" si="96"/>
        <v>9071.9549999999999</v>
      </c>
      <c r="AJ345" s="8">
        <f t="shared" si="97"/>
        <v>1681.1550000000007</v>
      </c>
    </row>
    <row r="346" spans="1:36">
      <c r="A346" t="s">
        <v>358</v>
      </c>
      <c r="B346" s="4">
        <v>45486</v>
      </c>
      <c r="C346" s="28">
        <v>45486</v>
      </c>
      <c r="D346" s="28" t="str">
        <f t="shared" si="82"/>
        <v>Q3-2024</v>
      </c>
      <c r="E346" s="4">
        <v>45485</v>
      </c>
      <c r="F346" s="4">
        <f>B346+14</f>
        <v>45500</v>
      </c>
      <c r="G346" s="17">
        <f t="shared" si="83"/>
        <v>-1</v>
      </c>
      <c r="H346" s="17">
        <f t="shared" si="84"/>
        <v>14</v>
      </c>
      <c r="I346" t="str">
        <f t="shared" si="85"/>
        <v>No</v>
      </c>
      <c r="J346" s="2">
        <f t="shared" si="86"/>
        <v>44988</v>
      </c>
      <c r="K346" t="s">
        <v>647</v>
      </c>
      <c r="L346" t="s">
        <v>652</v>
      </c>
      <c r="M346" t="s">
        <v>694</v>
      </c>
      <c r="N346" t="str">
        <f t="shared" si="87"/>
        <v>Asia - Japan - Nagoya</v>
      </c>
      <c r="O346" t="s">
        <v>705</v>
      </c>
      <c r="P346" t="s">
        <v>709</v>
      </c>
      <c r="Q346" t="s">
        <v>721</v>
      </c>
      <c r="R346" t="s">
        <v>729</v>
      </c>
      <c r="S346" t="s">
        <v>1078</v>
      </c>
      <c r="T346" s="6">
        <v>105.13</v>
      </c>
      <c r="U346" s="8">
        <v>244.13</v>
      </c>
      <c r="V346" s="8">
        <f t="shared" si="88"/>
        <v>244.13</v>
      </c>
      <c r="W346" s="8" t="str">
        <f t="shared" si="89"/>
        <v>Low</v>
      </c>
      <c r="X346" s="15">
        <v>7.0999999999999994E-2</v>
      </c>
      <c r="Y346" s="15">
        <f t="shared" si="90"/>
        <v>7.0999999999999994E-2</v>
      </c>
      <c r="Z346" t="str">
        <f t="shared" si="91"/>
        <v>No</v>
      </c>
      <c r="AA346" s="17">
        <v>14</v>
      </c>
      <c r="AB346" s="8">
        <f t="shared" si="92"/>
        <v>3175.1547799999998</v>
      </c>
      <c r="AC346" s="8">
        <f t="shared" si="93"/>
        <v>1471.82</v>
      </c>
      <c r="AD346" s="8">
        <f t="shared" si="94"/>
        <v>1703.3347799999999</v>
      </c>
      <c r="AE346" s="15">
        <f t="shared" si="95"/>
        <v>0.53645724319618837</v>
      </c>
      <c r="AF346" s="34">
        <f>MIN(Y346,'Scenario Modeling'!$B$2)</f>
        <v>7.0999999999999994E-2</v>
      </c>
      <c r="AG346">
        <f>ROUND(AA346 * (1 + 'Scenario Modeling'!$B$4), 0)</f>
        <v>14</v>
      </c>
      <c r="AH346">
        <f>T346 * (1 + 'Scenario Modeling'!$B$3)</f>
        <v>105.13</v>
      </c>
      <c r="AI346" s="8">
        <f t="shared" si="96"/>
        <v>3175.1547799999998</v>
      </c>
      <c r="AJ346" s="8">
        <f t="shared" si="97"/>
        <v>1703.3347799999999</v>
      </c>
    </row>
    <row r="347" spans="1:36">
      <c r="A347" t="s">
        <v>359</v>
      </c>
      <c r="B347" s="4">
        <v>45261</v>
      </c>
      <c r="C347" s="28">
        <v>45261</v>
      </c>
      <c r="D347" s="28" t="str">
        <f t="shared" si="82"/>
        <v>Q4-2023</v>
      </c>
      <c r="E347" s="4">
        <v>45278</v>
      </c>
      <c r="F347" s="4">
        <v>45278</v>
      </c>
      <c r="G347" s="17">
        <f t="shared" si="83"/>
        <v>17</v>
      </c>
      <c r="H347" s="17">
        <f t="shared" si="84"/>
        <v>17</v>
      </c>
      <c r="I347" t="str">
        <f t="shared" si="85"/>
        <v>No</v>
      </c>
      <c r="J347" s="2">
        <f t="shared" si="86"/>
        <v>44988</v>
      </c>
      <c r="K347" t="s">
        <v>647</v>
      </c>
      <c r="L347" t="s">
        <v>652</v>
      </c>
      <c r="M347" t="s">
        <v>694</v>
      </c>
      <c r="N347" t="str">
        <f t="shared" si="87"/>
        <v>Asia - Japan - Nagoya</v>
      </c>
      <c r="O347" t="s">
        <v>705</v>
      </c>
      <c r="P347" t="s">
        <v>711</v>
      </c>
      <c r="Q347" t="s">
        <v>725</v>
      </c>
      <c r="R347" t="s">
        <v>731</v>
      </c>
      <c r="S347" t="s">
        <v>1079</v>
      </c>
      <c r="T347" s="6">
        <v>1495.79</v>
      </c>
      <c r="U347" s="8">
        <v>2783.12</v>
      </c>
      <c r="V347" s="8">
        <f t="shared" si="88"/>
        <v>2783.12</v>
      </c>
      <c r="W347" s="8" t="str">
        <f t="shared" si="89"/>
        <v>High</v>
      </c>
      <c r="X347" s="15">
        <v>0.02</v>
      </c>
      <c r="Y347" s="15">
        <f t="shared" si="90"/>
        <v>0.02</v>
      </c>
      <c r="Z347" t="str">
        <f t="shared" si="91"/>
        <v>No</v>
      </c>
      <c r="AA347" s="17">
        <v>5</v>
      </c>
      <c r="AB347" s="8">
        <f t="shared" si="92"/>
        <v>13637.287999999999</v>
      </c>
      <c r="AC347" s="8">
        <f t="shared" si="93"/>
        <v>7478.95</v>
      </c>
      <c r="AD347" s="8">
        <f t="shared" si="94"/>
        <v>6158.3379999999988</v>
      </c>
      <c r="AE347" s="15">
        <f t="shared" si="95"/>
        <v>0.45158084217331185</v>
      </c>
      <c r="AF347" s="34">
        <f>MIN(Y347,'Scenario Modeling'!$B$2)</f>
        <v>0.02</v>
      </c>
      <c r="AG347">
        <f>ROUND(AA347 * (1 + 'Scenario Modeling'!$B$4), 0)</f>
        <v>5</v>
      </c>
      <c r="AH347">
        <f>T347 * (1 + 'Scenario Modeling'!$B$3)</f>
        <v>1495.79</v>
      </c>
      <c r="AI347" s="8">
        <f t="shared" si="96"/>
        <v>13637.287999999999</v>
      </c>
      <c r="AJ347" s="8">
        <f t="shared" si="97"/>
        <v>6158.3379999999988</v>
      </c>
    </row>
    <row r="348" spans="1:36">
      <c r="A348" t="s">
        <v>360</v>
      </c>
      <c r="B348" s="4">
        <v>45498</v>
      </c>
      <c r="C348" s="28">
        <v>45498</v>
      </c>
      <c r="D348" s="28" t="str">
        <f t="shared" si="82"/>
        <v>Q3-2024</v>
      </c>
      <c r="E348" s="4">
        <v>45506</v>
      </c>
      <c r="F348" s="4">
        <v>45506</v>
      </c>
      <c r="G348" s="17">
        <f t="shared" si="83"/>
        <v>8</v>
      </c>
      <c r="H348" s="17">
        <f t="shared" si="84"/>
        <v>8</v>
      </c>
      <c r="I348" t="str">
        <f t="shared" si="85"/>
        <v>No</v>
      </c>
      <c r="J348" s="2">
        <f t="shared" si="86"/>
        <v>44928</v>
      </c>
      <c r="K348" t="s">
        <v>648</v>
      </c>
      <c r="L348" t="s">
        <v>653</v>
      </c>
      <c r="M348" t="s">
        <v>681</v>
      </c>
      <c r="N348" t="str">
        <f t="shared" si="87"/>
        <v>Americas - Canada - Montreal</v>
      </c>
      <c r="O348" t="s">
        <v>704</v>
      </c>
      <c r="P348" t="s">
        <v>711</v>
      </c>
      <c r="Q348" t="s">
        <v>713</v>
      </c>
      <c r="R348" t="s">
        <v>733</v>
      </c>
      <c r="S348" t="s">
        <v>1080</v>
      </c>
      <c r="T348" s="6">
        <v>986.81</v>
      </c>
      <c r="U348" s="8">
        <v>2050.31</v>
      </c>
      <c r="V348" s="8">
        <f t="shared" si="88"/>
        <v>2050.31</v>
      </c>
      <c r="W348" s="8" t="str">
        <f t="shared" si="89"/>
        <v>High</v>
      </c>
      <c r="X348" s="15">
        <v>0.10299999999999999</v>
      </c>
      <c r="Y348" s="15">
        <f t="shared" si="90"/>
        <v>0.10299999999999999</v>
      </c>
      <c r="Z348" t="str">
        <f t="shared" si="91"/>
        <v>No</v>
      </c>
      <c r="AA348" s="17">
        <v>43</v>
      </c>
      <c r="AB348" s="8">
        <f t="shared" si="92"/>
        <v>79082.507010000001</v>
      </c>
      <c r="AC348" s="8">
        <f t="shared" si="93"/>
        <v>42432.829999999994</v>
      </c>
      <c r="AD348" s="8">
        <f t="shared" si="94"/>
        <v>36649.677010000007</v>
      </c>
      <c r="AE348" s="15">
        <f t="shared" si="95"/>
        <v>0.46343595310358138</v>
      </c>
      <c r="AF348" s="34">
        <f>MIN(Y348,'Scenario Modeling'!$B$2)</f>
        <v>0.10299999999999999</v>
      </c>
      <c r="AG348">
        <f>ROUND(AA348 * (1 + 'Scenario Modeling'!$B$4), 0)</f>
        <v>43</v>
      </c>
      <c r="AH348">
        <f>T348 * (1 + 'Scenario Modeling'!$B$3)</f>
        <v>986.81</v>
      </c>
      <c r="AI348" s="8">
        <f t="shared" si="96"/>
        <v>79082.507010000001</v>
      </c>
      <c r="AJ348" s="8">
        <f t="shared" si="97"/>
        <v>36649.677010000007</v>
      </c>
    </row>
    <row r="349" spans="1:36">
      <c r="A349" t="s">
        <v>361</v>
      </c>
      <c r="B349" s="4">
        <v>45050</v>
      </c>
      <c r="C349" s="28">
        <v>45050</v>
      </c>
      <c r="D349" s="28" t="str">
        <f t="shared" si="82"/>
        <v>Q2-2023</v>
      </c>
      <c r="E349" s="4">
        <v>45062</v>
      </c>
      <c r="F349" s="4">
        <v>45062</v>
      </c>
      <c r="G349" s="17">
        <f t="shared" si="83"/>
        <v>12</v>
      </c>
      <c r="H349" s="17">
        <f t="shared" si="84"/>
        <v>12</v>
      </c>
      <c r="I349" t="str">
        <f t="shared" si="85"/>
        <v>No</v>
      </c>
      <c r="J349" s="2">
        <f t="shared" si="86"/>
        <v>44941</v>
      </c>
      <c r="K349" t="s">
        <v>646</v>
      </c>
      <c r="L349" t="s">
        <v>651</v>
      </c>
      <c r="M349" t="s">
        <v>669</v>
      </c>
      <c r="N349" t="str">
        <f t="shared" si="87"/>
        <v>Africa - Nigeria - Abuja</v>
      </c>
      <c r="O349" t="s">
        <v>705</v>
      </c>
      <c r="P349" t="s">
        <v>709</v>
      </c>
      <c r="Q349" t="s">
        <v>713</v>
      </c>
      <c r="R349" t="s">
        <v>730</v>
      </c>
      <c r="S349" t="s">
        <v>1081</v>
      </c>
      <c r="T349" s="6">
        <v>77.739999999999995</v>
      </c>
      <c r="U349" s="8">
        <v>147.12</v>
      </c>
      <c r="V349" s="8">
        <f t="shared" si="88"/>
        <v>147.12</v>
      </c>
      <c r="W349" s="8" t="str">
        <f t="shared" si="89"/>
        <v>Low</v>
      </c>
      <c r="X349" s="15">
        <v>0</v>
      </c>
      <c r="Y349" s="15">
        <f t="shared" si="90"/>
        <v>0</v>
      </c>
      <c r="Z349" t="str">
        <f t="shared" si="91"/>
        <v>No</v>
      </c>
      <c r="AA349" s="17">
        <v>15</v>
      </c>
      <c r="AB349" s="8">
        <f t="shared" si="92"/>
        <v>2206.8000000000002</v>
      </c>
      <c r="AC349" s="8">
        <f t="shared" si="93"/>
        <v>1166.0999999999999</v>
      </c>
      <c r="AD349" s="8">
        <f t="shared" si="94"/>
        <v>1040.7000000000003</v>
      </c>
      <c r="AE349" s="15">
        <f t="shared" si="95"/>
        <v>0.47158781946710177</v>
      </c>
      <c r="AF349" s="34">
        <f>MIN(Y349,'Scenario Modeling'!$B$2)</f>
        <v>0</v>
      </c>
      <c r="AG349">
        <f>ROUND(AA349 * (1 + 'Scenario Modeling'!$B$4), 0)</f>
        <v>15</v>
      </c>
      <c r="AH349">
        <f>T349 * (1 + 'Scenario Modeling'!$B$3)</f>
        <v>77.739999999999995</v>
      </c>
      <c r="AI349" s="8">
        <f t="shared" si="96"/>
        <v>2206.8000000000002</v>
      </c>
      <c r="AJ349" s="8">
        <f t="shared" si="97"/>
        <v>1040.7000000000003</v>
      </c>
    </row>
    <row r="350" spans="1:36">
      <c r="A350" t="s">
        <v>362</v>
      </c>
      <c r="B350" s="4">
        <v>45281</v>
      </c>
      <c r="C350" s="28">
        <v>45281</v>
      </c>
      <c r="D350" s="28" t="str">
        <f t="shared" si="82"/>
        <v>Q4-2023</v>
      </c>
      <c r="E350" s="4">
        <v>45297</v>
      </c>
      <c r="F350" s="4">
        <v>45297</v>
      </c>
      <c r="G350" s="17">
        <f t="shared" si="83"/>
        <v>16</v>
      </c>
      <c r="H350" s="17">
        <f t="shared" si="84"/>
        <v>16</v>
      </c>
      <c r="I350" t="str">
        <f t="shared" si="85"/>
        <v>No</v>
      </c>
      <c r="J350" s="2">
        <f t="shared" si="86"/>
        <v>44941</v>
      </c>
      <c r="K350" t="s">
        <v>646</v>
      </c>
      <c r="L350" t="s">
        <v>651</v>
      </c>
      <c r="M350" t="s">
        <v>663</v>
      </c>
      <c r="N350" t="str">
        <f t="shared" si="87"/>
        <v>Africa - Nigeria - Port Harcourt</v>
      </c>
      <c r="O350" t="s">
        <v>701</v>
      </c>
      <c r="P350" t="s">
        <v>709</v>
      </c>
      <c r="Q350" t="s">
        <v>723</v>
      </c>
      <c r="R350" t="s">
        <v>727</v>
      </c>
      <c r="S350" t="s">
        <v>1082</v>
      </c>
      <c r="T350" s="6">
        <v>932.61</v>
      </c>
      <c r="U350" s="8">
        <v>1982.98</v>
      </c>
      <c r="V350" s="8">
        <f t="shared" si="88"/>
        <v>1982.98</v>
      </c>
      <c r="W350" s="8" t="str">
        <f t="shared" si="89"/>
        <v>High</v>
      </c>
      <c r="X350" s="15">
        <v>0.14399999999999999</v>
      </c>
      <c r="Y350" s="15">
        <f t="shared" si="90"/>
        <v>0.14399999999999999</v>
      </c>
      <c r="Z350" t="str">
        <f t="shared" si="91"/>
        <v>No</v>
      </c>
      <c r="AA350" s="17">
        <v>16</v>
      </c>
      <c r="AB350" s="8">
        <f t="shared" si="92"/>
        <v>27158.894079999998</v>
      </c>
      <c r="AC350" s="8">
        <f t="shared" si="93"/>
        <v>14921.76</v>
      </c>
      <c r="AD350" s="8">
        <f t="shared" si="94"/>
        <v>12237.134079999998</v>
      </c>
      <c r="AE350" s="15">
        <f t="shared" si="95"/>
        <v>0.45057556629345635</v>
      </c>
      <c r="AF350" s="34">
        <f>MIN(Y350,'Scenario Modeling'!$B$2)</f>
        <v>0.14399999999999999</v>
      </c>
      <c r="AG350">
        <f>ROUND(AA350 * (1 + 'Scenario Modeling'!$B$4), 0)</f>
        <v>16</v>
      </c>
      <c r="AH350">
        <f>T350 * (1 + 'Scenario Modeling'!$B$3)</f>
        <v>932.61</v>
      </c>
      <c r="AI350" s="8">
        <f t="shared" si="96"/>
        <v>27158.894079999998</v>
      </c>
      <c r="AJ350" s="8">
        <f t="shared" si="97"/>
        <v>12237.134079999998</v>
      </c>
    </row>
    <row r="351" spans="1:36">
      <c r="A351" t="s">
        <v>363</v>
      </c>
      <c r="B351" s="4">
        <v>45825</v>
      </c>
      <c r="C351" s="28">
        <v>45825</v>
      </c>
      <c r="D351" s="28" t="str">
        <f t="shared" si="82"/>
        <v>Q2-2025</v>
      </c>
      <c r="E351" s="4">
        <v>45843</v>
      </c>
      <c r="F351" s="4">
        <v>45843</v>
      </c>
      <c r="G351" s="17">
        <f t="shared" si="83"/>
        <v>18</v>
      </c>
      <c r="H351" s="17">
        <f t="shared" si="84"/>
        <v>18</v>
      </c>
      <c r="I351" t="str">
        <f t="shared" si="85"/>
        <v>No</v>
      </c>
      <c r="J351" s="2">
        <f t="shared" si="86"/>
        <v>44955</v>
      </c>
      <c r="K351" t="s">
        <v>647</v>
      </c>
      <c r="L351" t="s">
        <v>654</v>
      </c>
      <c r="M351" t="s">
        <v>680</v>
      </c>
      <c r="N351" t="str">
        <f t="shared" si="87"/>
        <v>Asia - India - Delhi</v>
      </c>
      <c r="O351" t="s">
        <v>704</v>
      </c>
      <c r="P351" t="s">
        <v>709</v>
      </c>
      <c r="Q351" t="s">
        <v>716</v>
      </c>
      <c r="R351" t="s">
        <v>731</v>
      </c>
      <c r="S351" t="s">
        <v>1083</v>
      </c>
      <c r="T351" s="6">
        <v>982.93</v>
      </c>
      <c r="U351" s="8">
        <v>2299.3000000000002</v>
      </c>
      <c r="V351" s="8">
        <f t="shared" si="88"/>
        <v>2299.3000000000002</v>
      </c>
      <c r="W351" s="8" t="str">
        <f t="shared" si="89"/>
        <v>High</v>
      </c>
      <c r="X351" s="15">
        <v>0.113</v>
      </c>
      <c r="Y351" s="15">
        <f t="shared" si="90"/>
        <v>0.113</v>
      </c>
      <c r="Z351" t="str">
        <f t="shared" si="91"/>
        <v>No</v>
      </c>
      <c r="AA351" s="17">
        <v>6</v>
      </c>
      <c r="AB351" s="8">
        <f t="shared" si="92"/>
        <v>12236.874600000001</v>
      </c>
      <c r="AC351" s="8">
        <f t="shared" si="93"/>
        <v>5897.58</v>
      </c>
      <c r="AD351" s="8">
        <f t="shared" si="94"/>
        <v>6339.2946000000011</v>
      </c>
      <c r="AE351" s="15">
        <f t="shared" si="95"/>
        <v>0.51804850562087157</v>
      </c>
      <c r="AF351" s="34">
        <f>MIN(Y351,'Scenario Modeling'!$B$2)</f>
        <v>0.113</v>
      </c>
      <c r="AG351">
        <f>ROUND(AA351 * (1 + 'Scenario Modeling'!$B$4), 0)</f>
        <v>6</v>
      </c>
      <c r="AH351">
        <f>T351 * (1 + 'Scenario Modeling'!$B$3)</f>
        <v>982.93</v>
      </c>
      <c r="AI351" s="8">
        <f t="shared" si="96"/>
        <v>12236.874600000001</v>
      </c>
      <c r="AJ351" s="8">
        <f t="shared" si="97"/>
        <v>6339.2946000000011</v>
      </c>
    </row>
    <row r="352" spans="1:36">
      <c r="A352" t="s">
        <v>364</v>
      </c>
      <c r="B352" s="4">
        <v>44980</v>
      </c>
      <c r="C352" s="28">
        <v>44980</v>
      </c>
      <c r="D352" s="28" t="str">
        <f t="shared" si="82"/>
        <v>Q1-2023</v>
      </c>
      <c r="E352" s="4">
        <v>44993</v>
      </c>
      <c r="F352" s="4">
        <v>44993</v>
      </c>
      <c r="G352" s="17">
        <f t="shared" si="83"/>
        <v>13</v>
      </c>
      <c r="H352" s="17">
        <f t="shared" si="84"/>
        <v>13</v>
      </c>
      <c r="I352" t="str">
        <f t="shared" si="85"/>
        <v>No</v>
      </c>
      <c r="J352" s="2">
        <f t="shared" si="86"/>
        <v>44945</v>
      </c>
      <c r="K352" t="s">
        <v>649</v>
      </c>
      <c r="L352" t="s">
        <v>658</v>
      </c>
      <c r="M352" t="s">
        <v>693</v>
      </c>
      <c r="N352" t="str">
        <f t="shared" si="87"/>
        <v>Europe - United Kingdom - Manchester</v>
      </c>
      <c r="O352" t="s">
        <v>705</v>
      </c>
      <c r="P352" t="s">
        <v>711</v>
      </c>
      <c r="Q352" t="s">
        <v>712</v>
      </c>
      <c r="R352" t="s">
        <v>728</v>
      </c>
      <c r="S352" t="s">
        <v>1084</v>
      </c>
      <c r="T352" s="6">
        <v>307.37</v>
      </c>
      <c r="U352" s="8">
        <v>462.61</v>
      </c>
      <c r="V352" s="8">
        <f t="shared" si="88"/>
        <v>462.61</v>
      </c>
      <c r="W352" s="8" t="str">
        <f t="shared" si="89"/>
        <v>Low</v>
      </c>
      <c r="X352" s="15">
        <v>0.188</v>
      </c>
      <c r="Y352" s="15">
        <f t="shared" si="90"/>
        <v>0.188</v>
      </c>
      <c r="Z352" t="str">
        <f t="shared" si="91"/>
        <v>No</v>
      </c>
      <c r="AA352" s="17">
        <v>11</v>
      </c>
      <c r="AB352" s="8">
        <f t="shared" si="92"/>
        <v>4132.0325200000007</v>
      </c>
      <c r="AC352" s="8">
        <f t="shared" si="93"/>
        <v>3381.07</v>
      </c>
      <c r="AD352" s="8">
        <f t="shared" si="94"/>
        <v>750.9625200000005</v>
      </c>
      <c r="AE352" s="15">
        <f t="shared" si="95"/>
        <v>0.18174167709599739</v>
      </c>
      <c r="AF352" s="34">
        <f>MIN(Y352,'Scenario Modeling'!$B$2)</f>
        <v>0.188</v>
      </c>
      <c r="AG352">
        <f>ROUND(AA352 * (1 + 'Scenario Modeling'!$B$4), 0)</f>
        <v>11</v>
      </c>
      <c r="AH352">
        <f>T352 * (1 + 'Scenario Modeling'!$B$3)</f>
        <v>307.37</v>
      </c>
      <c r="AI352" s="8">
        <f t="shared" si="96"/>
        <v>4132.0325200000007</v>
      </c>
      <c r="AJ352" s="8">
        <f t="shared" si="97"/>
        <v>750.9625200000005</v>
      </c>
    </row>
    <row r="353" spans="1:36">
      <c r="A353" t="s">
        <v>365</v>
      </c>
      <c r="B353" s="4">
        <v>45262</v>
      </c>
      <c r="C353" s="28">
        <v>45262</v>
      </c>
      <c r="D353" s="28" t="str">
        <f t="shared" si="82"/>
        <v>Q4-2023</v>
      </c>
      <c r="E353" s="4">
        <v>45276</v>
      </c>
      <c r="F353" s="4">
        <v>45276</v>
      </c>
      <c r="G353" s="17">
        <f t="shared" si="83"/>
        <v>14</v>
      </c>
      <c r="H353" s="17">
        <f t="shared" si="84"/>
        <v>14</v>
      </c>
      <c r="I353" t="str">
        <f t="shared" si="85"/>
        <v>No</v>
      </c>
      <c r="J353" s="2">
        <f t="shared" si="86"/>
        <v>44948</v>
      </c>
      <c r="K353" t="s">
        <v>649</v>
      </c>
      <c r="L353" t="s">
        <v>656</v>
      </c>
      <c r="M353" t="s">
        <v>698</v>
      </c>
      <c r="N353" t="str">
        <f t="shared" si="87"/>
        <v>Europe - Germany - Frankfurt</v>
      </c>
      <c r="O353" t="s">
        <v>702</v>
      </c>
      <c r="P353" t="s">
        <v>711</v>
      </c>
      <c r="Q353" t="s">
        <v>725</v>
      </c>
      <c r="R353" t="s">
        <v>732</v>
      </c>
      <c r="S353" t="s">
        <v>1085</v>
      </c>
      <c r="T353" s="6">
        <v>879.08</v>
      </c>
      <c r="U353" s="8">
        <v>1093.3900000000001</v>
      </c>
      <c r="V353" s="8">
        <f t="shared" si="88"/>
        <v>1093.3900000000001</v>
      </c>
      <c r="W353" s="8" t="str">
        <f t="shared" si="89"/>
        <v>Medium</v>
      </c>
      <c r="X353" s="15">
        <v>0.113</v>
      </c>
      <c r="Y353" s="15">
        <f t="shared" si="90"/>
        <v>0.113</v>
      </c>
      <c r="Z353" t="str">
        <f t="shared" si="91"/>
        <v>No</v>
      </c>
      <c r="AA353" s="17">
        <v>17</v>
      </c>
      <c r="AB353" s="8">
        <f t="shared" si="92"/>
        <v>16487.22781</v>
      </c>
      <c r="AC353" s="8">
        <f t="shared" si="93"/>
        <v>14944.36</v>
      </c>
      <c r="AD353" s="8">
        <f t="shared" si="94"/>
        <v>1542.8678099999997</v>
      </c>
      <c r="AE353" s="15">
        <f t="shared" si="95"/>
        <v>9.3579577341935186E-2</v>
      </c>
      <c r="AF353" s="34">
        <f>MIN(Y353,'Scenario Modeling'!$B$2)</f>
        <v>0.113</v>
      </c>
      <c r="AG353">
        <f>ROUND(AA353 * (1 + 'Scenario Modeling'!$B$4), 0)</f>
        <v>17</v>
      </c>
      <c r="AH353">
        <f>T353 * (1 + 'Scenario Modeling'!$B$3)</f>
        <v>879.08</v>
      </c>
      <c r="AI353" s="8">
        <f t="shared" si="96"/>
        <v>16487.22781</v>
      </c>
      <c r="AJ353" s="8">
        <f t="shared" si="97"/>
        <v>1542.8678099999997</v>
      </c>
    </row>
    <row r="354" spans="1:36">
      <c r="A354" t="s">
        <v>366</v>
      </c>
      <c r="B354" s="4">
        <v>45121</v>
      </c>
      <c r="C354" s="28">
        <v>45121</v>
      </c>
      <c r="D354" s="28" t="str">
        <f t="shared" si="82"/>
        <v>Q3-2023</v>
      </c>
      <c r="E354" s="4">
        <v>45121</v>
      </c>
      <c r="F354" s="4">
        <v>45121</v>
      </c>
      <c r="G354" s="17">
        <f t="shared" si="83"/>
        <v>0</v>
      </c>
      <c r="H354" s="17">
        <f t="shared" si="84"/>
        <v>0</v>
      </c>
      <c r="I354" t="str">
        <f t="shared" si="85"/>
        <v>Yes</v>
      </c>
      <c r="J354" s="2">
        <f t="shared" si="86"/>
        <v>44941</v>
      </c>
      <c r="K354" t="s">
        <v>646</v>
      </c>
      <c r="L354" t="s">
        <v>651</v>
      </c>
      <c r="M354" t="s">
        <v>665</v>
      </c>
      <c r="N354" t="str">
        <f t="shared" si="87"/>
        <v>Africa - Nigeria - Lagos</v>
      </c>
      <c r="O354" t="s">
        <v>702</v>
      </c>
      <c r="P354" t="s">
        <v>707</v>
      </c>
      <c r="Q354" t="s">
        <v>714</v>
      </c>
      <c r="R354" t="s">
        <v>733</v>
      </c>
      <c r="S354" t="s">
        <v>1086</v>
      </c>
      <c r="T354" s="6">
        <v>956.38</v>
      </c>
      <c r="U354" s="8">
        <v>1454.22</v>
      </c>
      <c r="V354" s="8">
        <f t="shared" si="88"/>
        <v>1454.22</v>
      </c>
      <c r="W354" s="8" t="str">
        <f t="shared" si="89"/>
        <v>Medium</v>
      </c>
      <c r="X354" s="15">
        <v>3.9E-2</v>
      </c>
      <c r="Y354" s="15">
        <f t="shared" si="90"/>
        <v>3.9E-2</v>
      </c>
      <c r="Z354" t="str">
        <f t="shared" si="91"/>
        <v>No</v>
      </c>
      <c r="AA354" s="17">
        <v>19</v>
      </c>
      <c r="AB354" s="8">
        <f t="shared" si="92"/>
        <v>26552.60298</v>
      </c>
      <c r="AC354" s="8">
        <f t="shared" si="93"/>
        <v>18171.22</v>
      </c>
      <c r="AD354" s="8">
        <f t="shared" si="94"/>
        <v>8381.3829799999985</v>
      </c>
      <c r="AE354" s="15">
        <f t="shared" si="95"/>
        <v>0.31565202802576603</v>
      </c>
      <c r="AF354" s="34">
        <f>MIN(Y354,'Scenario Modeling'!$B$2)</f>
        <v>3.9E-2</v>
      </c>
      <c r="AG354">
        <f>ROUND(AA354 * (1 + 'Scenario Modeling'!$B$4), 0)</f>
        <v>19</v>
      </c>
      <c r="AH354">
        <f>T354 * (1 + 'Scenario Modeling'!$B$3)</f>
        <v>956.38</v>
      </c>
      <c r="AI354" s="8">
        <f t="shared" si="96"/>
        <v>26552.60298</v>
      </c>
      <c r="AJ354" s="8">
        <f t="shared" si="97"/>
        <v>8381.3829799999985</v>
      </c>
    </row>
    <row r="355" spans="1:36">
      <c r="A355" t="s">
        <v>367</v>
      </c>
      <c r="B355" s="4">
        <v>45512</v>
      </c>
      <c r="C355" s="28">
        <v>45512</v>
      </c>
      <c r="D355" s="28" t="str">
        <f t="shared" si="82"/>
        <v>Q3-2024</v>
      </c>
      <c r="E355" s="4">
        <v>45524</v>
      </c>
      <c r="F355" s="4">
        <v>45524</v>
      </c>
      <c r="G355" s="17">
        <f t="shared" si="83"/>
        <v>12</v>
      </c>
      <c r="H355" s="17">
        <f t="shared" si="84"/>
        <v>12</v>
      </c>
      <c r="I355" t="str">
        <f t="shared" si="85"/>
        <v>No</v>
      </c>
      <c r="J355" s="2">
        <f t="shared" si="86"/>
        <v>44988</v>
      </c>
      <c r="K355" t="s">
        <v>647</v>
      </c>
      <c r="L355" t="s">
        <v>652</v>
      </c>
      <c r="M355" t="s">
        <v>666</v>
      </c>
      <c r="N355" t="str">
        <f t="shared" si="87"/>
        <v>Asia - Japan - Osaka</v>
      </c>
      <c r="O355" t="s">
        <v>705</v>
      </c>
      <c r="P355" t="s">
        <v>707</v>
      </c>
      <c r="Q355" t="s">
        <v>722</v>
      </c>
      <c r="R355" t="s">
        <v>729</v>
      </c>
      <c r="S355" t="s">
        <v>1087</v>
      </c>
      <c r="T355" s="6">
        <v>1233.3599999999999</v>
      </c>
      <c r="U355" s="8">
        <v>2120.4</v>
      </c>
      <c r="V355" s="8">
        <f t="shared" si="88"/>
        <v>2120.4</v>
      </c>
      <c r="W355" s="8" t="str">
        <f t="shared" si="89"/>
        <v>High</v>
      </c>
      <c r="X355" s="15">
        <v>0.17899999999999999</v>
      </c>
      <c r="Y355" s="15">
        <f t="shared" si="90"/>
        <v>0.17899999999999999</v>
      </c>
      <c r="Z355" t="str">
        <f t="shared" si="91"/>
        <v>No</v>
      </c>
      <c r="AA355" s="17">
        <v>20</v>
      </c>
      <c r="AB355" s="8">
        <f t="shared" si="92"/>
        <v>34816.968000000001</v>
      </c>
      <c r="AC355" s="8">
        <f t="shared" si="93"/>
        <v>24667.199999999997</v>
      </c>
      <c r="AD355" s="8">
        <f t="shared" si="94"/>
        <v>10149.768000000004</v>
      </c>
      <c r="AE355" s="15">
        <f t="shared" si="95"/>
        <v>0.29151785991244278</v>
      </c>
      <c r="AF355" s="34">
        <f>MIN(Y355,'Scenario Modeling'!$B$2)</f>
        <v>0.17899999999999999</v>
      </c>
      <c r="AG355">
        <f>ROUND(AA355 * (1 + 'Scenario Modeling'!$B$4), 0)</f>
        <v>20</v>
      </c>
      <c r="AH355">
        <f>T355 * (1 + 'Scenario Modeling'!$B$3)</f>
        <v>1233.3599999999999</v>
      </c>
      <c r="AI355" s="8">
        <f t="shared" si="96"/>
        <v>34816.968000000001</v>
      </c>
      <c r="AJ355" s="8">
        <f t="shared" si="97"/>
        <v>10149.768000000004</v>
      </c>
    </row>
    <row r="356" spans="1:36">
      <c r="A356" t="s">
        <v>368</v>
      </c>
      <c r="B356" s="4">
        <v>45603</v>
      </c>
      <c r="C356" s="28">
        <v>45603</v>
      </c>
      <c r="D356" s="28" t="str">
        <f t="shared" si="82"/>
        <v>Q4-2024</v>
      </c>
      <c r="E356" s="4">
        <v>45622</v>
      </c>
      <c r="F356" s="4">
        <v>45622</v>
      </c>
      <c r="G356" s="17">
        <f t="shared" si="83"/>
        <v>19</v>
      </c>
      <c r="H356" s="17">
        <f t="shared" si="84"/>
        <v>19</v>
      </c>
      <c r="I356" t="str">
        <f t="shared" si="85"/>
        <v>No</v>
      </c>
      <c r="J356" s="2">
        <f t="shared" si="86"/>
        <v>44955</v>
      </c>
      <c r="K356" t="s">
        <v>648</v>
      </c>
      <c r="L356" t="s">
        <v>655</v>
      </c>
      <c r="M356" t="s">
        <v>692</v>
      </c>
      <c r="N356" t="str">
        <f t="shared" si="87"/>
        <v>Americas - Brazil - Rio de Janeiro</v>
      </c>
      <c r="O356" t="s">
        <v>703</v>
      </c>
      <c r="P356" t="s">
        <v>710</v>
      </c>
      <c r="Q356" t="s">
        <v>713</v>
      </c>
      <c r="R356" t="s">
        <v>728</v>
      </c>
      <c r="S356" t="s">
        <v>1088</v>
      </c>
      <c r="T356" s="6">
        <v>55.35</v>
      </c>
      <c r="U356" s="8">
        <v>128.68</v>
      </c>
      <c r="V356" s="8">
        <f t="shared" si="88"/>
        <v>128.68</v>
      </c>
      <c r="W356" s="8" t="str">
        <f t="shared" si="89"/>
        <v>Low</v>
      </c>
      <c r="X356" s="15">
        <v>0.128</v>
      </c>
      <c r="Y356" s="15">
        <f t="shared" si="90"/>
        <v>0.128</v>
      </c>
      <c r="Z356" t="str">
        <f t="shared" si="91"/>
        <v>No</v>
      </c>
      <c r="AA356" s="17">
        <v>10</v>
      </c>
      <c r="AB356" s="8">
        <f t="shared" si="92"/>
        <v>1122.0896000000002</v>
      </c>
      <c r="AC356" s="8">
        <f t="shared" si="93"/>
        <v>553.5</v>
      </c>
      <c r="AD356" s="8">
        <f t="shared" si="94"/>
        <v>568.58960000000025</v>
      </c>
      <c r="AE356" s="15">
        <f t="shared" si="95"/>
        <v>0.50672388372550647</v>
      </c>
      <c r="AF356" s="34">
        <f>MIN(Y356,'Scenario Modeling'!$B$2)</f>
        <v>0.128</v>
      </c>
      <c r="AG356">
        <f>ROUND(AA356 * (1 + 'Scenario Modeling'!$B$4), 0)</f>
        <v>10</v>
      </c>
      <c r="AH356">
        <f>T356 * (1 + 'Scenario Modeling'!$B$3)</f>
        <v>55.35</v>
      </c>
      <c r="AI356" s="8">
        <f t="shared" si="96"/>
        <v>1122.0896000000002</v>
      </c>
      <c r="AJ356" s="8">
        <f t="shared" si="97"/>
        <v>568.58960000000025</v>
      </c>
    </row>
    <row r="357" spans="1:36">
      <c r="A357" t="s">
        <v>369</v>
      </c>
      <c r="B357" s="4">
        <v>45292</v>
      </c>
      <c r="C357" s="28">
        <v>45292</v>
      </c>
      <c r="D357" s="28" t="str">
        <f t="shared" si="82"/>
        <v>Q1-2024</v>
      </c>
      <c r="E357" s="4">
        <v>45318</v>
      </c>
      <c r="F357" s="4">
        <v>45318</v>
      </c>
      <c r="G357" s="17">
        <f t="shared" si="83"/>
        <v>26</v>
      </c>
      <c r="H357" s="17">
        <f t="shared" si="84"/>
        <v>26</v>
      </c>
      <c r="I357" t="str">
        <f t="shared" si="85"/>
        <v>No</v>
      </c>
      <c r="J357" s="2">
        <f t="shared" si="86"/>
        <v>44945</v>
      </c>
      <c r="K357" t="s">
        <v>649</v>
      </c>
      <c r="L357" t="s">
        <v>658</v>
      </c>
      <c r="M357" t="s">
        <v>693</v>
      </c>
      <c r="N357" t="str">
        <f t="shared" si="87"/>
        <v>Europe - United Kingdom - Manchester</v>
      </c>
      <c r="O357" t="s">
        <v>702</v>
      </c>
      <c r="P357" t="s">
        <v>710</v>
      </c>
      <c r="Q357" t="s">
        <v>726</v>
      </c>
      <c r="R357" t="s">
        <v>733</v>
      </c>
      <c r="S357" t="s">
        <v>1089</v>
      </c>
      <c r="T357" s="6">
        <v>657.45</v>
      </c>
      <c r="U357" s="8">
        <v>1325.96</v>
      </c>
      <c r="V357" s="8">
        <f t="shared" si="88"/>
        <v>1325.96</v>
      </c>
      <c r="W357" s="8" t="str">
        <f t="shared" si="89"/>
        <v>Medium</v>
      </c>
      <c r="X357" s="15">
        <v>0.16700000000000001</v>
      </c>
      <c r="Y357" s="15">
        <f t="shared" si="90"/>
        <v>0.16700000000000001</v>
      </c>
      <c r="Z357" t="str">
        <f t="shared" si="91"/>
        <v>No</v>
      </c>
      <c r="AA357" s="17">
        <v>21</v>
      </c>
      <c r="AB357" s="8">
        <f t="shared" si="92"/>
        <v>23195.01828</v>
      </c>
      <c r="AC357" s="8">
        <f t="shared" si="93"/>
        <v>13806.45</v>
      </c>
      <c r="AD357" s="8">
        <f t="shared" si="94"/>
        <v>9388.5682799999995</v>
      </c>
      <c r="AE357" s="15">
        <f t="shared" si="95"/>
        <v>0.40476658249048808</v>
      </c>
      <c r="AF357" s="34">
        <f>MIN(Y357,'Scenario Modeling'!$B$2)</f>
        <v>0.16700000000000001</v>
      </c>
      <c r="AG357">
        <f>ROUND(AA357 * (1 + 'Scenario Modeling'!$B$4), 0)</f>
        <v>21</v>
      </c>
      <c r="AH357">
        <f>T357 * (1 + 'Scenario Modeling'!$B$3)</f>
        <v>657.45</v>
      </c>
      <c r="AI357" s="8">
        <f t="shared" si="96"/>
        <v>23195.01828</v>
      </c>
      <c r="AJ357" s="8">
        <f t="shared" si="97"/>
        <v>9388.5682799999995</v>
      </c>
    </row>
    <row r="358" spans="1:36">
      <c r="A358" t="s">
        <v>370</v>
      </c>
      <c r="B358" s="4">
        <v>45883</v>
      </c>
      <c r="C358" s="28">
        <v>45883</v>
      </c>
      <c r="D358" s="28" t="str">
        <f t="shared" si="82"/>
        <v>Q3-2025</v>
      </c>
      <c r="E358" s="4">
        <v>45911</v>
      </c>
      <c r="F358" s="4">
        <v>45911</v>
      </c>
      <c r="G358" s="17">
        <f t="shared" si="83"/>
        <v>28</v>
      </c>
      <c r="H358" s="17">
        <f t="shared" si="84"/>
        <v>28</v>
      </c>
      <c r="I358" t="str">
        <f t="shared" si="85"/>
        <v>No</v>
      </c>
      <c r="J358" s="2">
        <f t="shared" si="86"/>
        <v>44955</v>
      </c>
      <c r="K358" t="s">
        <v>648</v>
      </c>
      <c r="L358" t="s">
        <v>655</v>
      </c>
      <c r="M358" t="s">
        <v>670</v>
      </c>
      <c r="N358" t="str">
        <f t="shared" si="87"/>
        <v>Americas - Brazil - São Paulo</v>
      </c>
      <c r="O358" t="s">
        <v>703</v>
      </c>
      <c r="P358" t="s">
        <v>711</v>
      </c>
      <c r="Q358" t="s">
        <v>721</v>
      </c>
      <c r="R358" t="s">
        <v>728</v>
      </c>
      <c r="S358" t="s">
        <v>1090</v>
      </c>
      <c r="T358" s="6">
        <v>1203.02</v>
      </c>
      <c r="U358" s="8">
        <v>2439.33</v>
      </c>
      <c r="V358" s="8">
        <f t="shared" si="88"/>
        <v>2439.33</v>
      </c>
      <c r="W358" s="8" t="str">
        <f t="shared" si="89"/>
        <v>High</v>
      </c>
      <c r="X358" s="15">
        <v>0</v>
      </c>
      <c r="Y358" s="15">
        <f t="shared" si="90"/>
        <v>0</v>
      </c>
      <c r="Z358" t="str">
        <f t="shared" si="91"/>
        <v>No</v>
      </c>
      <c r="AA358" s="17">
        <v>18</v>
      </c>
      <c r="AB358" s="8">
        <f t="shared" si="92"/>
        <v>43907.94</v>
      </c>
      <c r="AC358" s="8">
        <f t="shared" si="93"/>
        <v>21654.36</v>
      </c>
      <c r="AD358" s="8">
        <f t="shared" si="94"/>
        <v>22253.58</v>
      </c>
      <c r="AE358" s="15">
        <f t="shared" si="95"/>
        <v>0.50682359500354612</v>
      </c>
      <c r="AF358" s="34">
        <f>MIN(Y358,'Scenario Modeling'!$B$2)</f>
        <v>0</v>
      </c>
      <c r="AG358">
        <f>ROUND(AA358 * (1 + 'Scenario Modeling'!$B$4), 0)</f>
        <v>18</v>
      </c>
      <c r="AH358">
        <f>T358 * (1 + 'Scenario Modeling'!$B$3)</f>
        <v>1203.02</v>
      </c>
      <c r="AI358" s="8">
        <f t="shared" si="96"/>
        <v>43907.94</v>
      </c>
      <c r="AJ358" s="8">
        <f t="shared" si="97"/>
        <v>22253.58</v>
      </c>
    </row>
    <row r="359" spans="1:36">
      <c r="A359" t="s">
        <v>371</v>
      </c>
      <c r="B359" s="4">
        <v>45385</v>
      </c>
      <c r="C359" s="28">
        <v>45385</v>
      </c>
      <c r="D359" s="28" t="str">
        <f t="shared" si="82"/>
        <v>Q2-2024</v>
      </c>
      <c r="E359" s="4">
        <v>45403</v>
      </c>
      <c r="F359" s="4">
        <v>45403</v>
      </c>
      <c r="G359" s="17">
        <f t="shared" si="83"/>
        <v>18</v>
      </c>
      <c r="H359" s="17">
        <f t="shared" si="84"/>
        <v>18</v>
      </c>
      <c r="I359" t="str">
        <f t="shared" si="85"/>
        <v>No</v>
      </c>
      <c r="J359" s="2">
        <f t="shared" si="86"/>
        <v>44955</v>
      </c>
      <c r="K359" t="s">
        <v>648</v>
      </c>
      <c r="L359" t="s">
        <v>655</v>
      </c>
      <c r="M359" t="s">
        <v>672</v>
      </c>
      <c r="N359" t="str">
        <f t="shared" si="87"/>
        <v>Americas - Brazil - Brasília</v>
      </c>
      <c r="O359" t="s">
        <v>705</v>
      </c>
      <c r="P359" t="s">
        <v>710</v>
      </c>
      <c r="Q359" t="s">
        <v>717</v>
      </c>
      <c r="R359" t="s">
        <v>729</v>
      </c>
      <c r="S359" t="s">
        <v>1091</v>
      </c>
      <c r="T359" s="6">
        <v>1176.69</v>
      </c>
      <c r="U359" s="8">
        <v>2201.54</v>
      </c>
      <c r="V359" s="8">
        <f t="shared" si="88"/>
        <v>2201.54</v>
      </c>
      <c r="W359" s="8" t="str">
        <f t="shared" si="89"/>
        <v>High</v>
      </c>
      <c r="X359" s="15">
        <v>0.17</v>
      </c>
      <c r="Y359" s="15">
        <f t="shared" si="90"/>
        <v>0.17</v>
      </c>
      <c r="Z359" t="str">
        <f t="shared" si="91"/>
        <v>No</v>
      </c>
      <c r="AA359" s="17">
        <v>27</v>
      </c>
      <c r="AB359" s="8">
        <f t="shared" si="92"/>
        <v>49336.511399999996</v>
      </c>
      <c r="AC359" s="8">
        <f t="shared" si="93"/>
        <v>31770.63</v>
      </c>
      <c r="AD359" s="8">
        <f t="shared" si="94"/>
        <v>17565.881399999995</v>
      </c>
      <c r="AE359" s="15">
        <f t="shared" si="95"/>
        <v>0.35604222717701106</v>
      </c>
      <c r="AF359" s="34">
        <f>MIN(Y359,'Scenario Modeling'!$B$2)</f>
        <v>0.17</v>
      </c>
      <c r="AG359">
        <f>ROUND(AA359 * (1 + 'Scenario Modeling'!$B$4), 0)</f>
        <v>27</v>
      </c>
      <c r="AH359">
        <f>T359 * (1 + 'Scenario Modeling'!$B$3)</f>
        <v>1176.69</v>
      </c>
      <c r="AI359" s="8">
        <f t="shared" si="96"/>
        <v>49336.511399999996</v>
      </c>
      <c r="AJ359" s="8">
        <f t="shared" si="97"/>
        <v>17565.881399999995</v>
      </c>
    </row>
    <row r="360" spans="1:36">
      <c r="A360" t="s">
        <v>372</v>
      </c>
      <c r="B360" s="4">
        <v>45621</v>
      </c>
      <c r="C360" s="28">
        <v>45621</v>
      </c>
      <c r="D360" s="28" t="str">
        <f t="shared" si="82"/>
        <v>Q4-2024</v>
      </c>
      <c r="E360" s="4">
        <v>45633</v>
      </c>
      <c r="F360" s="4">
        <v>45633</v>
      </c>
      <c r="G360" s="17">
        <f t="shared" si="83"/>
        <v>12</v>
      </c>
      <c r="H360" s="17">
        <f t="shared" si="84"/>
        <v>12</v>
      </c>
      <c r="I360" t="str">
        <f t="shared" si="85"/>
        <v>No</v>
      </c>
      <c r="J360" s="2">
        <f t="shared" si="86"/>
        <v>44938</v>
      </c>
      <c r="K360" t="s">
        <v>647</v>
      </c>
      <c r="L360" t="s">
        <v>659</v>
      </c>
      <c r="M360" t="s">
        <v>685</v>
      </c>
      <c r="N360" t="str">
        <f t="shared" si="87"/>
        <v>Asia - China - Shanghai</v>
      </c>
      <c r="O360" t="s">
        <v>701</v>
      </c>
      <c r="P360" t="s">
        <v>710</v>
      </c>
      <c r="Q360" t="s">
        <v>720</v>
      </c>
      <c r="R360" t="s">
        <v>733</v>
      </c>
      <c r="S360" t="s">
        <v>1092</v>
      </c>
      <c r="T360" s="6">
        <v>769.9</v>
      </c>
      <c r="U360" s="8">
        <v>814.36</v>
      </c>
      <c r="V360" s="8">
        <f t="shared" si="88"/>
        <v>814.36</v>
      </c>
      <c r="W360" s="8" t="str">
        <f t="shared" si="89"/>
        <v>Low</v>
      </c>
      <c r="X360" s="15">
        <v>0</v>
      </c>
      <c r="Y360" s="15">
        <f t="shared" si="90"/>
        <v>0</v>
      </c>
      <c r="Z360" t="str">
        <f t="shared" si="91"/>
        <v>No</v>
      </c>
      <c r="AA360" s="17">
        <v>5</v>
      </c>
      <c r="AB360" s="8">
        <f t="shared" si="92"/>
        <v>4071.8</v>
      </c>
      <c r="AC360" s="8">
        <f t="shared" si="93"/>
        <v>3849.5</v>
      </c>
      <c r="AD360" s="8">
        <f t="shared" si="94"/>
        <v>222.30000000000018</v>
      </c>
      <c r="AE360" s="15">
        <f t="shared" si="95"/>
        <v>5.4595019401738831E-2</v>
      </c>
      <c r="AF360" s="34">
        <f>MIN(Y360,'Scenario Modeling'!$B$2)</f>
        <v>0</v>
      </c>
      <c r="AG360">
        <f>ROUND(AA360 * (1 + 'Scenario Modeling'!$B$4), 0)</f>
        <v>5</v>
      </c>
      <c r="AH360">
        <f>T360 * (1 + 'Scenario Modeling'!$B$3)</f>
        <v>769.9</v>
      </c>
      <c r="AI360" s="8">
        <f t="shared" si="96"/>
        <v>4071.8</v>
      </c>
      <c r="AJ360" s="8">
        <f t="shared" si="97"/>
        <v>222.30000000000018</v>
      </c>
    </row>
    <row r="361" spans="1:36">
      <c r="A361" t="s">
        <v>373</v>
      </c>
      <c r="B361" s="4">
        <v>45309</v>
      </c>
      <c r="C361" s="28">
        <v>45309</v>
      </c>
      <c r="D361" s="28" t="str">
        <f t="shared" si="82"/>
        <v>Q1-2024</v>
      </c>
      <c r="E361" s="4">
        <v>45325</v>
      </c>
      <c r="F361" s="4">
        <v>45325</v>
      </c>
      <c r="G361" s="17">
        <f t="shared" si="83"/>
        <v>16</v>
      </c>
      <c r="H361" s="17">
        <f t="shared" si="84"/>
        <v>16</v>
      </c>
      <c r="I361" t="str">
        <f t="shared" si="85"/>
        <v>No</v>
      </c>
      <c r="J361" s="2">
        <f t="shared" si="86"/>
        <v>44933</v>
      </c>
      <c r="K361" t="s">
        <v>646</v>
      </c>
      <c r="L361" t="s">
        <v>661</v>
      </c>
      <c r="M361" t="s">
        <v>695</v>
      </c>
      <c r="N361" t="str">
        <f t="shared" si="87"/>
        <v>Africa - South Africa - Cape Town</v>
      </c>
      <c r="O361" t="s">
        <v>703</v>
      </c>
      <c r="P361" t="s">
        <v>710</v>
      </c>
      <c r="Q361" t="s">
        <v>716</v>
      </c>
      <c r="R361" t="s">
        <v>728</v>
      </c>
      <c r="S361" t="s">
        <v>1093</v>
      </c>
      <c r="T361" s="6">
        <v>666.23</v>
      </c>
      <c r="U361" s="8">
        <v>1382.91</v>
      </c>
      <c r="V361" s="8">
        <f t="shared" si="88"/>
        <v>1382.91</v>
      </c>
      <c r="W361" s="8" t="str">
        <f t="shared" si="89"/>
        <v>Medium</v>
      </c>
      <c r="X361" s="15">
        <v>0.17599999999999999</v>
      </c>
      <c r="Y361" s="15">
        <f t="shared" si="90"/>
        <v>0.17599999999999999</v>
      </c>
      <c r="Z361" t="str">
        <f t="shared" si="91"/>
        <v>No</v>
      </c>
      <c r="AA361" s="17">
        <v>13</v>
      </c>
      <c r="AB361" s="8">
        <f t="shared" si="92"/>
        <v>14813.731920000002</v>
      </c>
      <c r="AC361" s="8">
        <f t="shared" si="93"/>
        <v>8660.99</v>
      </c>
      <c r="AD361" s="8">
        <f t="shared" si="94"/>
        <v>6152.7419200000022</v>
      </c>
      <c r="AE361" s="15">
        <f t="shared" si="95"/>
        <v>0.41534043907553048</v>
      </c>
      <c r="AF361" s="34">
        <f>MIN(Y361,'Scenario Modeling'!$B$2)</f>
        <v>0.17599999999999999</v>
      </c>
      <c r="AG361">
        <f>ROUND(AA361 * (1 + 'Scenario Modeling'!$B$4), 0)</f>
        <v>13</v>
      </c>
      <c r="AH361">
        <f>T361 * (1 + 'Scenario Modeling'!$B$3)</f>
        <v>666.23</v>
      </c>
      <c r="AI361" s="8">
        <f t="shared" si="96"/>
        <v>14813.731920000002</v>
      </c>
      <c r="AJ361" s="8">
        <f t="shared" si="97"/>
        <v>6152.7419200000022</v>
      </c>
    </row>
    <row r="362" spans="1:36">
      <c r="A362" t="s">
        <v>374</v>
      </c>
      <c r="B362" s="4">
        <v>45466</v>
      </c>
      <c r="C362" s="28">
        <v>45466</v>
      </c>
      <c r="D362" s="28" t="str">
        <f t="shared" si="82"/>
        <v>Q2-2024</v>
      </c>
      <c r="E362" s="4">
        <v>45468</v>
      </c>
      <c r="F362" s="4">
        <v>45468</v>
      </c>
      <c r="G362" s="17">
        <f t="shared" si="83"/>
        <v>2</v>
      </c>
      <c r="H362" s="17">
        <f t="shared" si="84"/>
        <v>2</v>
      </c>
      <c r="I362" t="str">
        <f t="shared" si="85"/>
        <v>Yes</v>
      </c>
      <c r="J362" s="2">
        <f t="shared" si="86"/>
        <v>44945</v>
      </c>
      <c r="K362" t="s">
        <v>649</v>
      </c>
      <c r="L362" t="s">
        <v>658</v>
      </c>
      <c r="M362" t="s">
        <v>674</v>
      </c>
      <c r="N362" t="str">
        <f t="shared" si="87"/>
        <v>Europe - United Kingdom - Birmingham</v>
      </c>
      <c r="O362" t="s">
        <v>705</v>
      </c>
      <c r="P362" t="s">
        <v>709</v>
      </c>
      <c r="Q362" t="s">
        <v>716</v>
      </c>
      <c r="R362" t="s">
        <v>733</v>
      </c>
      <c r="S362" t="s">
        <v>1094</v>
      </c>
      <c r="T362" s="6">
        <v>951.44</v>
      </c>
      <c r="U362" s="8">
        <v>1646.43</v>
      </c>
      <c r="V362" s="8">
        <f t="shared" si="88"/>
        <v>1646.43</v>
      </c>
      <c r="W362" s="8" t="str">
        <f t="shared" si="89"/>
        <v>High</v>
      </c>
      <c r="X362" s="15">
        <v>0.11</v>
      </c>
      <c r="Y362" s="15">
        <f t="shared" si="90"/>
        <v>0.11</v>
      </c>
      <c r="Z362" t="str">
        <f t="shared" si="91"/>
        <v>No</v>
      </c>
      <c r="AA362" s="17">
        <v>24</v>
      </c>
      <c r="AB362" s="8">
        <f t="shared" si="92"/>
        <v>35167.7448</v>
      </c>
      <c r="AC362" s="8">
        <f t="shared" si="93"/>
        <v>22834.560000000001</v>
      </c>
      <c r="AD362" s="8">
        <f t="shared" si="94"/>
        <v>12333.184799999999</v>
      </c>
      <c r="AE362" s="15">
        <f t="shared" si="95"/>
        <v>0.35069592520473475</v>
      </c>
      <c r="AF362" s="34">
        <f>MIN(Y362,'Scenario Modeling'!$B$2)</f>
        <v>0.11</v>
      </c>
      <c r="AG362">
        <f>ROUND(AA362 * (1 + 'Scenario Modeling'!$B$4), 0)</f>
        <v>24</v>
      </c>
      <c r="AH362">
        <f>T362 * (1 + 'Scenario Modeling'!$B$3)</f>
        <v>951.44</v>
      </c>
      <c r="AI362" s="8">
        <f t="shared" si="96"/>
        <v>35167.7448</v>
      </c>
      <c r="AJ362" s="8">
        <f t="shared" si="97"/>
        <v>12333.184799999999</v>
      </c>
    </row>
    <row r="363" spans="1:36">
      <c r="A363" t="s">
        <v>375</v>
      </c>
      <c r="B363" s="4">
        <v>45833</v>
      </c>
      <c r="C363" s="28">
        <v>45833</v>
      </c>
      <c r="D363" s="28" t="str">
        <f t="shared" si="82"/>
        <v>Q2-2025</v>
      </c>
      <c r="E363" s="4">
        <v>45848</v>
      </c>
      <c r="F363" s="4">
        <v>45848</v>
      </c>
      <c r="G363" s="17">
        <f t="shared" si="83"/>
        <v>15</v>
      </c>
      <c r="H363" s="17">
        <f t="shared" si="84"/>
        <v>15</v>
      </c>
      <c r="I363" t="str">
        <f t="shared" si="85"/>
        <v>No</v>
      </c>
      <c r="J363" s="2">
        <f t="shared" si="86"/>
        <v>44945</v>
      </c>
      <c r="K363" t="s">
        <v>649</v>
      </c>
      <c r="L363" t="s">
        <v>658</v>
      </c>
      <c r="M363" t="s">
        <v>674</v>
      </c>
      <c r="N363" t="str">
        <f t="shared" si="87"/>
        <v>Europe - United Kingdom - Birmingham</v>
      </c>
      <c r="O363" t="s">
        <v>703</v>
      </c>
      <c r="P363" t="s">
        <v>709</v>
      </c>
      <c r="Q363" t="s">
        <v>726</v>
      </c>
      <c r="R363" t="s">
        <v>730</v>
      </c>
      <c r="S363" t="s">
        <v>1095</v>
      </c>
      <c r="T363" s="6">
        <v>546.83000000000004</v>
      </c>
      <c r="U363" s="8">
        <v>400.84</v>
      </c>
      <c r="V363" s="8">
        <f t="shared" si="88"/>
        <v>400.84</v>
      </c>
      <c r="W363" s="8" t="str">
        <f t="shared" si="89"/>
        <v>Low</v>
      </c>
      <c r="X363" s="15">
        <v>7.8E-2</v>
      </c>
      <c r="Y363" s="15">
        <f t="shared" si="90"/>
        <v>7.8E-2</v>
      </c>
      <c r="Z363" t="str">
        <f t="shared" si="91"/>
        <v>No</v>
      </c>
      <c r="AA363" s="17">
        <v>13</v>
      </c>
      <c r="AB363" s="8">
        <f t="shared" si="92"/>
        <v>4804.4682400000002</v>
      </c>
      <c r="AC363" s="8">
        <f t="shared" si="93"/>
        <v>7108.7900000000009</v>
      </c>
      <c r="AD363" s="8">
        <f t="shared" si="94"/>
        <v>-2304.3217600000007</v>
      </c>
      <c r="AE363" s="15">
        <f t="shared" si="95"/>
        <v>-0.47962056254533608</v>
      </c>
      <c r="AF363" s="34">
        <f>MIN(Y363,'Scenario Modeling'!$B$2)</f>
        <v>7.8E-2</v>
      </c>
      <c r="AG363">
        <f>ROUND(AA363 * (1 + 'Scenario Modeling'!$B$4), 0)</f>
        <v>13</v>
      </c>
      <c r="AH363">
        <f>T363 * (1 + 'Scenario Modeling'!$B$3)</f>
        <v>546.83000000000004</v>
      </c>
      <c r="AI363" s="8">
        <f t="shared" si="96"/>
        <v>4804.4682400000002</v>
      </c>
      <c r="AJ363" s="8">
        <f t="shared" si="97"/>
        <v>-2304.3217600000007</v>
      </c>
    </row>
    <row r="364" spans="1:36">
      <c r="A364" t="s">
        <v>376</v>
      </c>
      <c r="B364" s="4">
        <v>45108</v>
      </c>
      <c r="C364" s="28">
        <v>45108</v>
      </c>
      <c r="D364" s="28" t="str">
        <f t="shared" si="82"/>
        <v>Q3-2023</v>
      </c>
      <c r="E364" s="4">
        <v>45115</v>
      </c>
      <c r="F364" s="4">
        <v>45115</v>
      </c>
      <c r="G364" s="17">
        <f t="shared" si="83"/>
        <v>7</v>
      </c>
      <c r="H364" s="17">
        <f t="shared" si="84"/>
        <v>7</v>
      </c>
      <c r="I364" t="str">
        <f t="shared" si="85"/>
        <v>Yes</v>
      </c>
      <c r="J364" s="2">
        <f t="shared" si="86"/>
        <v>44941</v>
      </c>
      <c r="K364" t="s">
        <v>646</v>
      </c>
      <c r="L364" t="s">
        <v>651</v>
      </c>
      <c r="M364" t="s">
        <v>663</v>
      </c>
      <c r="N364" t="str">
        <f t="shared" si="87"/>
        <v>Africa - Nigeria - Port Harcourt</v>
      </c>
      <c r="O364" t="s">
        <v>701</v>
      </c>
      <c r="P364" t="s">
        <v>707</v>
      </c>
      <c r="Q364" t="s">
        <v>720</v>
      </c>
      <c r="R364" t="s">
        <v>731</v>
      </c>
      <c r="S364" t="s">
        <v>1096</v>
      </c>
      <c r="T364" s="6">
        <v>834.26</v>
      </c>
      <c r="U364" s="8">
        <v>1780.56</v>
      </c>
      <c r="V364" s="8">
        <f t="shared" si="88"/>
        <v>1780.56</v>
      </c>
      <c r="W364" s="8" t="str">
        <f t="shared" si="89"/>
        <v>High</v>
      </c>
      <c r="X364" s="15">
        <v>1.4E-2</v>
      </c>
      <c r="Y364" s="15">
        <f t="shared" si="90"/>
        <v>1.4E-2</v>
      </c>
      <c r="Z364" t="str">
        <f t="shared" si="91"/>
        <v>No</v>
      </c>
      <c r="AA364" s="17">
        <v>47</v>
      </c>
      <c r="AB364" s="8">
        <f t="shared" si="92"/>
        <v>82514.711519999997</v>
      </c>
      <c r="AC364" s="8">
        <f t="shared" si="93"/>
        <v>39210.22</v>
      </c>
      <c r="AD364" s="8">
        <f t="shared" si="94"/>
        <v>43304.491519999996</v>
      </c>
      <c r="AE364" s="15">
        <f t="shared" si="95"/>
        <v>0.5248093427497933</v>
      </c>
      <c r="AF364" s="34">
        <f>MIN(Y364,'Scenario Modeling'!$B$2)</f>
        <v>1.4E-2</v>
      </c>
      <c r="AG364">
        <f>ROUND(AA364 * (1 + 'Scenario Modeling'!$B$4), 0)</f>
        <v>47</v>
      </c>
      <c r="AH364">
        <f>T364 * (1 + 'Scenario Modeling'!$B$3)</f>
        <v>834.26</v>
      </c>
      <c r="AI364" s="8">
        <f t="shared" si="96"/>
        <v>82514.711519999997</v>
      </c>
      <c r="AJ364" s="8">
        <f t="shared" si="97"/>
        <v>43304.491519999996</v>
      </c>
    </row>
    <row r="365" spans="1:36">
      <c r="A365" t="s">
        <v>377</v>
      </c>
      <c r="B365" s="4">
        <v>45360</v>
      </c>
      <c r="C365" s="28">
        <v>45360</v>
      </c>
      <c r="D365" s="28" t="str">
        <f t="shared" si="82"/>
        <v>Q1-2024</v>
      </c>
      <c r="E365" s="4">
        <v>45377</v>
      </c>
      <c r="F365" s="4">
        <v>45377</v>
      </c>
      <c r="G365" s="17">
        <f t="shared" si="83"/>
        <v>17</v>
      </c>
      <c r="H365" s="17">
        <f t="shared" si="84"/>
        <v>17</v>
      </c>
      <c r="I365" t="str">
        <f t="shared" si="85"/>
        <v>No</v>
      </c>
      <c r="J365" s="2">
        <f t="shared" si="86"/>
        <v>44938</v>
      </c>
      <c r="K365" t="s">
        <v>647</v>
      </c>
      <c r="L365" t="s">
        <v>659</v>
      </c>
      <c r="M365" t="s">
        <v>676</v>
      </c>
      <c r="N365" t="str">
        <f t="shared" si="87"/>
        <v>Asia - China - Shenzhen</v>
      </c>
      <c r="O365" t="s">
        <v>706</v>
      </c>
      <c r="P365" t="s">
        <v>708</v>
      </c>
      <c r="Q365" t="s">
        <v>723</v>
      </c>
      <c r="R365" t="s">
        <v>732</v>
      </c>
      <c r="S365" t="s">
        <v>1097</v>
      </c>
      <c r="T365" s="6">
        <v>1029.67</v>
      </c>
      <c r="U365" s="8">
        <v>1118.43</v>
      </c>
      <c r="V365" s="8">
        <f t="shared" si="88"/>
        <v>1118.43</v>
      </c>
      <c r="W365" s="8" t="str">
        <f t="shared" si="89"/>
        <v>Medium</v>
      </c>
      <c r="X365" s="15">
        <v>0.27200000000000002</v>
      </c>
      <c r="Y365" s="15">
        <f t="shared" si="90"/>
        <v>0.27200000000000002</v>
      </c>
      <c r="Z365" t="str">
        <f t="shared" si="91"/>
        <v>Yes</v>
      </c>
      <c r="AA365" s="17">
        <v>9</v>
      </c>
      <c r="AB365" s="8">
        <f t="shared" si="92"/>
        <v>7327.9533600000004</v>
      </c>
      <c r="AC365" s="8">
        <f t="shared" si="93"/>
        <v>9267.0300000000007</v>
      </c>
      <c r="AD365" s="8">
        <f t="shared" si="94"/>
        <v>-1939.0766400000002</v>
      </c>
      <c r="AE365" s="15">
        <f t="shared" si="95"/>
        <v>-0.26461367106736061</v>
      </c>
      <c r="AF365" s="34">
        <f>MIN(Y365,'Scenario Modeling'!$B$2)</f>
        <v>0.25</v>
      </c>
      <c r="AG365">
        <f>ROUND(AA365 * (1 + 'Scenario Modeling'!$B$4), 0)</f>
        <v>9</v>
      </c>
      <c r="AH365">
        <f>T365 * (1 + 'Scenario Modeling'!$B$3)</f>
        <v>1029.67</v>
      </c>
      <c r="AI365" s="8">
        <f t="shared" si="96"/>
        <v>7549.4025000000001</v>
      </c>
      <c r="AJ365" s="8">
        <f t="shared" si="97"/>
        <v>-1717.6275000000005</v>
      </c>
    </row>
    <row r="366" spans="1:36">
      <c r="A366" t="s">
        <v>378</v>
      </c>
      <c r="B366" s="4">
        <v>45082</v>
      </c>
      <c r="C366" s="28">
        <v>45082</v>
      </c>
      <c r="D366" s="28" t="str">
        <f t="shared" si="82"/>
        <v>Q2-2023</v>
      </c>
      <c r="E366" s="4">
        <v>45105</v>
      </c>
      <c r="F366" s="4">
        <v>45105</v>
      </c>
      <c r="G366" s="17">
        <f t="shared" si="83"/>
        <v>23</v>
      </c>
      <c r="H366" s="17">
        <f t="shared" si="84"/>
        <v>23</v>
      </c>
      <c r="I366" t="str">
        <f t="shared" si="85"/>
        <v>No</v>
      </c>
      <c r="J366" s="2">
        <f t="shared" si="86"/>
        <v>44945</v>
      </c>
      <c r="K366" t="s">
        <v>649</v>
      </c>
      <c r="L366" t="s">
        <v>658</v>
      </c>
      <c r="M366" t="s">
        <v>674</v>
      </c>
      <c r="N366" t="str">
        <f t="shared" si="87"/>
        <v>Europe - United Kingdom - Birmingham</v>
      </c>
      <c r="O366" t="s">
        <v>701</v>
      </c>
      <c r="P366" t="s">
        <v>711</v>
      </c>
      <c r="Q366" t="s">
        <v>723</v>
      </c>
      <c r="R366" t="s">
        <v>728</v>
      </c>
      <c r="S366" t="s">
        <v>1098</v>
      </c>
      <c r="T366" s="6">
        <v>605.82000000000005</v>
      </c>
      <c r="U366" s="8">
        <v>771.12</v>
      </c>
      <c r="V366" s="8">
        <f t="shared" si="88"/>
        <v>771.12</v>
      </c>
      <c r="W366" s="8" t="str">
        <f t="shared" si="89"/>
        <v>Low</v>
      </c>
      <c r="X366" s="15">
        <v>0.13200000000000001</v>
      </c>
      <c r="Y366" s="15">
        <f t="shared" si="90"/>
        <v>0.13200000000000001</v>
      </c>
      <c r="Z366" t="str">
        <f t="shared" si="91"/>
        <v>No</v>
      </c>
      <c r="AA366" s="17">
        <v>19</v>
      </c>
      <c r="AB366" s="8">
        <f t="shared" si="92"/>
        <v>12717.311040000001</v>
      </c>
      <c r="AC366" s="8">
        <f t="shared" si="93"/>
        <v>11510.580000000002</v>
      </c>
      <c r="AD366" s="8">
        <f t="shared" si="94"/>
        <v>1206.7310399999988</v>
      </c>
      <c r="AE366" s="15">
        <f t="shared" si="95"/>
        <v>9.4888851597986767E-2</v>
      </c>
      <c r="AF366" s="34">
        <f>MIN(Y366,'Scenario Modeling'!$B$2)</f>
        <v>0.13200000000000001</v>
      </c>
      <c r="AG366">
        <f>ROUND(AA366 * (1 + 'Scenario Modeling'!$B$4), 0)</f>
        <v>19</v>
      </c>
      <c r="AH366">
        <f>T366 * (1 + 'Scenario Modeling'!$B$3)</f>
        <v>605.82000000000005</v>
      </c>
      <c r="AI366" s="8">
        <f t="shared" si="96"/>
        <v>12717.311040000001</v>
      </c>
      <c r="AJ366" s="8">
        <f t="shared" si="97"/>
        <v>1206.7310399999988</v>
      </c>
    </row>
    <row r="367" spans="1:36">
      <c r="A367" t="s">
        <v>379</v>
      </c>
      <c r="B367" s="4">
        <v>45737</v>
      </c>
      <c r="C367" s="28">
        <v>45737</v>
      </c>
      <c r="D367" s="28" t="str">
        <f t="shared" si="82"/>
        <v>Q1-2025</v>
      </c>
      <c r="E367" s="4">
        <v>45756</v>
      </c>
      <c r="F367" s="4">
        <v>45756</v>
      </c>
      <c r="G367" s="17">
        <f t="shared" si="83"/>
        <v>19</v>
      </c>
      <c r="H367" s="17">
        <f t="shared" si="84"/>
        <v>19</v>
      </c>
      <c r="I367" t="str">
        <f t="shared" si="85"/>
        <v>No</v>
      </c>
      <c r="J367" s="2">
        <f t="shared" si="86"/>
        <v>44988</v>
      </c>
      <c r="K367" t="s">
        <v>647</v>
      </c>
      <c r="L367" t="s">
        <v>652</v>
      </c>
      <c r="M367" t="s">
        <v>689</v>
      </c>
      <c r="N367" t="str">
        <f t="shared" si="87"/>
        <v>Asia - Japan - Tokyo</v>
      </c>
      <c r="O367" t="s">
        <v>705</v>
      </c>
      <c r="P367" t="s">
        <v>710</v>
      </c>
      <c r="Q367" t="s">
        <v>718</v>
      </c>
      <c r="R367" t="s">
        <v>727</v>
      </c>
      <c r="S367" t="s">
        <v>1099</v>
      </c>
      <c r="T367" s="6">
        <v>1055.45</v>
      </c>
      <c r="U367" s="8">
        <v>1210.04</v>
      </c>
      <c r="V367" s="8">
        <f t="shared" si="88"/>
        <v>1210.04</v>
      </c>
      <c r="W367" s="8" t="str">
        <f t="shared" si="89"/>
        <v>Medium</v>
      </c>
      <c r="X367" s="15">
        <v>8.9999999999999993E-3</v>
      </c>
      <c r="Y367" s="15">
        <f t="shared" si="90"/>
        <v>8.9999999999999993E-3</v>
      </c>
      <c r="Z367" t="str">
        <f t="shared" si="91"/>
        <v>No</v>
      </c>
      <c r="AA367" s="17">
        <v>18</v>
      </c>
      <c r="AB367" s="8">
        <f t="shared" si="92"/>
        <v>21584.693520000001</v>
      </c>
      <c r="AC367" s="8">
        <f t="shared" si="93"/>
        <v>18998.100000000002</v>
      </c>
      <c r="AD367" s="8">
        <f t="shared" si="94"/>
        <v>2586.5935199999985</v>
      </c>
      <c r="AE367" s="15">
        <f t="shared" si="95"/>
        <v>0.1198346188053727</v>
      </c>
      <c r="AF367" s="34">
        <f>MIN(Y367,'Scenario Modeling'!$B$2)</f>
        <v>8.9999999999999993E-3</v>
      </c>
      <c r="AG367">
        <f>ROUND(AA367 * (1 + 'Scenario Modeling'!$B$4), 0)</f>
        <v>18</v>
      </c>
      <c r="AH367">
        <f>T367 * (1 + 'Scenario Modeling'!$B$3)</f>
        <v>1055.45</v>
      </c>
      <c r="AI367" s="8">
        <f t="shared" si="96"/>
        <v>21584.693520000001</v>
      </c>
      <c r="AJ367" s="8">
        <f t="shared" si="97"/>
        <v>2586.5935199999985</v>
      </c>
    </row>
    <row r="368" spans="1:36">
      <c r="A368" t="s">
        <v>380</v>
      </c>
      <c r="B368" s="4">
        <v>45445</v>
      </c>
      <c r="C368" s="28">
        <v>45445</v>
      </c>
      <c r="D368" s="28" t="str">
        <f t="shared" si="82"/>
        <v>Q2-2024</v>
      </c>
      <c r="E368" s="4">
        <v>45458</v>
      </c>
      <c r="F368" s="4">
        <v>45458</v>
      </c>
      <c r="G368" s="17">
        <f t="shared" si="83"/>
        <v>13</v>
      </c>
      <c r="H368" s="17">
        <f t="shared" si="84"/>
        <v>13</v>
      </c>
      <c r="I368" t="str">
        <f t="shared" si="85"/>
        <v>No</v>
      </c>
      <c r="J368" s="2">
        <f t="shared" si="86"/>
        <v>44946</v>
      </c>
      <c r="K368" t="s">
        <v>646</v>
      </c>
      <c r="L368" t="s">
        <v>650</v>
      </c>
      <c r="M368" t="s">
        <v>675</v>
      </c>
      <c r="N368" t="str">
        <f t="shared" si="87"/>
        <v>Africa - Kenya - Mombasa</v>
      </c>
      <c r="O368" t="s">
        <v>702</v>
      </c>
      <c r="P368" t="s">
        <v>708</v>
      </c>
      <c r="Q368" t="s">
        <v>719</v>
      </c>
      <c r="R368" t="s">
        <v>730</v>
      </c>
      <c r="S368" t="s">
        <v>1100</v>
      </c>
      <c r="T368" s="6">
        <v>1295.18</v>
      </c>
      <c r="U368" s="8">
        <v>3024.03</v>
      </c>
      <c r="V368" s="8">
        <f t="shared" si="88"/>
        <v>3024.03</v>
      </c>
      <c r="W368" s="8" t="str">
        <f t="shared" si="89"/>
        <v>High</v>
      </c>
      <c r="X368" s="15">
        <v>0.192</v>
      </c>
      <c r="Y368" s="15">
        <f t="shared" si="90"/>
        <v>0.192</v>
      </c>
      <c r="Z368" t="str">
        <f t="shared" si="91"/>
        <v>No</v>
      </c>
      <c r="AA368" s="17">
        <v>8</v>
      </c>
      <c r="AB368" s="8">
        <f t="shared" si="92"/>
        <v>19547.329920000004</v>
      </c>
      <c r="AC368" s="8">
        <f t="shared" si="93"/>
        <v>10361.44</v>
      </c>
      <c r="AD368" s="8">
        <f t="shared" si="94"/>
        <v>9185.8899200000033</v>
      </c>
      <c r="AE368" s="15">
        <f t="shared" si="95"/>
        <v>0.46993067378483178</v>
      </c>
      <c r="AF368" s="34">
        <f>MIN(Y368,'Scenario Modeling'!$B$2)</f>
        <v>0.192</v>
      </c>
      <c r="AG368">
        <f>ROUND(AA368 * (1 + 'Scenario Modeling'!$B$4), 0)</f>
        <v>8</v>
      </c>
      <c r="AH368">
        <f>T368 * (1 + 'Scenario Modeling'!$B$3)</f>
        <v>1295.18</v>
      </c>
      <c r="AI368" s="8">
        <f t="shared" si="96"/>
        <v>19547.329920000004</v>
      </c>
      <c r="AJ368" s="8">
        <f t="shared" si="97"/>
        <v>9185.8899200000033</v>
      </c>
    </row>
    <row r="369" spans="1:36">
      <c r="A369" t="s">
        <v>381</v>
      </c>
      <c r="B369" s="4">
        <v>45731</v>
      </c>
      <c r="C369" s="28">
        <v>45731</v>
      </c>
      <c r="D369" s="28" t="str">
        <f t="shared" si="82"/>
        <v>Q1-2025</v>
      </c>
      <c r="E369" s="4">
        <v>45745</v>
      </c>
      <c r="F369" s="4">
        <v>45745</v>
      </c>
      <c r="G369" s="17">
        <f t="shared" si="83"/>
        <v>14</v>
      </c>
      <c r="H369" s="17">
        <f t="shared" si="84"/>
        <v>14</v>
      </c>
      <c r="I369" t="str">
        <f t="shared" si="85"/>
        <v>No</v>
      </c>
      <c r="J369" s="2">
        <f t="shared" si="86"/>
        <v>44955</v>
      </c>
      <c r="K369" t="s">
        <v>647</v>
      </c>
      <c r="L369" t="s">
        <v>654</v>
      </c>
      <c r="M369" t="s">
        <v>691</v>
      </c>
      <c r="N369" t="str">
        <f t="shared" si="87"/>
        <v>Asia - India - Mumbai</v>
      </c>
      <c r="O369" t="s">
        <v>706</v>
      </c>
      <c r="P369" t="s">
        <v>711</v>
      </c>
      <c r="Q369" t="s">
        <v>712</v>
      </c>
      <c r="R369" t="s">
        <v>727</v>
      </c>
      <c r="S369" t="s">
        <v>1101</v>
      </c>
      <c r="T369" s="6">
        <v>935.83</v>
      </c>
      <c r="U369" s="8">
        <v>2303.46</v>
      </c>
      <c r="V369" s="8">
        <f t="shared" si="88"/>
        <v>2303.46</v>
      </c>
      <c r="W369" s="8" t="str">
        <f t="shared" si="89"/>
        <v>High</v>
      </c>
      <c r="X369" s="15">
        <v>0.105</v>
      </c>
      <c r="Y369" s="15">
        <f t="shared" si="90"/>
        <v>0.105</v>
      </c>
      <c r="Z369" t="str">
        <f t="shared" si="91"/>
        <v>No</v>
      </c>
      <c r="AA369" s="17">
        <v>9</v>
      </c>
      <c r="AB369" s="8">
        <f t="shared" si="92"/>
        <v>18554.370299999999</v>
      </c>
      <c r="AC369" s="8">
        <f t="shared" si="93"/>
        <v>8422.4700000000012</v>
      </c>
      <c r="AD369" s="8">
        <f t="shared" si="94"/>
        <v>10131.900299999998</v>
      </c>
      <c r="AE369" s="15">
        <f t="shared" si="95"/>
        <v>0.54606543559174292</v>
      </c>
      <c r="AF369" s="34">
        <f>MIN(Y369,'Scenario Modeling'!$B$2)</f>
        <v>0.105</v>
      </c>
      <c r="AG369">
        <f>ROUND(AA369 * (1 + 'Scenario Modeling'!$B$4), 0)</f>
        <v>9</v>
      </c>
      <c r="AH369">
        <f>T369 * (1 + 'Scenario Modeling'!$B$3)</f>
        <v>935.83</v>
      </c>
      <c r="AI369" s="8">
        <f t="shared" si="96"/>
        <v>18554.370299999999</v>
      </c>
      <c r="AJ369" s="8">
        <f t="shared" si="97"/>
        <v>10131.900299999998</v>
      </c>
    </row>
    <row r="370" spans="1:36">
      <c r="A370" t="s">
        <v>382</v>
      </c>
      <c r="B370" s="4">
        <v>45194</v>
      </c>
      <c r="C370" s="28">
        <v>45194</v>
      </c>
      <c r="D370" s="28" t="str">
        <f t="shared" si="82"/>
        <v>Q3-2023</v>
      </c>
      <c r="E370" s="4">
        <v>45208</v>
      </c>
      <c r="F370" s="4">
        <v>45208</v>
      </c>
      <c r="G370" s="17">
        <f t="shared" si="83"/>
        <v>14</v>
      </c>
      <c r="H370" s="17">
        <f t="shared" si="84"/>
        <v>14</v>
      </c>
      <c r="I370" t="str">
        <f t="shared" si="85"/>
        <v>No</v>
      </c>
      <c r="J370" s="2">
        <f t="shared" si="86"/>
        <v>44939</v>
      </c>
      <c r="K370" t="s">
        <v>648</v>
      </c>
      <c r="L370" t="s">
        <v>660</v>
      </c>
      <c r="M370" t="s">
        <v>700</v>
      </c>
      <c r="N370" t="str">
        <f t="shared" si="87"/>
        <v>Americas - USA - New York</v>
      </c>
      <c r="O370" t="s">
        <v>705</v>
      </c>
      <c r="P370" t="s">
        <v>709</v>
      </c>
      <c r="Q370" t="s">
        <v>713</v>
      </c>
      <c r="R370" t="s">
        <v>731</v>
      </c>
      <c r="S370" t="s">
        <v>1102</v>
      </c>
      <c r="T370" s="6">
        <v>1279.56</v>
      </c>
      <c r="U370" s="8">
        <v>3083.8</v>
      </c>
      <c r="V370" s="8">
        <f t="shared" si="88"/>
        <v>3083.8</v>
      </c>
      <c r="W370" s="8" t="str">
        <f t="shared" si="89"/>
        <v>High</v>
      </c>
      <c r="X370" s="15">
        <v>0.106</v>
      </c>
      <c r="Y370" s="15">
        <f t="shared" si="90"/>
        <v>0.106</v>
      </c>
      <c r="Z370" t="str">
        <f t="shared" si="91"/>
        <v>No</v>
      </c>
      <c r="AA370" s="17">
        <v>5</v>
      </c>
      <c r="AB370" s="8">
        <f t="shared" si="92"/>
        <v>13784.586000000001</v>
      </c>
      <c r="AC370" s="8">
        <f t="shared" si="93"/>
        <v>6397.7999999999993</v>
      </c>
      <c r="AD370" s="8">
        <f t="shared" si="94"/>
        <v>7386.7860000000019</v>
      </c>
      <c r="AE370" s="15">
        <f t="shared" si="95"/>
        <v>0.53587289455047848</v>
      </c>
      <c r="AF370" s="34">
        <f>MIN(Y370,'Scenario Modeling'!$B$2)</f>
        <v>0.106</v>
      </c>
      <c r="AG370">
        <f>ROUND(AA370 * (1 + 'Scenario Modeling'!$B$4), 0)</f>
        <v>5</v>
      </c>
      <c r="AH370">
        <f>T370 * (1 + 'Scenario Modeling'!$B$3)</f>
        <v>1279.56</v>
      </c>
      <c r="AI370" s="8">
        <f t="shared" si="96"/>
        <v>13784.586000000001</v>
      </c>
      <c r="AJ370" s="8">
        <f t="shared" si="97"/>
        <v>7386.7860000000019</v>
      </c>
    </row>
    <row r="371" spans="1:36">
      <c r="A371" t="s">
        <v>383</v>
      </c>
      <c r="B371" s="4">
        <v>45832</v>
      </c>
      <c r="C371" s="28">
        <v>45832</v>
      </c>
      <c r="D371" s="28" t="str">
        <f t="shared" si="82"/>
        <v>Q2-2025</v>
      </c>
      <c r="E371" s="4">
        <v>45861</v>
      </c>
      <c r="F371" s="4">
        <v>45861</v>
      </c>
      <c r="G371" s="17">
        <f t="shared" si="83"/>
        <v>29</v>
      </c>
      <c r="H371" s="17">
        <f t="shared" si="84"/>
        <v>29</v>
      </c>
      <c r="I371" t="str">
        <f t="shared" si="85"/>
        <v>No</v>
      </c>
      <c r="J371" s="2">
        <f t="shared" si="86"/>
        <v>44928</v>
      </c>
      <c r="K371" t="s">
        <v>648</v>
      </c>
      <c r="L371" t="s">
        <v>653</v>
      </c>
      <c r="M371" t="s">
        <v>688</v>
      </c>
      <c r="N371" t="str">
        <f t="shared" si="87"/>
        <v>Americas - Canada - Vancouver</v>
      </c>
      <c r="O371" t="s">
        <v>703</v>
      </c>
      <c r="P371" t="s">
        <v>709</v>
      </c>
      <c r="Q371" t="s">
        <v>714</v>
      </c>
      <c r="R371" t="s">
        <v>728</v>
      </c>
      <c r="S371" t="s">
        <v>1103</v>
      </c>
      <c r="T371" s="6">
        <v>255.4</v>
      </c>
      <c r="U371" s="8">
        <v>322.70999999999998</v>
      </c>
      <c r="V371" s="8">
        <f t="shared" si="88"/>
        <v>322.70999999999998</v>
      </c>
      <c r="W371" s="8" t="str">
        <f t="shared" si="89"/>
        <v>Low</v>
      </c>
      <c r="X371" s="15">
        <v>0.115</v>
      </c>
      <c r="Y371" s="15">
        <f t="shared" si="90"/>
        <v>0.115</v>
      </c>
      <c r="Z371" t="str">
        <f t="shared" si="91"/>
        <v>No</v>
      </c>
      <c r="AA371" s="17">
        <v>16</v>
      </c>
      <c r="AB371" s="8">
        <f t="shared" si="92"/>
        <v>4569.5735999999997</v>
      </c>
      <c r="AC371" s="8">
        <f t="shared" si="93"/>
        <v>4086.4</v>
      </c>
      <c r="AD371" s="8">
        <f t="shared" si="94"/>
        <v>483.17359999999962</v>
      </c>
      <c r="AE371" s="15">
        <f t="shared" si="95"/>
        <v>0.10573713048412212</v>
      </c>
      <c r="AF371" s="34">
        <f>MIN(Y371,'Scenario Modeling'!$B$2)</f>
        <v>0.115</v>
      </c>
      <c r="AG371">
        <f>ROUND(AA371 * (1 + 'Scenario Modeling'!$B$4), 0)</f>
        <v>16</v>
      </c>
      <c r="AH371">
        <f>T371 * (1 + 'Scenario Modeling'!$B$3)</f>
        <v>255.4</v>
      </c>
      <c r="AI371" s="8">
        <f t="shared" si="96"/>
        <v>4569.5735999999997</v>
      </c>
      <c r="AJ371" s="8">
        <f t="shared" si="97"/>
        <v>483.17359999999962</v>
      </c>
    </row>
    <row r="372" spans="1:36">
      <c r="A372" t="s">
        <v>384</v>
      </c>
      <c r="B372" s="4">
        <v>45286</v>
      </c>
      <c r="C372" s="28">
        <v>45286</v>
      </c>
      <c r="D372" s="28" t="str">
        <f t="shared" si="82"/>
        <v>Q4-2023</v>
      </c>
      <c r="E372" s="4">
        <v>45294</v>
      </c>
      <c r="F372" s="4">
        <v>45294</v>
      </c>
      <c r="G372" s="17">
        <f t="shared" si="83"/>
        <v>8</v>
      </c>
      <c r="H372" s="17">
        <f t="shared" si="84"/>
        <v>8</v>
      </c>
      <c r="I372" t="str">
        <f t="shared" si="85"/>
        <v>No</v>
      </c>
      <c r="J372" s="2">
        <f t="shared" si="86"/>
        <v>44936</v>
      </c>
      <c r="K372" t="s">
        <v>649</v>
      </c>
      <c r="L372" t="s">
        <v>657</v>
      </c>
      <c r="M372" t="s">
        <v>679</v>
      </c>
      <c r="N372" t="str">
        <f t="shared" si="87"/>
        <v>Europe - France - Lyon</v>
      </c>
      <c r="O372" t="s">
        <v>705</v>
      </c>
      <c r="P372" t="s">
        <v>707</v>
      </c>
      <c r="Q372" t="s">
        <v>724</v>
      </c>
      <c r="R372" t="s">
        <v>731</v>
      </c>
      <c r="S372" t="s">
        <v>1104</v>
      </c>
      <c r="T372" s="6">
        <v>492.75</v>
      </c>
      <c r="U372" s="8">
        <v>731.29</v>
      </c>
      <c r="V372" s="8">
        <f t="shared" si="88"/>
        <v>731.29</v>
      </c>
      <c r="W372" s="8" t="str">
        <f t="shared" si="89"/>
        <v>Low</v>
      </c>
      <c r="X372" s="15">
        <v>5.8000000000000003E-2</v>
      </c>
      <c r="Y372" s="15">
        <f t="shared" si="90"/>
        <v>5.8000000000000003E-2</v>
      </c>
      <c r="Z372" t="str">
        <f t="shared" si="91"/>
        <v>No</v>
      </c>
      <c r="AA372" s="17">
        <v>6</v>
      </c>
      <c r="AB372" s="8">
        <f t="shared" si="92"/>
        <v>4133.25108</v>
      </c>
      <c r="AC372" s="8">
        <f t="shared" si="93"/>
        <v>2956.5</v>
      </c>
      <c r="AD372" s="8">
        <f t="shared" si="94"/>
        <v>1176.75108</v>
      </c>
      <c r="AE372" s="15">
        <f t="shared" si="95"/>
        <v>0.28470350753528384</v>
      </c>
      <c r="AF372" s="34">
        <f>MIN(Y372,'Scenario Modeling'!$B$2)</f>
        <v>5.8000000000000003E-2</v>
      </c>
      <c r="AG372">
        <f>ROUND(AA372 * (1 + 'Scenario Modeling'!$B$4), 0)</f>
        <v>6</v>
      </c>
      <c r="AH372">
        <f>T372 * (1 + 'Scenario Modeling'!$B$3)</f>
        <v>492.75</v>
      </c>
      <c r="AI372" s="8">
        <f t="shared" si="96"/>
        <v>4133.25108</v>
      </c>
      <c r="AJ372" s="8">
        <f t="shared" si="97"/>
        <v>1176.75108</v>
      </c>
    </row>
    <row r="373" spans="1:36">
      <c r="A373" t="s">
        <v>385</v>
      </c>
      <c r="B373" s="4">
        <v>44962</v>
      </c>
      <c r="C373" s="28">
        <v>44962</v>
      </c>
      <c r="D373" s="28" t="str">
        <f t="shared" si="82"/>
        <v>Q1-2023</v>
      </c>
      <c r="E373" s="4">
        <v>44985</v>
      </c>
      <c r="F373" s="4">
        <v>44985</v>
      </c>
      <c r="G373" s="17">
        <f t="shared" si="83"/>
        <v>23</v>
      </c>
      <c r="H373" s="17">
        <f t="shared" si="84"/>
        <v>23</v>
      </c>
      <c r="I373" t="str">
        <f t="shared" si="85"/>
        <v>No</v>
      </c>
      <c r="J373" s="2">
        <f t="shared" si="86"/>
        <v>44939</v>
      </c>
      <c r="K373" t="s">
        <v>648</v>
      </c>
      <c r="L373" t="s">
        <v>660</v>
      </c>
      <c r="M373" t="s">
        <v>697</v>
      </c>
      <c r="N373" t="str">
        <f t="shared" si="87"/>
        <v>Americas - USA - Austin</v>
      </c>
      <c r="O373" t="s">
        <v>703</v>
      </c>
      <c r="P373" t="s">
        <v>710</v>
      </c>
      <c r="Q373" t="s">
        <v>716</v>
      </c>
      <c r="R373" t="s">
        <v>730</v>
      </c>
      <c r="S373" t="s">
        <v>1105</v>
      </c>
      <c r="T373" s="6">
        <v>1214.49</v>
      </c>
      <c r="U373" s="8">
        <v>1533.95</v>
      </c>
      <c r="V373" s="8">
        <f t="shared" si="88"/>
        <v>1533.95</v>
      </c>
      <c r="W373" s="8" t="str">
        <f t="shared" si="89"/>
        <v>Medium</v>
      </c>
      <c r="X373" s="15">
        <v>0</v>
      </c>
      <c r="Y373" s="15">
        <f t="shared" si="90"/>
        <v>0</v>
      </c>
      <c r="Z373" t="str">
        <f t="shared" si="91"/>
        <v>No</v>
      </c>
      <c r="AA373" s="17">
        <v>11</v>
      </c>
      <c r="AB373" s="8">
        <f t="shared" si="92"/>
        <v>16873.45</v>
      </c>
      <c r="AC373" s="8">
        <f t="shared" si="93"/>
        <v>13359.39</v>
      </c>
      <c r="AD373" s="8">
        <f t="shared" si="94"/>
        <v>3514.0600000000013</v>
      </c>
      <c r="AE373" s="15">
        <f t="shared" si="95"/>
        <v>0.20825972163369086</v>
      </c>
      <c r="AF373" s="34">
        <f>MIN(Y373,'Scenario Modeling'!$B$2)</f>
        <v>0</v>
      </c>
      <c r="AG373">
        <f>ROUND(AA373 * (1 + 'Scenario Modeling'!$B$4), 0)</f>
        <v>11</v>
      </c>
      <c r="AH373">
        <f>T373 * (1 + 'Scenario Modeling'!$B$3)</f>
        <v>1214.49</v>
      </c>
      <c r="AI373" s="8">
        <f t="shared" si="96"/>
        <v>16873.45</v>
      </c>
      <c r="AJ373" s="8">
        <f t="shared" si="97"/>
        <v>3514.0600000000013</v>
      </c>
    </row>
    <row r="374" spans="1:36">
      <c r="A374" t="s">
        <v>386</v>
      </c>
      <c r="B374" s="4">
        <v>45022</v>
      </c>
      <c r="C374" s="28">
        <v>45022</v>
      </c>
      <c r="D374" s="28" t="str">
        <f t="shared" si="82"/>
        <v>Q2-2023</v>
      </c>
      <c r="E374" s="4">
        <v>45024</v>
      </c>
      <c r="F374" s="4">
        <v>45024</v>
      </c>
      <c r="G374" s="17">
        <f t="shared" si="83"/>
        <v>2</v>
      </c>
      <c r="H374" s="17">
        <f t="shared" si="84"/>
        <v>2</v>
      </c>
      <c r="I374" t="str">
        <f t="shared" si="85"/>
        <v>Yes</v>
      </c>
      <c r="J374" s="2">
        <f t="shared" si="86"/>
        <v>44941</v>
      </c>
      <c r="K374" t="s">
        <v>646</v>
      </c>
      <c r="L374" t="s">
        <v>651</v>
      </c>
      <c r="M374" t="s">
        <v>669</v>
      </c>
      <c r="N374" t="str">
        <f t="shared" si="87"/>
        <v>Africa - Nigeria - Abuja</v>
      </c>
      <c r="O374" t="s">
        <v>705</v>
      </c>
      <c r="P374" t="s">
        <v>709</v>
      </c>
      <c r="Q374" t="s">
        <v>723</v>
      </c>
      <c r="R374" t="s">
        <v>732</v>
      </c>
      <c r="S374" t="s">
        <v>1106</v>
      </c>
      <c r="T374" s="6">
        <v>720.35</v>
      </c>
      <c r="U374" s="8">
        <v>1571.66</v>
      </c>
      <c r="V374" s="8">
        <f t="shared" si="88"/>
        <v>1571.66</v>
      </c>
      <c r="W374" s="8" t="str">
        <f t="shared" si="89"/>
        <v>Medium</v>
      </c>
      <c r="X374" s="15">
        <v>0.107</v>
      </c>
      <c r="Y374" s="15">
        <f t="shared" si="90"/>
        <v>0.107</v>
      </c>
      <c r="Z374" t="str">
        <f t="shared" si="91"/>
        <v>No</v>
      </c>
      <c r="AA374" s="17">
        <v>23</v>
      </c>
      <c r="AB374" s="8">
        <f t="shared" si="92"/>
        <v>32280.32474</v>
      </c>
      <c r="AC374" s="8">
        <f t="shared" si="93"/>
        <v>16568.05</v>
      </c>
      <c r="AD374" s="8">
        <f t="shared" si="94"/>
        <v>15712.274740000001</v>
      </c>
      <c r="AE374" s="15">
        <f t="shared" si="95"/>
        <v>0.4867446305622265</v>
      </c>
      <c r="AF374" s="34">
        <f>MIN(Y374,'Scenario Modeling'!$B$2)</f>
        <v>0.107</v>
      </c>
      <c r="AG374">
        <f>ROUND(AA374 * (1 + 'Scenario Modeling'!$B$4), 0)</f>
        <v>23</v>
      </c>
      <c r="AH374">
        <f>T374 * (1 + 'Scenario Modeling'!$B$3)</f>
        <v>720.35</v>
      </c>
      <c r="AI374" s="8">
        <f t="shared" si="96"/>
        <v>32280.32474</v>
      </c>
      <c r="AJ374" s="8">
        <f t="shared" si="97"/>
        <v>15712.274740000001</v>
      </c>
    </row>
    <row r="375" spans="1:36">
      <c r="A375" t="s">
        <v>387</v>
      </c>
      <c r="B375" s="4">
        <v>45751</v>
      </c>
      <c r="C375" s="28">
        <v>45751</v>
      </c>
      <c r="D375" s="28" t="str">
        <f t="shared" si="82"/>
        <v>Q2-2025</v>
      </c>
      <c r="E375" s="4">
        <v>45757</v>
      </c>
      <c r="F375" s="4">
        <v>45757</v>
      </c>
      <c r="G375" s="17">
        <f t="shared" si="83"/>
        <v>6</v>
      </c>
      <c r="H375" s="17">
        <f t="shared" si="84"/>
        <v>6</v>
      </c>
      <c r="I375" t="str">
        <f t="shared" si="85"/>
        <v>Yes</v>
      </c>
      <c r="J375" s="2">
        <f t="shared" si="86"/>
        <v>44945</v>
      </c>
      <c r="K375" t="s">
        <v>649</v>
      </c>
      <c r="L375" t="s">
        <v>658</v>
      </c>
      <c r="M375" t="s">
        <v>674</v>
      </c>
      <c r="N375" t="str">
        <f t="shared" si="87"/>
        <v>Europe - United Kingdom - Birmingham</v>
      </c>
      <c r="O375" t="s">
        <v>703</v>
      </c>
      <c r="P375" t="s">
        <v>711</v>
      </c>
      <c r="Q375" t="s">
        <v>725</v>
      </c>
      <c r="R375" t="s">
        <v>728</v>
      </c>
      <c r="S375" t="s">
        <v>1107</v>
      </c>
      <c r="T375" s="6">
        <v>290.14</v>
      </c>
      <c r="U375" s="8">
        <v>250.73</v>
      </c>
      <c r="V375" s="8">
        <f t="shared" si="88"/>
        <v>250.73</v>
      </c>
      <c r="W375" s="8" t="str">
        <f t="shared" si="89"/>
        <v>Low</v>
      </c>
      <c r="X375" s="15">
        <v>3.4000000000000002E-2</v>
      </c>
      <c r="Y375" s="15">
        <f t="shared" si="90"/>
        <v>3.4000000000000002E-2</v>
      </c>
      <c r="Z375" t="str">
        <f t="shared" si="91"/>
        <v>No</v>
      </c>
      <c r="AA375" s="17">
        <v>17</v>
      </c>
      <c r="AB375" s="8">
        <f t="shared" si="92"/>
        <v>4117.4880599999997</v>
      </c>
      <c r="AC375" s="8">
        <f t="shared" si="93"/>
        <v>4932.38</v>
      </c>
      <c r="AD375" s="8">
        <f t="shared" si="94"/>
        <v>-814.89194000000043</v>
      </c>
      <c r="AE375" s="15">
        <f t="shared" si="95"/>
        <v>-0.19790997038131072</v>
      </c>
      <c r="AF375" s="34">
        <f>MIN(Y375,'Scenario Modeling'!$B$2)</f>
        <v>3.4000000000000002E-2</v>
      </c>
      <c r="AG375">
        <f>ROUND(AA375 * (1 + 'Scenario Modeling'!$B$4), 0)</f>
        <v>17</v>
      </c>
      <c r="AH375">
        <f>T375 * (1 + 'Scenario Modeling'!$B$3)</f>
        <v>290.14</v>
      </c>
      <c r="AI375" s="8">
        <f t="shared" si="96"/>
        <v>4117.4880599999997</v>
      </c>
      <c r="AJ375" s="8">
        <f t="shared" si="97"/>
        <v>-814.89194000000043</v>
      </c>
    </row>
    <row r="376" spans="1:36">
      <c r="A376" t="s">
        <v>388</v>
      </c>
      <c r="B376" s="4">
        <v>45429</v>
      </c>
      <c r="C376" s="28">
        <v>45429</v>
      </c>
      <c r="D376" s="28" t="str">
        <f t="shared" si="82"/>
        <v>Q2-2024</v>
      </c>
      <c r="E376" s="4">
        <v>45439</v>
      </c>
      <c r="F376" s="4">
        <v>45439</v>
      </c>
      <c r="G376" s="17">
        <f t="shared" si="83"/>
        <v>10</v>
      </c>
      <c r="H376" s="17">
        <f t="shared" si="84"/>
        <v>10</v>
      </c>
      <c r="I376" t="str">
        <f t="shared" si="85"/>
        <v>No</v>
      </c>
      <c r="J376" s="2">
        <f t="shared" si="86"/>
        <v>44939</v>
      </c>
      <c r="K376" t="s">
        <v>648</v>
      </c>
      <c r="L376" t="s">
        <v>660</v>
      </c>
      <c r="M376" t="s">
        <v>697</v>
      </c>
      <c r="N376" t="str">
        <f t="shared" si="87"/>
        <v>Americas - USA - Austin</v>
      </c>
      <c r="O376" t="s">
        <v>703</v>
      </c>
      <c r="P376" t="s">
        <v>708</v>
      </c>
      <c r="Q376" t="s">
        <v>712</v>
      </c>
      <c r="R376" t="s">
        <v>730</v>
      </c>
      <c r="S376" t="s">
        <v>1108</v>
      </c>
      <c r="T376" s="6">
        <v>1484.23</v>
      </c>
      <c r="U376" s="8">
        <v>3472.81</v>
      </c>
      <c r="V376" s="8">
        <f t="shared" si="88"/>
        <v>3472.81</v>
      </c>
      <c r="W376" s="8" t="str">
        <f t="shared" si="89"/>
        <v>High</v>
      </c>
      <c r="X376" s="15">
        <v>0.25600000000000001</v>
      </c>
      <c r="Y376" s="15">
        <f t="shared" si="90"/>
        <v>0.25600000000000001</v>
      </c>
      <c r="Z376" t="str">
        <f t="shared" si="91"/>
        <v>Yes</v>
      </c>
      <c r="AA376" s="17">
        <v>12</v>
      </c>
      <c r="AB376" s="8">
        <f t="shared" si="92"/>
        <v>31005.24768</v>
      </c>
      <c r="AC376" s="8">
        <f t="shared" si="93"/>
        <v>17810.760000000002</v>
      </c>
      <c r="AD376" s="8">
        <f t="shared" si="94"/>
        <v>13194.487679999998</v>
      </c>
      <c r="AE376" s="15">
        <f t="shared" si="95"/>
        <v>0.42555659661803413</v>
      </c>
      <c r="AF376" s="34">
        <f>MIN(Y376,'Scenario Modeling'!$B$2)</f>
        <v>0.25</v>
      </c>
      <c r="AG376">
        <f>ROUND(AA376 * (1 + 'Scenario Modeling'!$B$4), 0)</f>
        <v>12</v>
      </c>
      <c r="AH376">
        <f>T376 * (1 + 'Scenario Modeling'!$B$3)</f>
        <v>1484.23</v>
      </c>
      <c r="AI376" s="8">
        <f t="shared" si="96"/>
        <v>31255.29</v>
      </c>
      <c r="AJ376" s="8">
        <f t="shared" si="97"/>
        <v>13444.529999999999</v>
      </c>
    </row>
    <row r="377" spans="1:36">
      <c r="A377" t="s">
        <v>389</v>
      </c>
      <c r="B377" s="4">
        <v>45354</v>
      </c>
      <c r="C377" s="28">
        <v>45354</v>
      </c>
      <c r="D377" s="28" t="str">
        <f t="shared" si="82"/>
        <v>Q1-2024</v>
      </c>
      <c r="E377" s="4">
        <v>45370</v>
      </c>
      <c r="F377" s="4">
        <v>45370</v>
      </c>
      <c r="G377" s="17">
        <f t="shared" si="83"/>
        <v>16</v>
      </c>
      <c r="H377" s="17">
        <f t="shared" si="84"/>
        <v>16</v>
      </c>
      <c r="I377" t="str">
        <f t="shared" si="85"/>
        <v>No</v>
      </c>
      <c r="J377" s="2">
        <f t="shared" si="86"/>
        <v>44938</v>
      </c>
      <c r="K377" t="s">
        <v>647</v>
      </c>
      <c r="L377" t="s">
        <v>659</v>
      </c>
      <c r="M377" t="s">
        <v>699</v>
      </c>
      <c r="N377" t="str">
        <f t="shared" si="87"/>
        <v>Asia - China - Beijing</v>
      </c>
      <c r="O377" t="s">
        <v>704</v>
      </c>
      <c r="P377" t="s">
        <v>710</v>
      </c>
      <c r="Q377" t="s">
        <v>715</v>
      </c>
      <c r="R377" t="s">
        <v>730</v>
      </c>
      <c r="S377" t="s">
        <v>1109</v>
      </c>
      <c r="T377" s="6">
        <v>988.83</v>
      </c>
      <c r="U377" s="8">
        <v>1206.04</v>
      </c>
      <c r="V377" s="8">
        <f t="shared" si="88"/>
        <v>1206.04</v>
      </c>
      <c r="W377" s="8" t="str">
        <f t="shared" si="89"/>
        <v>Medium</v>
      </c>
      <c r="X377" s="15">
        <v>6.3E-2</v>
      </c>
      <c r="Y377" s="15">
        <f t="shared" si="90"/>
        <v>6.3E-2</v>
      </c>
      <c r="Z377" t="str">
        <f t="shared" si="91"/>
        <v>No</v>
      </c>
      <c r="AA377" s="17">
        <v>34</v>
      </c>
      <c r="AB377" s="8">
        <f t="shared" si="92"/>
        <v>38422.022320000004</v>
      </c>
      <c r="AC377" s="8">
        <f t="shared" si="93"/>
        <v>33620.22</v>
      </c>
      <c r="AD377" s="8">
        <f t="shared" si="94"/>
        <v>4801.8023200000025</v>
      </c>
      <c r="AE377" s="15">
        <f t="shared" si="95"/>
        <v>0.12497526236406606</v>
      </c>
      <c r="AF377" s="34">
        <f>MIN(Y377,'Scenario Modeling'!$B$2)</f>
        <v>6.3E-2</v>
      </c>
      <c r="AG377">
        <f>ROUND(AA377 * (1 + 'Scenario Modeling'!$B$4), 0)</f>
        <v>34</v>
      </c>
      <c r="AH377">
        <f>T377 * (1 + 'Scenario Modeling'!$B$3)</f>
        <v>988.83</v>
      </c>
      <c r="AI377" s="8">
        <f t="shared" si="96"/>
        <v>38422.022320000004</v>
      </c>
      <c r="AJ377" s="8">
        <f t="shared" si="97"/>
        <v>4801.8023200000025</v>
      </c>
    </row>
    <row r="378" spans="1:36">
      <c r="A378" t="s">
        <v>390</v>
      </c>
      <c r="B378" s="4">
        <v>45835</v>
      </c>
      <c r="C378" s="28">
        <v>45835</v>
      </c>
      <c r="D378" s="28" t="str">
        <f t="shared" si="82"/>
        <v>Q2-2025</v>
      </c>
      <c r="E378" s="4">
        <v>45849</v>
      </c>
      <c r="F378" s="4">
        <v>45849</v>
      </c>
      <c r="G378" s="17">
        <f t="shared" si="83"/>
        <v>14</v>
      </c>
      <c r="H378" s="17">
        <f t="shared" si="84"/>
        <v>14</v>
      </c>
      <c r="I378" t="str">
        <f t="shared" si="85"/>
        <v>No</v>
      </c>
      <c r="J378" s="2">
        <f t="shared" si="86"/>
        <v>44938</v>
      </c>
      <c r="K378" t="s">
        <v>647</v>
      </c>
      <c r="L378" t="s">
        <v>659</v>
      </c>
      <c r="M378" t="s">
        <v>685</v>
      </c>
      <c r="N378" t="str">
        <f t="shared" si="87"/>
        <v>Asia - China - Shanghai</v>
      </c>
      <c r="O378" t="s">
        <v>705</v>
      </c>
      <c r="P378" t="s">
        <v>709</v>
      </c>
      <c r="Q378" t="s">
        <v>716</v>
      </c>
      <c r="R378" t="s">
        <v>729</v>
      </c>
      <c r="S378" t="s">
        <v>1110</v>
      </c>
      <c r="T378" s="6">
        <v>1227.7</v>
      </c>
      <c r="U378" s="8">
        <v>2197.23</v>
      </c>
      <c r="V378" s="8">
        <f t="shared" si="88"/>
        <v>2197.23</v>
      </c>
      <c r="W378" s="8" t="str">
        <f t="shared" si="89"/>
        <v>High</v>
      </c>
      <c r="X378" s="15">
        <v>9.9000000000000005E-2</v>
      </c>
      <c r="Y378" s="15">
        <f t="shared" si="90"/>
        <v>9.9000000000000005E-2</v>
      </c>
      <c r="Z378" t="str">
        <f t="shared" si="91"/>
        <v>No</v>
      </c>
      <c r="AA378" s="17">
        <v>22</v>
      </c>
      <c r="AB378" s="8">
        <f t="shared" si="92"/>
        <v>43553.493060000001</v>
      </c>
      <c r="AC378" s="8">
        <f t="shared" si="93"/>
        <v>27009.4</v>
      </c>
      <c r="AD378" s="8">
        <f t="shared" si="94"/>
        <v>16544.093059999999</v>
      </c>
      <c r="AE378" s="15">
        <f t="shared" si="95"/>
        <v>0.37985685871873898</v>
      </c>
      <c r="AF378" s="34">
        <f>MIN(Y378,'Scenario Modeling'!$B$2)</f>
        <v>9.9000000000000005E-2</v>
      </c>
      <c r="AG378">
        <f>ROUND(AA378 * (1 + 'Scenario Modeling'!$B$4), 0)</f>
        <v>22</v>
      </c>
      <c r="AH378">
        <f>T378 * (1 + 'Scenario Modeling'!$B$3)</f>
        <v>1227.7</v>
      </c>
      <c r="AI378" s="8">
        <f t="shared" si="96"/>
        <v>43553.493060000001</v>
      </c>
      <c r="AJ378" s="8">
        <f t="shared" si="97"/>
        <v>16544.093059999999</v>
      </c>
    </row>
    <row r="379" spans="1:36">
      <c r="A379" t="s">
        <v>391</v>
      </c>
      <c r="B379" s="4">
        <v>44998</v>
      </c>
      <c r="C379" s="28">
        <v>44998</v>
      </c>
      <c r="D379" s="28" t="str">
        <f t="shared" si="82"/>
        <v>Q1-2023</v>
      </c>
      <c r="E379" s="4">
        <v>45020</v>
      </c>
      <c r="F379" s="4">
        <v>45020</v>
      </c>
      <c r="G379" s="17">
        <f t="shared" si="83"/>
        <v>22</v>
      </c>
      <c r="H379" s="17">
        <f t="shared" si="84"/>
        <v>22</v>
      </c>
      <c r="I379" t="str">
        <f t="shared" si="85"/>
        <v>No</v>
      </c>
      <c r="J379" s="2">
        <f t="shared" si="86"/>
        <v>44933</v>
      </c>
      <c r="K379" t="s">
        <v>646</v>
      </c>
      <c r="L379" t="s">
        <v>661</v>
      </c>
      <c r="M379" t="s">
        <v>687</v>
      </c>
      <c r="N379" t="str">
        <f t="shared" si="87"/>
        <v>Africa - South Africa - Durban</v>
      </c>
      <c r="O379" t="s">
        <v>705</v>
      </c>
      <c r="P379" t="s">
        <v>707</v>
      </c>
      <c r="Q379" t="s">
        <v>720</v>
      </c>
      <c r="R379" t="s">
        <v>727</v>
      </c>
      <c r="S379" t="s">
        <v>1111</v>
      </c>
      <c r="T379" s="6">
        <v>1113.7</v>
      </c>
      <c r="U379" s="8">
        <v>1620.6</v>
      </c>
      <c r="V379" s="8">
        <f t="shared" si="88"/>
        <v>1620.6</v>
      </c>
      <c r="W379" s="8" t="str">
        <f t="shared" si="89"/>
        <v>Medium</v>
      </c>
      <c r="X379" s="15">
        <v>0.13900000000000001</v>
      </c>
      <c r="Y379" s="15">
        <f t="shared" si="90"/>
        <v>0.13900000000000001</v>
      </c>
      <c r="Z379" t="str">
        <f t="shared" si="91"/>
        <v>No</v>
      </c>
      <c r="AA379" s="17">
        <v>11</v>
      </c>
      <c r="AB379" s="8">
        <f t="shared" si="92"/>
        <v>15348.702599999999</v>
      </c>
      <c r="AC379" s="8">
        <f t="shared" si="93"/>
        <v>12250.7</v>
      </c>
      <c r="AD379" s="8">
        <f t="shared" si="94"/>
        <v>3098.002599999998</v>
      </c>
      <c r="AE379" s="15">
        <f t="shared" si="95"/>
        <v>0.20184133348182787</v>
      </c>
      <c r="AF379" s="34">
        <f>MIN(Y379,'Scenario Modeling'!$B$2)</f>
        <v>0.13900000000000001</v>
      </c>
      <c r="AG379">
        <f>ROUND(AA379 * (1 + 'Scenario Modeling'!$B$4), 0)</f>
        <v>11</v>
      </c>
      <c r="AH379">
        <f>T379 * (1 + 'Scenario Modeling'!$B$3)</f>
        <v>1113.7</v>
      </c>
      <c r="AI379" s="8">
        <f t="shared" si="96"/>
        <v>15348.702599999999</v>
      </c>
      <c r="AJ379" s="8">
        <f t="shared" si="97"/>
        <v>3098.002599999998</v>
      </c>
    </row>
    <row r="380" spans="1:36">
      <c r="A380" t="s">
        <v>392</v>
      </c>
      <c r="B380" s="4">
        <v>45664</v>
      </c>
      <c r="C380" s="28">
        <v>45664</v>
      </c>
      <c r="D380" s="28" t="str">
        <f t="shared" si="82"/>
        <v>Q1-2025</v>
      </c>
      <c r="E380" s="4">
        <v>45677</v>
      </c>
      <c r="F380" s="4">
        <v>45677</v>
      </c>
      <c r="G380" s="17">
        <f t="shared" si="83"/>
        <v>13</v>
      </c>
      <c r="H380" s="17">
        <f t="shared" si="84"/>
        <v>13</v>
      </c>
      <c r="I380" t="str">
        <f t="shared" si="85"/>
        <v>No</v>
      </c>
      <c r="J380" s="2">
        <f t="shared" si="86"/>
        <v>44933</v>
      </c>
      <c r="K380" t="s">
        <v>646</v>
      </c>
      <c r="L380" t="s">
        <v>661</v>
      </c>
      <c r="M380" t="s">
        <v>695</v>
      </c>
      <c r="N380" t="str">
        <f t="shared" si="87"/>
        <v>Africa - South Africa - Cape Town</v>
      </c>
      <c r="O380" t="s">
        <v>701</v>
      </c>
      <c r="P380" t="s">
        <v>711</v>
      </c>
      <c r="Q380" t="s">
        <v>723</v>
      </c>
      <c r="R380" t="s">
        <v>729</v>
      </c>
      <c r="S380" t="s">
        <v>1112</v>
      </c>
      <c r="T380" s="6">
        <v>432.13</v>
      </c>
      <c r="U380" s="8">
        <v>1034.6600000000001</v>
      </c>
      <c r="V380" s="8">
        <f t="shared" si="88"/>
        <v>1034.6600000000001</v>
      </c>
      <c r="W380" s="8" t="str">
        <f t="shared" si="89"/>
        <v>Medium</v>
      </c>
      <c r="X380" s="15">
        <v>9.1999999999999998E-2</v>
      </c>
      <c r="Y380" s="15">
        <f t="shared" si="90"/>
        <v>9.1999999999999998E-2</v>
      </c>
      <c r="Z380" t="str">
        <f t="shared" si="91"/>
        <v>No</v>
      </c>
      <c r="AA380" s="17">
        <v>7</v>
      </c>
      <c r="AB380" s="8">
        <f t="shared" si="92"/>
        <v>6576.298960000001</v>
      </c>
      <c r="AC380" s="8">
        <f t="shared" si="93"/>
        <v>3024.91</v>
      </c>
      <c r="AD380" s="8">
        <f t="shared" si="94"/>
        <v>3551.3889600000011</v>
      </c>
      <c r="AE380" s="15">
        <f t="shared" si="95"/>
        <v>0.54002851476204794</v>
      </c>
      <c r="AF380" s="34">
        <f>MIN(Y380,'Scenario Modeling'!$B$2)</f>
        <v>9.1999999999999998E-2</v>
      </c>
      <c r="AG380">
        <f>ROUND(AA380 * (1 + 'Scenario Modeling'!$B$4), 0)</f>
        <v>7</v>
      </c>
      <c r="AH380">
        <f>T380 * (1 + 'Scenario Modeling'!$B$3)</f>
        <v>432.13</v>
      </c>
      <c r="AI380" s="8">
        <f t="shared" si="96"/>
        <v>6576.298960000001</v>
      </c>
      <c r="AJ380" s="8">
        <f t="shared" si="97"/>
        <v>3551.3889600000011</v>
      </c>
    </row>
    <row r="381" spans="1:36">
      <c r="A381" t="s">
        <v>393</v>
      </c>
      <c r="B381" s="4">
        <v>45694</v>
      </c>
      <c r="C381" s="28">
        <v>45694</v>
      </c>
      <c r="D381" s="28" t="str">
        <f t="shared" si="82"/>
        <v>Q1-2025</v>
      </c>
      <c r="E381" s="4">
        <v>45703</v>
      </c>
      <c r="F381" s="4">
        <v>45703</v>
      </c>
      <c r="G381" s="17">
        <f t="shared" si="83"/>
        <v>9</v>
      </c>
      <c r="H381" s="17">
        <f t="shared" si="84"/>
        <v>9</v>
      </c>
      <c r="I381" t="str">
        <f t="shared" si="85"/>
        <v>No</v>
      </c>
      <c r="J381" s="2">
        <f t="shared" si="86"/>
        <v>44955</v>
      </c>
      <c r="K381" t="s">
        <v>648</v>
      </c>
      <c r="L381" t="s">
        <v>655</v>
      </c>
      <c r="M381" t="s">
        <v>670</v>
      </c>
      <c r="N381" t="str">
        <f t="shared" si="87"/>
        <v>Americas - Brazil - São Paulo</v>
      </c>
      <c r="O381" t="s">
        <v>703</v>
      </c>
      <c r="P381" t="s">
        <v>710</v>
      </c>
      <c r="Q381" t="s">
        <v>721</v>
      </c>
      <c r="R381" t="s">
        <v>729</v>
      </c>
      <c r="S381" t="s">
        <v>1113</v>
      </c>
      <c r="T381" s="6">
        <v>837.39</v>
      </c>
      <c r="U381" s="8">
        <v>1905.42</v>
      </c>
      <c r="V381" s="8">
        <f t="shared" si="88"/>
        <v>1905.42</v>
      </c>
      <c r="W381" s="8" t="str">
        <f t="shared" si="89"/>
        <v>High</v>
      </c>
      <c r="X381" s="15">
        <v>3.2000000000000001E-2</v>
      </c>
      <c r="Y381" s="15">
        <f t="shared" si="90"/>
        <v>3.2000000000000001E-2</v>
      </c>
      <c r="Z381" t="str">
        <f t="shared" si="91"/>
        <v>No</v>
      </c>
      <c r="AA381" s="17">
        <v>18</v>
      </c>
      <c r="AB381" s="8">
        <f t="shared" si="92"/>
        <v>33200.038079999998</v>
      </c>
      <c r="AC381" s="8">
        <f t="shared" si="93"/>
        <v>15073.02</v>
      </c>
      <c r="AD381" s="8">
        <f t="shared" si="94"/>
        <v>18127.018079999998</v>
      </c>
      <c r="AE381" s="15">
        <f t="shared" si="95"/>
        <v>0.54599389423350919</v>
      </c>
      <c r="AF381" s="34">
        <f>MIN(Y381,'Scenario Modeling'!$B$2)</f>
        <v>3.2000000000000001E-2</v>
      </c>
      <c r="AG381">
        <f>ROUND(AA381 * (1 + 'Scenario Modeling'!$B$4), 0)</f>
        <v>18</v>
      </c>
      <c r="AH381">
        <f>T381 * (1 + 'Scenario Modeling'!$B$3)</f>
        <v>837.39</v>
      </c>
      <c r="AI381" s="8">
        <f t="shared" si="96"/>
        <v>33200.038079999998</v>
      </c>
      <c r="AJ381" s="8">
        <f t="shared" si="97"/>
        <v>18127.018079999998</v>
      </c>
    </row>
    <row r="382" spans="1:36">
      <c r="A382" t="s">
        <v>394</v>
      </c>
      <c r="B382" s="4">
        <v>45688</v>
      </c>
      <c r="C382" s="28">
        <v>45688</v>
      </c>
      <c r="D382" s="28" t="str">
        <f t="shared" si="82"/>
        <v>Q1-2025</v>
      </c>
      <c r="E382" s="4">
        <v>45705</v>
      </c>
      <c r="F382" s="4">
        <v>45705</v>
      </c>
      <c r="G382" s="17">
        <f t="shared" si="83"/>
        <v>17</v>
      </c>
      <c r="H382" s="17">
        <f t="shared" si="84"/>
        <v>17</v>
      </c>
      <c r="I382" t="str">
        <f t="shared" si="85"/>
        <v>No</v>
      </c>
      <c r="J382" s="2">
        <f t="shared" si="86"/>
        <v>44945</v>
      </c>
      <c r="K382" t="s">
        <v>649</v>
      </c>
      <c r="L382" t="s">
        <v>658</v>
      </c>
      <c r="M382" t="s">
        <v>683</v>
      </c>
      <c r="N382" t="str">
        <f t="shared" si="87"/>
        <v>Europe - United Kingdom - London</v>
      </c>
      <c r="O382" t="s">
        <v>706</v>
      </c>
      <c r="P382" t="s">
        <v>707</v>
      </c>
      <c r="Q382" t="s">
        <v>722</v>
      </c>
      <c r="R382" t="s">
        <v>727</v>
      </c>
      <c r="S382" t="s">
        <v>812</v>
      </c>
      <c r="T382" s="6">
        <v>378.26</v>
      </c>
      <c r="U382" s="8">
        <v>541.55999999999995</v>
      </c>
      <c r="V382" s="8">
        <f t="shared" si="88"/>
        <v>541.55999999999995</v>
      </c>
      <c r="W382" s="8" t="str">
        <f t="shared" si="89"/>
        <v>Low</v>
      </c>
      <c r="X382" s="15">
        <v>0.16300000000000001</v>
      </c>
      <c r="Y382" s="15">
        <f t="shared" si="90"/>
        <v>0.16300000000000001</v>
      </c>
      <c r="Z382" t="str">
        <f t="shared" si="91"/>
        <v>No</v>
      </c>
      <c r="AA382" s="17">
        <v>25</v>
      </c>
      <c r="AB382" s="8">
        <f t="shared" si="92"/>
        <v>11332.142999999998</v>
      </c>
      <c r="AC382" s="8">
        <f t="shared" si="93"/>
        <v>9456.5</v>
      </c>
      <c r="AD382" s="8">
        <f t="shared" si="94"/>
        <v>1875.6429999999982</v>
      </c>
      <c r="AE382" s="15">
        <f t="shared" si="95"/>
        <v>0.16551529573885526</v>
      </c>
      <c r="AF382" s="34">
        <f>MIN(Y382,'Scenario Modeling'!$B$2)</f>
        <v>0.16300000000000001</v>
      </c>
      <c r="AG382">
        <f>ROUND(AA382 * (1 + 'Scenario Modeling'!$B$4), 0)</f>
        <v>25</v>
      </c>
      <c r="AH382">
        <f>T382 * (1 + 'Scenario Modeling'!$B$3)</f>
        <v>378.26</v>
      </c>
      <c r="AI382" s="8">
        <f t="shared" si="96"/>
        <v>11332.142999999998</v>
      </c>
      <c r="AJ382" s="8">
        <f t="shared" si="97"/>
        <v>1875.6429999999982</v>
      </c>
    </row>
    <row r="383" spans="1:36">
      <c r="A383" t="s">
        <v>395</v>
      </c>
      <c r="B383" s="4">
        <v>45876</v>
      </c>
      <c r="C383" s="28">
        <v>45876</v>
      </c>
      <c r="D383" s="28" t="str">
        <f t="shared" si="82"/>
        <v>Q3-2025</v>
      </c>
      <c r="E383" s="4">
        <v>45906</v>
      </c>
      <c r="F383" s="4">
        <v>45906</v>
      </c>
      <c r="G383" s="17">
        <f t="shared" si="83"/>
        <v>30</v>
      </c>
      <c r="H383" s="17">
        <f t="shared" si="84"/>
        <v>30</v>
      </c>
      <c r="I383" t="str">
        <f t="shared" si="85"/>
        <v>No</v>
      </c>
      <c r="J383" s="2">
        <f t="shared" si="86"/>
        <v>44928</v>
      </c>
      <c r="K383" t="s">
        <v>648</v>
      </c>
      <c r="L383" t="s">
        <v>653</v>
      </c>
      <c r="M383" t="s">
        <v>681</v>
      </c>
      <c r="N383" t="str">
        <f t="shared" si="87"/>
        <v>Americas - Canada - Montreal</v>
      </c>
      <c r="O383" t="s">
        <v>702</v>
      </c>
      <c r="P383" t="s">
        <v>711</v>
      </c>
      <c r="Q383" t="s">
        <v>724</v>
      </c>
      <c r="R383" t="s">
        <v>729</v>
      </c>
      <c r="S383" t="s">
        <v>1114</v>
      </c>
      <c r="T383" s="6">
        <v>833.73</v>
      </c>
      <c r="U383" s="8">
        <v>1116.5999999999999</v>
      </c>
      <c r="V383" s="8">
        <f t="shared" si="88"/>
        <v>1116.5999999999999</v>
      </c>
      <c r="W383" s="8" t="str">
        <f t="shared" si="89"/>
        <v>Medium</v>
      </c>
      <c r="X383" s="15">
        <v>0.17599999999999999</v>
      </c>
      <c r="Y383" s="15">
        <f t="shared" si="90"/>
        <v>0.17599999999999999</v>
      </c>
      <c r="Z383" t="str">
        <f t="shared" si="91"/>
        <v>No</v>
      </c>
      <c r="AA383" s="17">
        <v>14</v>
      </c>
      <c r="AB383" s="8">
        <f t="shared" si="92"/>
        <v>12881.097599999999</v>
      </c>
      <c r="AC383" s="8">
        <f t="shared" si="93"/>
        <v>11672.220000000001</v>
      </c>
      <c r="AD383" s="8">
        <f t="shared" si="94"/>
        <v>1208.877599999998</v>
      </c>
      <c r="AE383" s="15">
        <f t="shared" si="95"/>
        <v>9.3848958958279924E-2</v>
      </c>
      <c r="AF383" s="34">
        <f>MIN(Y383,'Scenario Modeling'!$B$2)</f>
        <v>0.17599999999999999</v>
      </c>
      <c r="AG383">
        <f>ROUND(AA383 * (1 + 'Scenario Modeling'!$B$4), 0)</f>
        <v>14</v>
      </c>
      <c r="AH383">
        <f>T383 * (1 + 'Scenario Modeling'!$B$3)</f>
        <v>833.73</v>
      </c>
      <c r="AI383" s="8">
        <f t="shared" si="96"/>
        <v>12881.097599999999</v>
      </c>
      <c r="AJ383" s="8">
        <f t="shared" si="97"/>
        <v>1208.877599999998</v>
      </c>
    </row>
    <row r="384" spans="1:36">
      <c r="A384" t="s">
        <v>396</v>
      </c>
      <c r="B384" s="4">
        <v>45861</v>
      </c>
      <c r="C384" s="28">
        <v>45861</v>
      </c>
      <c r="D384" s="28" t="str">
        <f t="shared" si="82"/>
        <v>Q3-2025</v>
      </c>
      <c r="E384" s="4">
        <v>45886</v>
      </c>
      <c r="F384" s="4">
        <v>45886</v>
      </c>
      <c r="G384" s="17">
        <f t="shared" si="83"/>
        <v>25</v>
      </c>
      <c r="H384" s="17">
        <f t="shared" si="84"/>
        <v>25</v>
      </c>
      <c r="I384" t="str">
        <f t="shared" si="85"/>
        <v>No</v>
      </c>
      <c r="J384" s="2">
        <f t="shared" si="86"/>
        <v>44945</v>
      </c>
      <c r="K384" t="s">
        <v>649</v>
      </c>
      <c r="L384" t="s">
        <v>658</v>
      </c>
      <c r="M384" t="s">
        <v>674</v>
      </c>
      <c r="N384" t="str">
        <f t="shared" si="87"/>
        <v>Europe - United Kingdom - Birmingham</v>
      </c>
      <c r="O384" t="s">
        <v>702</v>
      </c>
      <c r="P384" t="s">
        <v>708</v>
      </c>
      <c r="Q384" t="s">
        <v>714</v>
      </c>
      <c r="R384" t="s">
        <v>728</v>
      </c>
      <c r="S384" t="s">
        <v>1115</v>
      </c>
      <c r="T384" s="6">
        <v>1142.06</v>
      </c>
      <c r="U384" s="8">
        <v>1455</v>
      </c>
      <c r="V384" s="8">
        <f t="shared" si="88"/>
        <v>1455</v>
      </c>
      <c r="W384" s="8" t="str">
        <f t="shared" si="89"/>
        <v>Medium</v>
      </c>
      <c r="X384" s="15">
        <v>7.8E-2</v>
      </c>
      <c r="Y384" s="15">
        <f t="shared" si="90"/>
        <v>7.8E-2</v>
      </c>
      <c r="Z384" t="str">
        <f t="shared" si="91"/>
        <v>No</v>
      </c>
      <c r="AA384" s="17">
        <v>28</v>
      </c>
      <c r="AB384" s="8">
        <f t="shared" si="92"/>
        <v>37562.28</v>
      </c>
      <c r="AC384" s="8">
        <f t="shared" si="93"/>
        <v>31977.68</v>
      </c>
      <c r="AD384" s="8">
        <f t="shared" si="94"/>
        <v>5584.5999999999985</v>
      </c>
      <c r="AE384" s="15">
        <f t="shared" si="95"/>
        <v>0.1486757459877302</v>
      </c>
      <c r="AF384" s="34">
        <f>MIN(Y384,'Scenario Modeling'!$B$2)</f>
        <v>7.8E-2</v>
      </c>
      <c r="AG384">
        <f>ROUND(AA384 * (1 + 'Scenario Modeling'!$B$4), 0)</f>
        <v>28</v>
      </c>
      <c r="AH384">
        <f>T384 * (1 + 'Scenario Modeling'!$B$3)</f>
        <v>1142.06</v>
      </c>
      <c r="AI384" s="8">
        <f t="shared" si="96"/>
        <v>37562.28</v>
      </c>
      <c r="AJ384" s="8">
        <f t="shared" si="97"/>
        <v>5584.5999999999985</v>
      </c>
    </row>
    <row r="385" spans="1:36">
      <c r="A385" t="s">
        <v>397</v>
      </c>
      <c r="B385" s="4">
        <v>45097</v>
      </c>
      <c r="C385" s="28">
        <v>45097</v>
      </c>
      <c r="D385" s="28" t="str">
        <f t="shared" si="82"/>
        <v>Q2-2023</v>
      </c>
      <c r="E385" s="4">
        <v>45115</v>
      </c>
      <c r="F385" s="4">
        <v>45115</v>
      </c>
      <c r="G385" s="17">
        <f t="shared" si="83"/>
        <v>18</v>
      </c>
      <c r="H385" s="17">
        <f t="shared" si="84"/>
        <v>18</v>
      </c>
      <c r="I385" t="str">
        <f t="shared" si="85"/>
        <v>No</v>
      </c>
      <c r="J385" s="2">
        <f t="shared" si="86"/>
        <v>44939</v>
      </c>
      <c r="K385" t="s">
        <v>648</v>
      </c>
      <c r="L385" t="s">
        <v>660</v>
      </c>
      <c r="M385" t="s">
        <v>700</v>
      </c>
      <c r="N385" t="str">
        <f t="shared" si="87"/>
        <v>Americas - USA - New York</v>
      </c>
      <c r="O385" t="s">
        <v>704</v>
      </c>
      <c r="P385" t="s">
        <v>709</v>
      </c>
      <c r="Q385" t="s">
        <v>719</v>
      </c>
      <c r="R385" t="s">
        <v>729</v>
      </c>
      <c r="S385" t="s">
        <v>1116</v>
      </c>
      <c r="T385" s="6">
        <v>1145.53</v>
      </c>
      <c r="U385" s="8">
        <v>1278.3</v>
      </c>
      <c r="V385" s="8">
        <f t="shared" si="88"/>
        <v>1278.3</v>
      </c>
      <c r="W385" s="8" t="str">
        <f t="shared" si="89"/>
        <v>Medium</v>
      </c>
      <c r="X385" s="15">
        <v>0.09</v>
      </c>
      <c r="Y385" s="15">
        <f t="shared" si="90"/>
        <v>0.09</v>
      </c>
      <c r="Z385" t="str">
        <f t="shared" si="91"/>
        <v>No</v>
      </c>
      <c r="AA385" s="17">
        <v>41</v>
      </c>
      <c r="AB385" s="8">
        <f t="shared" si="92"/>
        <v>47693.373</v>
      </c>
      <c r="AC385" s="8">
        <f t="shared" si="93"/>
        <v>46966.729999999996</v>
      </c>
      <c r="AD385" s="8">
        <f t="shared" si="94"/>
        <v>726.64300000000367</v>
      </c>
      <c r="AE385" s="15">
        <f t="shared" si="95"/>
        <v>1.5235722581416158E-2</v>
      </c>
      <c r="AF385" s="34">
        <f>MIN(Y385,'Scenario Modeling'!$B$2)</f>
        <v>0.09</v>
      </c>
      <c r="AG385">
        <f>ROUND(AA385 * (1 + 'Scenario Modeling'!$B$4), 0)</f>
        <v>41</v>
      </c>
      <c r="AH385">
        <f>T385 * (1 + 'Scenario Modeling'!$B$3)</f>
        <v>1145.53</v>
      </c>
      <c r="AI385" s="8">
        <f t="shared" si="96"/>
        <v>47693.373</v>
      </c>
      <c r="AJ385" s="8">
        <f t="shared" si="97"/>
        <v>726.64300000000367</v>
      </c>
    </row>
    <row r="386" spans="1:36">
      <c r="A386" t="s">
        <v>398</v>
      </c>
      <c r="B386" s="4">
        <v>45491</v>
      </c>
      <c r="C386" s="28">
        <v>45491</v>
      </c>
      <c r="D386" s="28" t="str">
        <f t="shared" si="82"/>
        <v>Q3-2024</v>
      </c>
      <c r="E386" s="4">
        <v>45511</v>
      </c>
      <c r="F386" s="4">
        <v>45511</v>
      </c>
      <c r="G386" s="17">
        <f t="shared" si="83"/>
        <v>20</v>
      </c>
      <c r="H386" s="17">
        <f t="shared" si="84"/>
        <v>20</v>
      </c>
      <c r="I386" t="str">
        <f t="shared" si="85"/>
        <v>No</v>
      </c>
      <c r="J386" s="2">
        <f t="shared" si="86"/>
        <v>44936</v>
      </c>
      <c r="K386" t="s">
        <v>649</v>
      </c>
      <c r="L386" t="s">
        <v>657</v>
      </c>
      <c r="M386" t="s">
        <v>673</v>
      </c>
      <c r="N386" t="str">
        <f t="shared" si="87"/>
        <v>Europe - France - Marseille</v>
      </c>
      <c r="O386" t="s">
        <v>701</v>
      </c>
      <c r="P386" t="s">
        <v>707</v>
      </c>
      <c r="Q386" t="s">
        <v>721</v>
      </c>
      <c r="R386" t="s">
        <v>732</v>
      </c>
      <c r="S386" t="s">
        <v>1117</v>
      </c>
      <c r="T386" s="6">
        <v>941.35</v>
      </c>
      <c r="U386" s="8">
        <v>899.83</v>
      </c>
      <c r="V386" s="8">
        <f t="shared" si="88"/>
        <v>899.83</v>
      </c>
      <c r="W386" s="8" t="str">
        <f t="shared" si="89"/>
        <v>Medium</v>
      </c>
      <c r="X386" s="15">
        <v>5.8000000000000003E-2</v>
      </c>
      <c r="Y386" s="15">
        <f t="shared" si="90"/>
        <v>5.8000000000000003E-2</v>
      </c>
      <c r="Z386" t="str">
        <f t="shared" si="91"/>
        <v>No</v>
      </c>
      <c r="AA386" s="17">
        <v>18</v>
      </c>
      <c r="AB386" s="8">
        <f t="shared" si="92"/>
        <v>15257.51748</v>
      </c>
      <c r="AC386" s="8">
        <f t="shared" si="93"/>
        <v>16944.3</v>
      </c>
      <c r="AD386" s="8">
        <f t="shared" si="94"/>
        <v>-1686.7825199999988</v>
      </c>
      <c r="AE386" s="15">
        <f t="shared" si="95"/>
        <v>-0.11055419220139073</v>
      </c>
      <c r="AF386" s="34">
        <f>MIN(Y386,'Scenario Modeling'!$B$2)</f>
        <v>5.8000000000000003E-2</v>
      </c>
      <c r="AG386">
        <f>ROUND(AA386 * (1 + 'Scenario Modeling'!$B$4), 0)</f>
        <v>18</v>
      </c>
      <c r="AH386">
        <f>T386 * (1 + 'Scenario Modeling'!$B$3)</f>
        <v>941.35</v>
      </c>
      <c r="AI386" s="8">
        <f t="shared" si="96"/>
        <v>15257.51748</v>
      </c>
      <c r="AJ386" s="8">
        <f t="shared" si="97"/>
        <v>-1686.7825199999988</v>
      </c>
    </row>
    <row r="387" spans="1:36">
      <c r="A387" t="s">
        <v>399</v>
      </c>
      <c r="B387" s="4">
        <v>45066</v>
      </c>
      <c r="C387" s="28">
        <v>45066</v>
      </c>
      <c r="D387" s="28" t="str">
        <f t="shared" ref="D387:D450" si="98">"Q"&amp;ROUNDUP(MONTH(B387)/3,0)&amp;"-"&amp;YEAR(B387)</f>
        <v>Q2-2023</v>
      </c>
      <c r="E387" s="4">
        <v>45096</v>
      </c>
      <c r="F387" s="4">
        <v>45096</v>
      </c>
      <c r="G387" s="17">
        <f t="shared" ref="G387:G450" si="99">E387-B387</f>
        <v>30</v>
      </c>
      <c r="H387" s="17">
        <f t="shared" ref="H387:H450" si="100">F387-B387</f>
        <v>30</v>
      </c>
      <c r="I387" t="str">
        <f t="shared" ref="I387:I450" si="101">IF(H387&lt;=7, "Yes", "No")</f>
        <v>No</v>
      </c>
      <c r="J387" s="2">
        <f t="shared" ref="J387:J450" si="102">_xlfn.MINIFS($B$2:$B$633, $L$2:$L$633, L387)</f>
        <v>44955</v>
      </c>
      <c r="K387" t="s">
        <v>647</v>
      </c>
      <c r="L387" t="s">
        <v>654</v>
      </c>
      <c r="M387" t="s">
        <v>680</v>
      </c>
      <c r="N387" t="str">
        <f t="shared" ref="N387:N450" si="103">_xlfn.TEXTJOIN(" - ", TRUE, K387:M387)</f>
        <v>Asia - India - Delhi</v>
      </c>
      <c r="O387" t="s">
        <v>703</v>
      </c>
      <c r="P387" t="s">
        <v>709</v>
      </c>
      <c r="Q387" t="s">
        <v>722</v>
      </c>
      <c r="R387" t="s">
        <v>731</v>
      </c>
      <c r="S387" t="s">
        <v>1118</v>
      </c>
      <c r="T387" s="6">
        <v>1161.2</v>
      </c>
      <c r="U387" s="8">
        <v>878.73</v>
      </c>
      <c r="V387" s="8">
        <f t="shared" ref="V387:V450" si="104">ABS(U387)</f>
        <v>878.73</v>
      </c>
      <c r="W387" s="8" t="str">
        <f t="shared" ref="W387:W450" si="105">IF(V387 &lt;= _xlfn.PERCENTILE.INC($V$2:$V$633, 0.33), "Low", IF(V387 &lt;= _xlfn.PERCENTILE.INC($V$2:$V$633, 0.67), "Medium", "High"))</f>
        <v>Medium</v>
      </c>
      <c r="X387" s="15">
        <v>0.19</v>
      </c>
      <c r="Y387" s="15">
        <f t="shared" ref="Y387:Y450" si="106">IF(X387&gt;30%,AVERAGEIF($X$2:$X$633,"&lt;30%"),X387)</f>
        <v>0.19</v>
      </c>
      <c r="Z387" t="str">
        <f t="shared" ref="Z387:Z450" si="107">IF(Y387&gt;0.2, "Yes", "No")</f>
        <v>No</v>
      </c>
      <c r="AA387" s="17">
        <v>31</v>
      </c>
      <c r="AB387" s="8">
        <f t="shared" ref="AB387:AB450" si="108">U387*AA387*(1-Y387)</f>
        <v>22064.910300000003</v>
      </c>
      <c r="AC387" s="8">
        <f t="shared" ref="AC387:AC450" si="109">T387*AA387</f>
        <v>35997.200000000004</v>
      </c>
      <c r="AD387" s="8">
        <f t="shared" ref="AD387:AD450" si="110">AB387-AC387</f>
        <v>-13932.289700000001</v>
      </c>
      <c r="AE387" s="15">
        <f t="shared" ref="AE387:AE450" si="111" xml:space="preserve"> IF(AB387=0, 0, AD387 / AB387)</f>
        <v>-0.63142290227212028</v>
      </c>
      <c r="AF387" s="34">
        <f>MIN(Y387,'Scenario Modeling'!$B$2)</f>
        <v>0.19</v>
      </c>
      <c r="AG387">
        <f>ROUND(AA387 * (1 + 'Scenario Modeling'!$B$4), 0)</f>
        <v>31</v>
      </c>
      <c r="AH387">
        <f>T387 * (1 + 'Scenario Modeling'!$B$3)</f>
        <v>1161.2</v>
      </c>
      <c r="AI387" s="8">
        <f t="shared" ref="AI387:AI450" si="112">V387 * AG387 * (1 - AF387)</f>
        <v>22064.910300000003</v>
      </c>
      <c r="AJ387" s="8">
        <f t="shared" ref="AJ387:AJ450" si="113">AI387 - (AH387 * AG387)</f>
        <v>-13932.289700000001</v>
      </c>
    </row>
    <row r="388" spans="1:36">
      <c r="A388" t="s">
        <v>400</v>
      </c>
      <c r="B388" s="4">
        <v>45789</v>
      </c>
      <c r="C388" s="28">
        <v>45789</v>
      </c>
      <c r="D388" s="28" t="str">
        <f t="shared" si="98"/>
        <v>Q2-2025</v>
      </c>
      <c r="E388" s="4">
        <v>45803</v>
      </c>
      <c r="F388" s="4">
        <v>45803</v>
      </c>
      <c r="G388" s="17">
        <f t="shared" si="99"/>
        <v>14</v>
      </c>
      <c r="H388" s="17">
        <f t="shared" si="100"/>
        <v>14</v>
      </c>
      <c r="I388" t="str">
        <f t="shared" si="101"/>
        <v>No</v>
      </c>
      <c r="J388" s="2">
        <f t="shared" si="102"/>
        <v>44955</v>
      </c>
      <c r="K388" t="s">
        <v>647</v>
      </c>
      <c r="L388" t="s">
        <v>654</v>
      </c>
      <c r="M388" t="s">
        <v>696</v>
      </c>
      <c r="N388" t="str">
        <f t="shared" si="103"/>
        <v>Asia - India - Hyderabad</v>
      </c>
      <c r="O388" t="s">
        <v>701</v>
      </c>
      <c r="P388" t="s">
        <v>709</v>
      </c>
      <c r="Q388" t="s">
        <v>715</v>
      </c>
      <c r="R388" t="s">
        <v>728</v>
      </c>
      <c r="S388" t="s">
        <v>1119</v>
      </c>
      <c r="T388" s="6">
        <v>320.12</v>
      </c>
      <c r="U388" s="8">
        <v>594.41999999999996</v>
      </c>
      <c r="V388" s="8">
        <f t="shared" si="104"/>
        <v>594.41999999999996</v>
      </c>
      <c r="W388" s="8" t="str">
        <f t="shared" si="105"/>
        <v>Low</v>
      </c>
      <c r="X388" s="15">
        <v>0.104</v>
      </c>
      <c r="Y388" s="15">
        <f t="shared" si="106"/>
        <v>0.104</v>
      </c>
      <c r="Z388" t="str">
        <f t="shared" si="107"/>
        <v>No</v>
      </c>
      <c r="AA388" s="17">
        <v>18</v>
      </c>
      <c r="AB388" s="8">
        <f t="shared" si="108"/>
        <v>9586.8057599999993</v>
      </c>
      <c r="AC388" s="8">
        <f t="shared" si="109"/>
        <v>5762.16</v>
      </c>
      <c r="AD388" s="8">
        <f t="shared" si="110"/>
        <v>3824.6457599999994</v>
      </c>
      <c r="AE388" s="15">
        <f t="shared" si="111"/>
        <v>0.39894891538931104</v>
      </c>
      <c r="AF388" s="34">
        <f>MIN(Y388,'Scenario Modeling'!$B$2)</f>
        <v>0.104</v>
      </c>
      <c r="AG388">
        <f>ROUND(AA388 * (1 + 'Scenario Modeling'!$B$4), 0)</f>
        <v>18</v>
      </c>
      <c r="AH388">
        <f>T388 * (1 + 'Scenario Modeling'!$B$3)</f>
        <v>320.12</v>
      </c>
      <c r="AI388" s="8">
        <f t="shared" si="112"/>
        <v>9586.8057599999993</v>
      </c>
      <c r="AJ388" s="8">
        <f t="shared" si="113"/>
        <v>3824.6457599999994</v>
      </c>
    </row>
    <row r="389" spans="1:36">
      <c r="A389" t="s">
        <v>401</v>
      </c>
      <c r="B389" s="4">
        <v>45419</v>
      </c>
      <c r="C389" s="28">
        <v>45419</v>
      </c>
      <c r="D389" s="28" t="str">
        <f t="shared" si="98"/>
        <v>Q2-2024</v>
      </c>
      <c r="E389" s="4">
        <v>45424</v>
      </c>
      <c r="F389" s="4">
        <v>45424</v>
      </c>
      <c r="G389" s="17">
        <f t="shared" si="99"/>
        <v>5</v>
      </c>
      <c r="H389" s="17">
        <f t="shared" si="100"/>
        <v>5</v>
      </c>
      <c r="I389" t="str">
        <f t="shared" si="101"/>
        <v>Yes</v>
      </c>
      <c r="J389" s="2">
        <f t="shared" si="102"/>
        <v>44941</v>
      </c>
      <c r="K389" t="s">
        <v>646</v>
      </c>
      <c r="L389" t="s">
        <v>651</v>
      </c>
      <c r="M389" t="s">
        <v>669</v>
      </c>
      <c r="N389" t="str">
        <f t="shared" si="103"/>
        <v>Africa - Nigeria - Abuja</v>
      </c>
      <c r="O389" t="s">
        <v>703</v>
      </c>
      <c r="P389" t="s">
        <v>710</v>
      </c>
      <c r="Q389" t="s">
        <v>716</v>
      </c>
      <c r="R389" t="s">
        <v>731</v>
      </c>
      <c r="S389" t="s">
        <v>1120</v>
      </c>
      <c r="T389" s="6">
        <v>1163.99</v>
      </c>
      <c r="U389" s="8">
        <v>1617.85</v>
      </c>
      <c r="V389" s="8">
        <f t="shared" si="104"/>
        <v>1617.85</v>
      </c>
      <c r="W389" s="8" t="str">
        <f t="shared" si="105"/>
        <v>Medium</v>
      </c>
      <c r="X389" s="15">
        <v>0.127</v>
      </c>
      <c r="Y389" s="15">
        <f t="shared" si="106"/>
        <v>0.127</v>
      </c>
      <c r="Z389" t="str">
        <f t="shared" si="107"/>
        <v>No</v>
      </c>
      <c r="AA389" s="17">
        <v>14</v>
      </c>
      <c r="AB389" s="8">
        <f t="shared" si="108"/>
        <v>19773.362699999998</v>
      </c>
      <c r="AC389" s="8">
        <f t="shared" si="109"/>
        <v>16295.86</v>
      </c>
      <c r="AD389" s="8">
        <f t="shared" si="110"/>
        <v>3477.5026999999973</v>
      </c>
      <c r="AE389" s="15">
        <f t="shared" si="111"/>
        <v>0.17586804797749436</v>
      </c>
      <c r="AF389" s="34">
        <f>MIN(Y389,'Scenario Modeling'!$B$2)</f>
        <v>0.127</v>
      </c>
      <c r="AG389">
        <f>ROUND(AA389 * (1 + 'Scenario Modeling'!$B$4), 0)</f>
        <v>14</v>
      </c>
      <c r="AH389">
        <f>T389 * (1 + 'Scenario Modeling'!$B$3)</f>
        <v>1163.99</v>
      </c>
      <c r="AI389" s="8">
        <f t="shared" si="112"/>
        <v>19773.362699999998</v>
      </c>
      <c r="AJ389" s="8">
        <f t="shared" si="113"/>
        <v>3477.5026999999973</v>
      </c>
    </row>
    <row r="390" spans="1:36">
      <c r="A390" t="s">
        <v>402</v>
      </c>
      <c r="B390" s="4">
        <v>45199</v>
      </c>
      <c r="C390" s="28">
        <v>45199</v>
      </c>
      <c r="D390" s="28" t="str">
        <f t="shared" si="98"/>
        <v>Q3-2023</v>
      </c>
      <c r="E390" s="4">
        <v>45202</v>
      </c>
      <c r="F390" s="4">
        <v>45202</v>
      </c>
      <c r="G390" s="17">
        <f t="shared" si="99"/>
        <v>3</v>
      </c>
      <c r="H390" s="17">
        <f t="shared" si="100"/>
        <v>3</v>
      </c>
      <c r="I390" t="str">
        <f t="shared" si="101"/>
        <v>Yes</v>
      </c>
      <c r="J390" s="2">
        <f t="shared" si="102"/>
        <v>44938</v>
      </c>
      <c r="K390" t="s">
        <v>647</v>
      </c>
      <c r="L390" t="s">
        <v>659</v>
      </c>
      <c r="M390" t="s">
        <v>699</v>
      </c>
      <c r="N390" t="str">
        <f t="shared" si="103"/>
        <v>Asia - China - Beijing</v>
      </c>
      <c r="O390" t="s">
        <v>703</v>
      </c>
      <c r="P390" t="s">
        <v>707</v>
      </c>
      <c r="Q390" t="s">
        <v>713</v>
      </c>
      <c r="R390" t="s">
        <v>731</v>
      </c>
      <c r="S390" t="s">
        <v>1121</v>
      </c>
      <c r="T390" s="6">
        <v>1019.36</v>
      </c>
      <c r="U390" s="8">
        <v>972.91</v>
      </c>
      <c r="V390" s="8">
        <f t="shared" si="104"/>
        <v>972.91</v>
      </c>
      <c r="W390" s="8" t="str">
        <f t="shared" si="105"/>
        <v>Medium</v>
      </c>
      <c r="X390" s="15">
        <v>0.14699999999999999</v>
      </c>
      <c r="Y390" s="15">
        <f t="shared" si="106"/>
        <v>0.14699999999999999</v>
      </c>
      <c r="Z390" t="str">
        <f t="shared" si="107"/>
        <v>No</v>
      </c>
      <c r="AA390" s="17">
        <v>17</v>
      </c>
      <c r="AB390" s="8">
        <f t="shared" si="108"/>
        <v>14108.16791</v>
      </c>
      <c r="AC390" s="8">
        <f t="shared" si="109"/>
        <v>17329.12</v>
      </c>
      <c r="AD390" s="8">
        <f t="shared" si="110"/>
        <v>-3220.9520899999989</v>
      </c>
      <c r="AE390" s="15">
        <f t="shared" si="111"/>
        <v>-0.22830406545678819</v>
      </c>
      <c r="AF390" s="34">
        <f>MIN(Y390,'Scenario Modeling'!$B$2)</f>
        <v>0.14699999999999999</v>
      </c>
      <c r="AG390">
        <f>ROUND(AA390 * (1 + 'Scenario Modeling'!$B$4), 0)</f>
        <v>17</v>
      </c>
      <c r="AH390">
        <f>T390 * (1 + 'Scenario Modeling'!$B$3)</f>
        <v>1019.36</v>
      </c>
      <c r="AI390" s="8">
        <f t="shared" si="112"/>
        <v>14108.16791</v>
      </c>
      <c r="AJ390" s="8">
        <f t="shared" si="113"/>
        <v>-3220.9520899999989</v>
      </c>
    </row>
    <row r="391" spans="1:36">
      <c r="A391" t="s">
        <v>403</v>
      </c>
      <c r="B391" s="4">
        <v>45225</v>
      </c>
      <c r="C391" s="28">
        <v>45225</v>
      </c>
      <c r="D391" s="28" t="str">
        <f t="shared" si="98"/>
        <v>Q4-2023</v>
      </c>
      <c r="E391" s="4">
        <v>45235</v>
      </c>
      <c r="F391" s="4">
        <v>45235</v>
      </c>
      <c r="G391" s="17">
        <f t="shared" si="99"/>
        <v>10</v>
      </c>
      <c r="H391" s="17">
        <f t="shared" si="100"/>
        <v>10</v>
      </c>
      <c r="I391" t="str">
        <f t="shared" si="101"/>
        <v>No</v>
      </c>
      <c r="J391" s="2">
        <f t="shared" si="102"/>
        <v>44933</v>
      </c>
      <c r="K391" t="s">
        <v>646</v>
      </c>
      <c r="L391" t="s">
        <v>661</v>
      </c>
      <c r="M391" t="s">
        <v>695</v>
      </c>
      <c r="N391" t="str">
        <f t="shared" si="103"/>
        <v>Africa - South Africa - Cape Town</v>
      </c>
      <c r="O391" t="s">
        <v>703</v>
      </c>
      <c r="P391" t="s">
        <v>708</v>
      </c>
      <c r="Q391" t="s">
        <v>714</v>
      </c>
      <c r="R391" t="s">
        <v>731</v>
      </c>
      <c r="S391" t="s">
        <v>1122</v>
      </c>
      <c r="T391" s="6">
        <v>20.38</v>
      </c>
      <c r="U391" s="8">
        <v>42.56</v>
      </c>
      <c r="V391" s="8">
        <f t="shared" si="104"/>
        <v>42.56</v>
      </c>
      <c r="W391" s="8" t="str">
        <f t="shared" si="105"/>
        <v>Low</v>
      </c>
      <c r="X391" s="15">
        <v>7.1999999999999995E-2</v>
      </c>
      <c r="Y391" s="15">
        <f t="shared" si="106"/>
        <v>7.1999999999999995E-2</v>
      </c>
      <c r="Z391" t="str">
        <f t="shared" si="107"/>
        <v>No</v>
      </c>
      <c r="AA391" s="17">
        <v>11</v>
      </c>
      <c r="AB391" s="8">
        <f t="shared" si="108"/>
        <v>434.45248000000004</v>
      </c>
      <c r="AC391" s="8">
        <f t="shared" si="109"/>
        <v>224.17999999999998</v>
      </c>
      <c r="AD391" s="8">
        <f t="shared" si="110"/>
        <v>210.27248000000006</v>
      </c>
      <c r="AE391" s="15">
        <f t="shared" si="111"/>
        <v>0.48399419885921713</v>
      </c>
      <c r="AF391" s="34">
        <f>MIN(Y391,'Scenario Modeling'!$B$2)</f>
        <v>7.1999999999999995E-2</v>
      </c>
      <c r="AG391">
        <f>ROUND(AA391 * (1 + 'Scenario Modeling'!$B$4), 0)</f>
        <v>11</v>
      </c>
      <c r="AH391">
        <f>T391 * (1 + 'Scenario Modeling'!$B$3)</f>
        <v>20.38</v>
      </c>
      <c r="AI391" s="8">
        <f t="shared" si="112"/>
        <v>434.45248000000004</v>
      </c>
      <c r="AJ391" s="8">
        <f t="shared" si="113"/>
        <v>210.27248000000006</v>
      </c>
    </row>
    <row r="392" spans="1:36">
      <c r="A392" t="s">
        <v>404</v>
      </c>
      <c r="B392" s="4">
        <v>45823</v>
      </c>
      <c r="C392" s="28">
        <v>45823</v>
      </c>
      <c r="D392" s="28" t="str">
        <f t="shared" si="98"/>
        <v>Q2-2025</v>
      </c>
      <c r="E392" s="4">
        <v>45838</v>
      </c>
      <c r="F392" s="4">
        <v>45838</v>
      </c>
      <c r="G392" s="17">
        <f t="shared" si="99"/>
        <v>15</v>
      </c>
      <c r="H392" s="17">
        <f t="shared" si="100"/>
        <v>15</v>
      </c>
      <c r="I392" t="str">
        <f t="shared" si="101"/>
        <v>No</v>
      </c>
      <c r="J392" s="2">
        <f t="shared" si="102"/>
        <v>44933</v>
      </c>
      <c r="K392" t="s">
        <v>646</v>
      </c>
      <c r="L392" t="s">
        <v>661</v>
      </c>
      <c r="M392" t="s">
        <v>682</v>
      </c>
      <c r="N392" t="str">
        <f t="shared" si="103"/>
        <v>Africa - South Africa - Johannesburg</v>
      </c>
      <c r="O392" t="s">
        <v>705</v>
      </c>
      <c r="P392" t="s">
        <v>711</v>
      </c>
      <c r="Q392" t="s">
        <v>712</v>
      </c>
      <c r="R392" t="s">
        <v>732</v>
      </c>
      <c r="S392" t="s">
        <v>1123</v>
      </c>
      <c r="T392" s="6">
        <v>1487.59</v>
      </c>
      <c r="U392" s="8">
        <v>1480.83</v>
      </c>
      <c r="V392" s="8">
        <f t="shared" si="104"/>
        <v>1480.83</v>
      </c>
      <c r="W392" s="8" t="str">
        <f t="shared" si="105"/>
        <v>Medium</v>
      </c>
      <c r="X392" s="15">
        <v>8.9999999999999993E-3</v>
      </c>
      <c r="Y392" s="15">
        <f t="shared" si="106"/>
        <v>8.9999999999999993E-3</v>
      </c>
      <c r="Z392" t="str">
        <f t="shared" si="107"/>
        <v>No</v>
      </c>
      <c r="AA392" s="17">
        <v>11</v>
      </c>
      <c r="AB392" s="8">
        <f t="shared" si="108"/>
        <v>16142.527829999999</v>
      </c>
      <c r="AC392" s="8">
        <f t="shared" si="109"/>
        <v>16363.49</v>
      </c>
      <c r="AD392" s="8">
        <f t="shared" si="110"/>
        <v>-220.9621700000007</v>
      </c>
      <c r="AE392" s="15">
        <f t="shared" si="111"/>
        <v>-1.3688201273492908E-2</v>
      </c>
      <c r="AF392" s="34">
        <f>MIN(Y392,'Scenario Modeling'!$B$2)</f>
        <v>8.9999999999999993E-3</v>
      </c>
      <c r="AG392">
        <f>ROUND(AA392 * (1 + 'Scenario Modeling'!$B$4), 0)</f>
        <v>11</v>
      </c>
      <c r="AH392">
        <f>T392 * (1 + 'Scenario Modeling'!$B$3)</f>
        <v>1487.59</v>
      </c>
      <c r="AI392" s="8">
        <f t="shared" si="112"/>
        <v>16142.527829999999</v>
      </c>
      <c r="AJ392" s="8">
        <f t="shared" si="113"/>
        <v>-220.9621700000007</v>
      </c>
    </row>
    <row r="393" spans="1:36">
      <c r="A393" t="s">
        <v>405</v>
      </c>
      <c r="B393" s="4">
        <v>45514</v>
      </c>
      <c r="C393" s="28">
        <v>45514</v>
      </c>
      <c r="D393" s="28" t="str">
        <f t="shared" si="98"/>
        <v>Q3-2024</v>
      </c>
      <c r="E393" s="4">
        <v>45542</v>
      </c>
      <c r="F393" s="4">
        <v>45542</v>
      </c>
      <c r="G393" s="17">
        <f t="shared" si="99"/>
        <v>28</v>
      </c>
      <c r="H393" s="17">
        <f t="shared" si="100"/>
        <v>28</v>
      </c>
      <c r="I393" t="str">
        <f t="shared" si="101"/>
        <v>No</v>
      </c>
      <c r="J393" s="2">
        <f t="shared" si="102"/>
        <v>44936</v>
      </c>
      <c r="K393" t="s">
        <v>649</v>
      </c>
      <c r="L393" t="s">
        <v>657</v>
      </c>
      <c r="M393" t="s">
        <v>673</v>
      </c>
      <c r="N393" t="str">
        <f t="shared" si="103"/>
        <v>Europe - France - Marseille</v>
      </c>
      <c r="O393" t="s">
        <v>703</v>
      </c>
      <c r="P393" t="s">
        <v>711</v>
      </c>
      <c r="Q393" t="s">
        <v>721</v>
      </c>
      <c r="R393" t="s">
        <v>728</v>
      </c>
      <c r="S393" t="s">
        <v>1124</v>
      </c>
      <c r="T393" s="6">
        <v>229.96</v>
      </c>
      <c r="U393" s="8">
        <v>564.26</v>
      </c>
      <c r="V393" s="8">
        <f t="shared" si="104"/>
        <v>564.26</v>
      </c>
      <c r="W393" s="8" t="str">
        <f t="shared" si="105"/>
        <v>Low</v>
      </c>
      <c r="X393" s="15">
        <v>0.105</v>
      </c>
      <c r="Y393" s="15">
        <f t="shared" si="106"/>
        <v>0.105</v>
      </c>
      <c r="Z393" t="str">
        <f t="shared" si="107"/>
        <v>No</v>
      </c>
      <c r="AA393" s="17">
        <v>5</v>
      </c>
      <c r="AB393" s="8">
        <f t="shared" si="108"/>
        <v>2525.0635000000002</v>
      </c>
      <c r="AC393" s="8">
        <f t="shared" si="109"/>
        <v>1149.8</v>
      </c>
      <c r="AD393" s="8">
        <f t="shared" si="110"/>
        <v>1375.2635000000002</v>
      </c>
      <c r="AE393" s="15">
        <f t="shared" si="111"/>
        <v>0.54464511486542821</v>
      </c>
      <c r="AF393" s="34">
        <f>MIN(Y393,'Scenario Modeling'!$B$2)</f>
        <v>0.105</v>
      </c>
      <c r="AG393">
        <f>ROUND(AA393 * (1 + 'Scenario Modeling'!$B$4), 0)</f>
        <v>5</v>
      </c>
      <c r="AH393">
        <f>T393 * (1 + 'Scenario Modeling'!$B$3)</f>
        <v>229.96</v>
      </c>
      <c r="AI393" s="8">
        <f t="shared" si="112"/>
        <v>2525.0635000000002</v>
      </c>
      <c r="AJ393" s="8">
        <f t="shared" si="113"/>
        <v>1375.2635000000002</v>
      </c>
    </row>
    <row r="394" spans="1:36">
      <c r="A394" t="s">
        <v>406</v>
      </c>
      <c r="B394" s="4">
        <v>45208</v>
      </c>
      <c r="C394" s="28">
        <v>45208</v>
      </c>
      <c r="D394" s="28" t="str">
        <f t="shared" si="98"/>
        <v>Q4-2023</v>
      </c>
      <c r="E394" s="4">
        <v>45225</v>
      </c>
      <c r="F394" s="4">
        <v>45225</v>
      </c>
      <c r="G394" s="17">
        <f t="shared" si="99"/>
        <v>17</v>
      </c>
      <c r="H394" s="17">
        <f t="shared" si="100"/>
        <v>17</v>
      </c>
      <c r="I394" t="str">
        <f t="shared" si="101"/>
        <v>No</v>
      </c>
      <c r="J394" s="2">
        <f t="shared" si="102"/>
        <v>44938</v>
      </c>
      <c r="K394" t="s">
        <v>647</v>
      </c>
      <c r="L394" t="s">
        <v>659</v>
      </c>
      <c r="M394" t="s">
        <v>685</v>
      </c>
      <c r="N394" t="str">
        <f t="shared" si="103"/>
        <v>Asia - China - Shanghai</v>
      </c>
      <c r="O394" t="s">
        <v>704</v>
      </c>
      <c r="P394" t="s">
        <v>709</v>
      </c>
      <c r="Q394" t="s">
        <v>712</v>
      </c>
      <c r="R394" t="s">
        <v>727</v>
      </c>
      <c r="S394" t="s">
        <v>1125</v>
      </c>
      <c r="T394" s="6">
        <v>1132.03</v>
      </c>
      <c r="U394" s="8">
        <v>2137.21</v>
      </c>
      <c r="V394" s="8">
        <f t="shared" si="104"/>
        <v>2137.21</v>
      </c>
      <c r="W394" s="8" t="str">
        <f t="shared" si="105"/>
        <v>High</v>
      </c>
      <c r="X394" s="15">
        <v>0.35699999999999998</v>
      </c>
      <c r="Y394" s="15">
        <f t="shared" si="106"/>
        <v>0.11861439999999995</v>
      </c>
      <c r="Z394" t="str">
        <f t="shared" si="107"/>
        <v>No</v>
      </c>
      <c r="AA394" s="17">
        <v>35</v>
      </c>
      <c r="AB394" s="8">
        <f t="shared" si="108"/>
        <v>65929.714136160008</v>
      </c>
      <c r="AC394" s="8">
        <f t="shared" si="109"/>
        <v>39621.049999999996</v>
      </c>
      <c r="AD394" s="8">
        <f t="shared" si="110"/>
        <v>26308.664136160012</v>
      </c>
      <c r="AE394" s="15">
        <f t="shared" si="111"/>
        <v>0.39904107701463071</v>
      </c>
      <c r="AF394" s="34">
        <f>MIN(Y394,'Scenario Modeling'!$B$2)</f>
        <v>0.11861439999999995</v>
      </c>
      <c r="AG394">
        <f>ROUND(AA394 * (1 + 'Scenario Modeling'!$B$4), 0)</f>
        <v>35</v>
      </c>
      <c r="AH394">
        <f>T394 * (1 + 'Scenario Modeling'!$B$3)</f>
        <v>1132.03</v>
      </c>
      <c r="AI394" s="8">
        <f t="shared" si="112"/>
        <v>65929.714136160008</v>
      </c>
      <c r="AJ394" s="8">
        <f t="shared" si="113"/>
        <v>26308.664136160012</v>
      </c>
    </row>
    <row r="395" spans="1:36">
      <c r="A395" t="s">
        <v>407</v>
      </c>
      <c r="B395" s="4">
        <v>45360</v>
      </c>
      <c r="C395" s="28">
        <v>45360</v>
      </c>
      <c r="D395" s="28" t="str">
        <f t="shared" si="98"/>
        <v>Q1-2024</v>
      </c>
      <c r="E395" s="4">
        <v>45377</v>
      </c>
      <c r="F395" s="4">
        <v>45377</v>
      </c>
      <c r="G395" s="17">
        <f t="shared" si="99"/>
        <v>17</v>
      </c>
      <c r="H395" s="17">
        <f t="shared" si="100"/>
        <v>17</v>
      </c>
      <c r="I395" t="str">
        <f t="shared" si="101"/>
        <v>No</v>
      </c>
      <c r="J395" s="2">
        <f t="shared" si="102"/>
        <v>44939</v>
      </c>
      <c r="K395" t="s">
        <v>648</v>
      </c>
      <c r="L395" t="s">
        <v>660</v>
      </c>
      <c r="M395" t="s">
        <v>686</v>
      </c>
      <c r="N395" t="str">
        <f t="shared" si="103"/>
        <v>Americas - USA - San Francisco</v>
      </c>
      <c r="O395" t="s">
        <v>702</v>
      </c>
      <c r="P395" t="s">
        <v>711</v>
      </c>
      <c r="Q395" t="s">
        <v>714</v>
      </c>
      <c r="R395" t="s">
        <v>730</v>
      </c>
      <c r="S395" t="s">
        <v>1126</v>
      </c>
      <c r="T395" s="6">
        <v>1137.4100000000001</v>
      </c>
      <c r="U395" s="8">
        <v>1680.93</v>
      </c>
      <c r="V395" s="8">
        <f t="shared" si="104"/>
        <v>1680.93</v>
      </c>
      <c r="W395" s="8" t="str">
        <f t="shared" si="105"/>
        <v>High</v>
      </c>
      <c r="X395" s="15">
        <v>0.254</v>
      </c>
      <c r="Y395" s="15">
        <f t="shared" si="106"/>
        <v>0.254</v>
      </c>
      <c r="Z395" t="str">
        <f t="shared" si="107"/>
        <v>Yes</v>
      </c>
      <c r="AA395" s="17">
        <v>9</v>
      </c>
      <c r="AB395" s="8">
        <f t="shared" si="108"/>
        <v>11285.764020000001</v>
      </c>
      <c r="AC395" s="8">
        <f t="shared" si="109"/>
        <v>10236.69</v>
      </c>
      <c r="AD395" s="8">
        <f t="shared" si="110"/>
        <v>1049.07402</v>
      </c>
      <c r="AE395" s="15">
        <f t="shared" si="111"/>
        <v>9.2955516183121464E-2</v>
      </c>
      <c r="AF395" s="34">
        <f>MIN(Y395,'Scenario Modeling'!$B$2)</f>
        <v>0.25</v>
      </c>
      <c r="AG395">
        <f>ROUND(AA395 * (1 + 'Scenario Modeling'!$B$4), 0)</f>
        <v>9</v>
      </c>
      <c r="AH395">
        <f>T395 * (1 + 'Scenario Modeling'!$B$3)</f>
        <v>1137.4100000000001</v>
      </c>
      <c r="AI395" s="8">
        <f t="shared" si="112"/>
        <v>11346.2775</v>
      </c>
      <c r="AJ395" s="8">
        <f t="shared" si="113"/>
        <v>1109.5874999999996</v>
      </c>
    </row>
    <row r="396" spans="1:36">
      <c r="A396" t="s">
        <v>408</v>
      </c>
      <c r="B396" s="4">
        <v>45075</v>
      </c>
      <c r="C396" s="28">
        <v>45075</v>
      </c>
      <c r="D396" s="28" t="str">
        <f t="shared" si="98"/>
        <v>Q2-2023</v>
      </c>
      <c r="E396" s="4">
        <v>45097</v>
      </c>
      <c r="F396" s="4">
        <v>45097</v>
      </c>
      <c r="G396" s="17">
        <f t="shared" si="99"/>
        <v>22</v>
      </c>
      <c r="H396" s="17">
        <f t="shared" si="100"/>
        <v>22</v>
      </c>
      <c r="I396" t="str">
        <f t="shared" si="101"/>
        <v>No</v>
      </c>
      <c r="J396" s="2">
        <f t="shared" si="102"/>
        <v>44945</v>
      </c>
      <c r="K396" t="s">
        <v>649</v>
      </c>
      <c r="L396" t="s">
        <v>658</v>
      </c>
      <c r="M396" t="s">
        <v>683</v>
      </c>
      <c r="N396" t="str">
        <f t="shared" si="103"/>
        <v>Europe - United Kingdom - London</v>
      </c>
      <c r="O396" t="s">
        <v>705</v>
      </c>
      <c r="P396" t="s">
        <v>711</v>
      </c>
      <c r="Q396" t="s">
        <v>723</v>
      </c>
      <c r="R396" t="s">
        <v>727</v>
      </c>
      <c r="S396" t="s">
        <v>1127</v>
      </c>
      <c r="T396" s="6">
        <v>1295.3900000000001</v>
      </c>
      <c r="U396" s="8">
        <v>2905.06</v>
      </c>
      <c r="V396" s="8">
        <f t="shared" si="104"/>
        <v>2905.06</v>
      </c>
      <c r="W396" s="8" t="str">
        <f t="shared" si="105"/>
        <v>High</v>
      </c>
      <c r="X396" s="15">
        <v>0.14799999999999999</v>
      </c>
      <c r="Y396" s="15">
        <f t="shared" si="106"/>
        <v>0.14799999999999999</v>
      </c>
      <c r="Z396" t="str">
        <f t="shared" si="107"/>
        <v>No</v>
      </c>
      <c r="AA396" s="17">
        <v>8</v>
      </c>
      <c r="AB396" s="8">
        <f t="shared" si="108"/>
        <v>19800.88896</v>
      </c>
      <c r="AC396" s="8">
        <f t="shared" si="109"/>
        <v>10363.120000000001</v>
      </c>
      <c r="AD396" s="8">
        <f t="shared" si="110"/>
        <v>9437.7689599999994</v>
      </c>
      <c r="AE396" s="15">
        <f t="shared" si="111"/>
        <v>0.47663359857556614</v>
      </c>
      <c r="AF396" s="34">
        <f>MIN(Y396,'Scenario Modeling'!$B$2)</f>
        <v>0.14799999999999999</v>
      </c>
      <c r="AG396">
        <f>ROUND(AA396 * (1 + 'Scenario Modeling'!$B$4), 0)</f>
        <v>8</v>
      </c>
      <c r="AH396">
        <f>T396 * (1 + 'Scenario Modeling'!$B$3)</f>
        <v>1295.3900000000001</v>
      </c>
      <c r="AI396" s="8">
        <f t="shared" si="112"/>
        <v>19800.88896</v>
      </c>
      <c r="AJ396" s="8">
        <f t="shared" si="113"/>
        <v>9437.7689599999994</v>
      </c>
    </row>
    <row r="397" spans="1:36">
      <c r="A397" t="s">
        <v>409</v>
      </c>
      <c r="B397" s="4">
        <v>45804</v>
      </c>
      <c r="C397" s="28">
        <v>45804</v>
      </c>
      <c r="D397" s="28" t="str">
        <f t="shared" si="98"/>
        <v>Q2-2025</v>
      </c>
      <c r="E397" s="4">
        <v>45816</v>
      </c>
      <c r="F397" s="4">
        <v>45816</v>
      </c>
      <c r="G397" s="17">
        <f t="shared" si="99"/>
        <v>12</v>
      </c>
      <c r="H397" s="17">
        <f t="shared" si="100"/>
        <v>12</v>
      </c>
      <c r="I397" t="str">
        <f t="shared" si="101"/>
        <v>No</v>
      </c>
      <c r="J397" s="2">
        <f t="shared" si="102"/>
        <v>44988</v>
      </c>
      <c r="K397" t="s">
        <v>647</v>
      </c>
      <c r="L397" t="s">
        <v>652</v>
      </c>
      <c r="M397" t="s">
        <v>666</v>
      </c>
      <c r="N397" t="str">
        <f t="shared" si="103"/>
        <v>Asia - Japan - Osaka</v>
      </c>
      <c r="O397" t="s">
        <v>701</v>
      </c>
      <c r="P397" t="s">
        <v>707</v>
      </c>
      <c r="Q397" t="s">
        <v>722</v>
      </c>
      <c r="R397" t="s">
        <v>733</v>
      </c>
      <c r="S397" t="s">
        <v>1128</v>
      </c>
      <c r="T397" s="6">
        <v>653.6</v>
      </c>
      <c r="U397" s="8">
        <v>842.09</v>
      </c>
      <c r="V397" s="8">
        <f t="shared" si="104"/>
        <v>842.09</v>
      </c>
      <c r="W397" s="8" t="str">
        <f t="shared" si="105"/>
        <v>Medium</v>
      </c>
      <c r="X397" s="15">
        <v>9.8000000000000004E-2</v>
      </c>
      <c r="Y397" s="15">
        <f t="shared" si="106"/>
        <v>9.8000000000000004E-2</v>
      </c>
      <c r="Z397" t="str">
        <f t="shared" si="107"/>
        <v>No</v>
      </c>
      <c r="AA397" s="17">
        <v>19</v>
      </c>
      <c r="AB397" s="8">
        <f t="shared" si="108"/>
        <v>14431.738420000001</v>
      </c>
      <c r="AC397" s="8">
        <f t="shared" si="109"/>
        <v>12418.4</v>
      </c>
      <c r="AD397" s="8">
        <f t="shared" si="110"/>
        <v>2013.3384200000019</v>
      </c>
      <c r="AE397" s="15">
        <f t="shared" si="111"/>
        <v>0.13950768517324622</v>
      </c>
      <c r="AF397" s="34">
        <f>MIN(Y397,'Scenario Modeling'!$B$2)</f>
        <v>9.8000000000000004E-2</v>
      </c>
      <c r="AG397">
        <f>ROUND(AA397 * (1 + 'Scenario Modeling'!$B$4), 0)</f>
        <v>19</v>
      </c>
      <c r="AH397">
        <f>T397 * (1 + 'Scenario Modeling'!$B$3)</f>
        <v>653.6</v>
      </c>
      <c r="AI397" s="8">
        <f t="shared" si="112"/>
        <v>14431.738420000001</v>
      </c>
      <c r="AJ397" s="8">
        <f t="shared" si="113"/>
        <v>2013.3384200000019</v>
      </c>
    </row>
    <row r="398" spans="1:36">
      <c r="A398" t="s">
        <v>410</v>
      </c>
      <c r="B398" s="4">
        <v>45890</v>
      </c>
      <c r="C398" s="28">
        <v>45890</v>
      </c>
      <c r="D398" s="28" t="str">
        <f t="shared" si="98"/>
        <v>Q3-2025</v>
      </c>
      <c r="E398" s="4">
        <v>45914</v>
      </c>
      <c r="F398" s="4">
        <v>45914</v>
      </c>
      <c r="G398" s="17">
        <f t="shared" si="99"/>
        <v>24</v>
      </c>
      <c r="H398" s="17">
        <f t="shared" si="100"/>
        <v>24</v>
      </c>
      <c r="I398" t="str">
        <f t="shared" si="101"/>
        <v>No</v>
      </c>
      <c r="J398" s="2">
        <f t="shared" si="102"/>
        <v>44948</v>
      </c>
      <c r="K398" t="s">
        <v>649</v>
      </c>
      <c r="L398" t="s">
        <v>656</v>
      </c>
      <c r="M398" t="s">
        <v>671</v>
      </c>
      <c r="N398" t="str">
        <f t="shared" si="103"/>
        <v>Europe - Germany - Berlin</v>
      </c>
      <c r="O398" t="s">
        <v>703</v>
      </c>
      <c r="P398" t="s">
        <v>708</v>
      </c>
      <c r="Q398" t="s">
        <v>720</v>
      </c>
      <c r="R398" t="s">
        <v>732</v>
      </c>
      <c r="S398" t="s">
        <v>1129</v>
      </c>
      <c r="T398" s="6">
        <v>1397.67</v>
      </c>
      <c r="U398" s="8">
        <v>3131.37</v>
      </c>
      <c r="V398" s="8">
        <f t="shared" si="104"/>
        <v>3131.37</v>
      </c>
      <c r="W398" s="8" t="str">
        <f t="shared" si="105"/>
        <v>High</v>
      </c>
      <c r="X398" s="15">
        <v>0.10299999999999999</v>
      </c>
      <c r="Y398" s="15">
        <f t="shared" si="106"/>
        <v>0.10299999999999999</v>
      </c>
      <c r="Z398" t="str">
        <f t="shared" si="107"/>
        <v>No</v>
      </c>
      <c r="AA398" s="17">
        <v>20</v>
      </c>
      <c r="AB398" s="8">
        <f t="shared" si="108"/>
        <v>56176.777799999996</v>
      </c>
      <c r="AC398" s="8">
        <f t="shared" si="109"/>
        <v>27953.4</v>
      </c>
      <c r="AD398" s="8">
        <f t="shared" si="110"/>
        <v>28223.377799999995</v>
      </c>
      <c r="AE398" s="15">
        <f t="shared" si="111"/>
        <v>0.50240293062874808</v>
      </c>
      <c r="AF398" s="34">
        <f>MIN(Y398,'Scenario Modeling'!$B$2)</f>
        <v>0.10299999999999999</v>
      </c>
      <c r="AG398">
        <f>ROUND(AA398 * (1 + 'Scenario Modeling'!$B$4), 0)</f>
        <v>20</v>
      </c>
      <c r="AH398">
        <f>T398 * (1 + 'Scenario Modeling'!$B$3)</f>
        <v>1397.67</v>
      </c>
      <c r="AI398" s="8">
        <f t="shared" si="112"/>
        <v>56176.777799999996</v>
      </c>
      <c r="AJ398" s="8">
        <f t="shared" si="113"/>
        <v>28223.377799999995</v>
      </c>
    </row>
    <row r="399" spans="1:36">
      <c r="A399" t="s">
        <v>411</v>
      </c>
      <c r="B399" s="4">
        <v>45638</v>
      </c>
      <c r="C399" s="28">
        <v>45638</v>
      </c>
      <c r="D399" s="28" t="str">
        <f t="shared" si="98"/>
        <v>Q4-2024</v>
      </c>
      <c r="E399" s="4">
        <v>45646</v>
      </c>
      <c r="F399" s="4">
        <v>45646</v>
      </c>
      <c r="G399" s="17">
        <f t="shared" si="99"/>
        <v>8</v>
      </c>
      <c r="H399" s="17">
        <f t="shared" si="100"/>
        <v>8</v>
      </c>
      <c r="I399" t="str">
        <f t="shared" si="101"/>
        <v>No</v>
      </c>
      <c r="J399" s="2">
        <f t="shared" si="102"/>
        <v>44988</v>
      </c>
      <c r="K399" t="s">
        <v>647</v>
      </c>
      <c r="L399" t="s">
        <v>652</v>
      </c>
      <c r="M399" t="s">
        <v>689</v>
      </c>
      <c r="N399" t="str">
        <f t="shared" si="103"/>
        <v>Asia - Japan - Tokyo</v>
      </c>
      <c r="O399" t="s">
        <v>701</v>
      </c>
      <c r="P399" t="s">
        <v>707</v>
      </c>
      <c r="Q399" t="s">
        <v>717</v>
      </c>
      <c r="R399" t="s">
        <v>731</v>
      </c>
      <c r="S399" t="s">
        <v>1130</v>
      </c>
      <c r="T399" s="6">
        <v>1202.47</v>
      </c>
      <c r="U399" s="8">
        <v>1444.72</v>
      </c>
      <c r="V399" s="8">
        <f t="shared" si="104"/>
        <v>1444.72</v>
      </c>
      <c r="W399" s="8" t="str">
        <f t="shared" si="105"/>
        <v>Medium</v>
      </c>
      <c r="X399" s="15">
        <v>0.24099999999999999</v>
      </c>
      <c r="Y399" s="15">
        <f t="shared" si="106"/>
        <v>0.24099999999999999</v>
      </c>
      <c r="Z399" t="str">
        <f t="shared" si="107"/>
        <v>Yes</v>
      </c>
      <c r="AA399" s="17">
        <v>17</v>
      </c>
      <c r="AB399" s="8">
        <f t="shared" si="108"/>
        <v>18641.222160000001</v>
      </c>
      <c r="AC399" s="8">
        <f t="shared" si="109"/>
        <v>20441.990000000002</v>
      </c>
      <c r="AD399" s="8">
        <f t="shared" si="110"/>
        <v>-1800.7678400000004</v>
      </c>
      <c r="AE399" s="15">
        <f t="shared" si="111"/>
        <v>-9.6601382921343834E-2</v>
      </c>
      <c r="AF399" s="34">
        <f>MIN(Y399,'Scenario Modeling'!$B$2)</f>
        <v>0.24099999999999999</v>
      </c>
      <c r="AG399">
        <f>ROUND(AA399 * (1 + 'Scenario Modeling'!$B$4), 0)</f>
        <v>17</v>
      </c>
      <c r="AH399">
        <f>T399 * (1 + 'Scenario Modeling'!$B$3)</f>
        <v>1202.47</v>
      </c>
      <c r="AI399" s="8">
        <f t="shared" si="112"/>
        <v>18641.222160000001</v>
      </c>
      <c r="AJ399" s="8">
        <f t="shared" si="113"/>
        <v>-1800.7678400000004</v>
      </c>
    </row>
    <row r="400" spans="1:36">
      <c r="A400" t="s">
        <v>412</v>
      </c>
      <c r="B400" s="4">
        <v>45914</v>
      </c>
      <c r="C400" s="28">
        <v>45914</v>
      </c>
      <c r="D400" s="28" t="str">
        <f t="shared" si="98"/>
        <v>Q3-2025</v>
      </c>
      <c r="E400" s="4">
        <v>45923</v>
      </c>
      <c r="F400" s="4">
        <v>45923</v>
      </c>
      <c r="G400" s="17">
        <f t="shared" si="99"/>
        <v>9</v>
      </c>
      <c r="H400" s="17">
        <f t="shared" si="100"/>
        <v>9</v>
      </c>
      <c r="I400" t="str">
        <f t="shared" si="101"/>
        <v>No</v>
      </c>
      <c r="J400" s="2">
        <f t="shared" si="102"/>
        <v>44933</v>
      </c>
      <c r="K400" t="s">
        <v>646</v>
      </c>
      <c r="L400" t="s">
        <v>661</v>
      </c>
      <c r="M400" t="s">
        <v>687</v>
      </c>
      <c r="N400" t="str">
        <f t="shared" si="103"/>
        <v>Africa - South Africa - Durban</v>
      </c>
      <c r="O400" t="s">
        <v>703</v>
      </c>
      <c r="P400" t="s">
        <v>708</v>
      </c>
      <c r="Q400" t="s">
        <v>726</v>
      </c>
      <c r="R400" t="s">
        <v>727</v>
      </c>
      <c r="S400" t="s">
        <v>1131</v>
      </c>
      <c r="T400" s="6">
        <v>1310.3</v>
      </c>
      <c r="U400" s="8">
        <v>2875.8</v>
      </c>
      <c r="V400" s="8">
        <f t="shared" si="104"/>
        <v>2875.8</v>
      </c>
      <c r="W400" s="8" t="str">
        <f t="shared" si="105"/>
        <v>High</v>
      </c>
      <c r="X400" s="15">
        <v>8.3000000000000004E-2</v>
      </c>
      <c r="Y400" s="15">
        <f t="shared" si="106"/>
        <v>8.3000000000000004E-2</v>
      </c>
      <c r="Z400" t="str">
        <f t="shared" si="107"/>
        <v>No</v>
      </c>
      <c r="AA400" s="17">
        <v>5</v>
      </c>
      <c r="AB400" s="8">
        <f t="shared" si="108"/>
        <v>13185.543</v>
      </c>
      <c r="AC400" s="8">
        <f t="shared" si="109"/>
        <v>6551.5</v>
      </c>
      <c r="AD400" s="8">
        <f t="shared" si="110"/>
        <v>6634.0429999999997</v>
      </c>
      <c r="AE400" s="15">
        <f t="shared" si="111"/>
        <v>0.50313005691157353</v>
      </c>
      <c r="AF400" s="34">
        <f>MIN(Y400,'Scenario Modeling'!$B$2)</f>
        <v>8.3000000000000004E-2</v>
      </c>
      <c r="AG400">
        <f>ROUND(AA400 * (1 + 'Scenario Modeling'!$B$4), 0)</f>
        <v>5</v>
      </c>
      <c r="AH400">
        <f>T400 * (1 + 'Scenario Modeling'!$B$3)</f>
        <v>1310.3</v>
      </c>
      <c r="AI400" s="8">
        <f t="shared" si="112"/>
        <v>13185.543</v>
      </c>
      <c r="AJ400" s="8">
        <f t="shared" si="113"/>
        <v>6634.0429999999997</v>
      </c>
    </row>
    <row r="401" spans="1:36">
      <c r="A401" t="s">
        <v>413</v>
      </c>
      <c r="B401" s="4">
        <v>45541</v>
      </c>
      <c r="C401" s="28">
        <v>45541</v>
      </c>
      <c r="D401" s="28" t="str">
        <f t="shared" si="98"/>
        <v>Q3-2024</v>
      </c>
      <c r="E401" s="4">
        <v>45569</v>
      </c>
      <c r="F401" s="4">
        <v>45569</v>
      </c>
      <c r="G401" s="17">
        <f t="shared" si="99"/>
        <v>28</v>
      </c>
      <c r="H401" s="17">
        <f t="shared" si="100"/>
        <v>28</v>
      </c>
      <c r="I401" t="str">
        <f t="shared" si="101"/>
        <v>No</v>
      </c>
      <c r="J401" s="2">
        <f t="shared" si="102"/>
        <v>44933</v>
      </c>
      <c r="K401" t="s">
        <v>646</v>
      </c>
      <c r="L401" t="s">
        <v>661</v>
      </c>
      <c r="M401" t="s">
        <v>695</v>
      </c>
      <c r="N401" t="str">
        <f t="shared" si="103"/>
        <v>Africa - South Africa - Cape Town</v>
      </c>
      <c r="O401" t="s">
        <v>701</v>
      </c>
      <c r="P401" t="s">
        <v>709</v>
      </c>
      <c r="Q401" t="s">
        <v>726</v>
      </c>
      <c r="R401" t="s">
        <v>732</v>
      </c>
      <c r="S401" t="s">
        <v>1132</v>
      </c>
      <c r="T401" s="6">
        <v>1174.17</v>
      </c>
      <c r="U401" s="8">
        <v>1641.61</v>
      </c>
      <c r="V401" s="8">
        <f t="shared" si="104"/>
        <v>1641.61</v>
      </c>
      <c r="W401" s="8" t="str">
        <f t="shared" si="105"/>
        <v>High</v>
      </c>
      <c r="X401" s="15">
        <v>0.122</v>
      </c>
      <c r="Y401" s="15">
        <f t="shared" si="106"/>
        <v>0.122</v>
      </c>
      <c r="Z401" t="str">
        <f t="shared" si="107"/>
        <v>No</v>
      </c>
      <c r="AA401" s="17">
        <v>9</v>
      </c>
      <c r="AB401" s="8">
        <f t="shared" si="108"/>
        <v>12972.00222</v>
      </c>
      <c r="AC401" s="8">
        <f t="shared" si="109"/>
        <v>10567.53</v>
      </c>
      <c r="AD401" s="8">
        <f t="shared" si="110"/>
        <v>2404.4722199999997</v>
      </c>
      <c r="AE401" s="15">
        <f t="shared" si="111"/>
        <v>0.18535860380079394</v>
      </c>
      <c r="AF401" s="34">
        <f>MIN(Y401,'Scenario Modeling'!$B$2)</f>
        <v>0.122</v>
      </c>
      <c r="AG401">
        <f>ROUND(AA401 * (1 + 'Scenario Modeling'!$B$4), 0)</f>
        <v>9</v>
      </c>
      <c r="AH401">
        <f>T401 * (1 + 'Scenario Modeling'!$B$3)</f>
        <v>1174.17</v>
      </c>
      <c r="AI401" s="8">
        <f t="shared" si="112"/>
        <v>12972.00222</v>
      </c>
      <c r="AJ401" s="8">
        <f t="shared" si="113"/>
        <v>2404.4722199999997</v>
      </c>
    </row>
    <row r="402" spans="1:36">
      <c r="A402" t="s">
        <v>414</v>
      </c>
      <c r="B402" s="4">
        <v>45759</v>
      </c>
      <c r="C402" s="28">
        <v>45759</v>
      </c>
      <c r="D402" s="28" t="str">
        <f t="shared" si="98"/>
        <v>Q2-2025</v>
      </c>
      <c r="E402" s="4">
        <v>45777</v>
      </c>
      <c r="F402" s="4">
        <v>45777</v>
      </c>
      <c r="G402" s="17">
        <f t="shared" si="99"/>
        <v>18</v>
      </c>
      <c r="H402" s="17">
        <f t="shared" si="100"/>
        <v>18</v>
      </c>
      <c r="I402" t="str">
        <f t="shared" si="101"/>
        <v>No</v>
      </c>
      <c r="J402" s="2">
        <f t="shared" si="102"/>
        <v>44946</v>
      </c>
      <c r="K402" t="s">
        <v>646</v>
      </c>
      <c r="L402" t="s">
        <v>650</v>
      </c>
      <c r="M402" t="s">
        <v>662</v>
      </c>
      <c r="N402" t="str">
        <f t="shared" si="103"/>
        <v>Africa - Kenya - Kisumu</v>
      </c>
      <c r="O402" t="s">
        <v>701</v>
      </c>
      <c r="P402" t="s">
        <v>709</v>
      </c>
      <c r="Q402" t="s">
        <v>721</v>
      </c>
      <c r="R402" t="s">
        <v>729</v>
      </c>
      <c r="S402" t="s">
        <v>1133</v>
      </c>
      <c r="T402" s="6">
        <v>1119.04</v>
      </c>
      <c r="U402" s="8">
        <v>1299.02</v>
      </c>
      <c r="V402" s="8">
        <f t="shared" si="104"/>
        <v>1299.02</v>
      </c>
      <c r="W402" s="8" t="str">
        <f t="shared" si="105"/>
        <v>Medium</v>
      </c>
      <c r="X402" s="15">
        <v>2.5000000000000001E-2</v>
      </c>
      <c r="Y402" s="15">
        <f t="shared" si="106"/>
        <v>2.5000000000000001E-2</v>
      </c>
      <c r="Z402" t="str">
        <f t="shared" si="107"/>
        <v>No</v>
      </c>
      <c r="AA402" s="17">
        <v>14</v>
      </c>
      <c r="AB402" s="8">
        <f t="shared" si="108"/>
        <v>17731.623</v>
      </c>
      <c r="AC402" s="8">
        <f t="shared" si="109"/>
        <v>15666.56</v>
      </c>
      <c r="AD402" s="8">
        <f t="shared" si="110"/>
        <v>2065.0630000000001</v>
      </c>
      <c r="AE402" s="15">
        <f t="shared" si="111"/>
        <v>0.11646215352085933</v>
      </c>
      <c r="AF402" s="34">
        <f>MIN(Y402,'Scenario Modeling'!$B$2)</f>
        <v>2.5000000000000001E-2</v>
      </c>
      <c r="AG402">
        <f>ROUND(AA402 * (1 + 'Scenario Modeling'!$B$4), 0)</f>
        <v>14</v>
      </c>
      <c r="AH402">
        <f>T402 * (1 + 'Scenario Modeling'!$B$3)</f>
        <v>1119.04</v>
      </c>
      <c r="AI402" s="8">
        <f t="shared" si="112"/>
        <v>17731.623</v>
      </c>
      <c r="AJ402" s="8">
        <f t="shared" si="113"/>
        <v>2065.0630000000001</v>
      </c>
    </row>
    <row r="403" spans="1:36">
      <c r="A403" t="s">
        <v>415</v>
      </c>
      <c r="B403" s="4">
        <v>45516</v>
      </c>
      <c r="C403" s="28">
        <v>45516</v>
      </c>
      <c r="D403" s="28" t="str">
        <f t="shared" si="98"/>
        <v>Q3-2024</v>
      </c>
      <c r="E403" s="4">
        <v>45519</v>
      </c>
      <c r="F403" s="4">
        <v>45519</v>
      </c>
      <c r="G403" s="17">
        <f t="shared" si="99"/>
        <v>3</v>
      </c>
      <c r="H403" s="17">
        <f t="shared" si="100"/>
        <v>3</v>
      </c>
      <c r="I403" t="str">
        <f t="shared" si="101"/>
        <v>Yes</v>
      </c>
      <c r="J403" s="2">
        <f t="shared" si="102"/>
        <v>44939</v>
      </c>
      <c r="K403" t="s">
        <v>648</v>
      </c>
      <c r="L403" t="s">
        <v>660</v>
      </c>
      <c r="M403" t="s">
        <v>677</v>
      </c>
      <c r="N403" t="str">
        <f t="shared" si="103"/>
        <v>Americas - USA - Chicago</v>
      </c>
      <c r="O403" t="s">
        <v>701</v>
      </c>
      <c r="P403" t="s">
        <v>709</v>
      </c>
      <c r="Q403" t="s">
        <v>726</v>
      </c>
      <c r="R403" t="s">
        <v>728</v>
      </c>
      <c r="S403" t="s">
        <v>1134</v>
      </c>
      <c r="T403" s="6">
        <v>850.7</v>
      </c>
      <c r="U403" s="8">
        <v>1118.56</v>
      </c>
      <c r="V403" s="8">
        <f t="shared" si="104"/>
        <v>1118.56</v>
      </c>
      <c r="W403" s="8" t="str">
        <f t="shared" si="105"/>
        <v>Medium</v>
      </c>
      <c r="X403" s="15">
        <v>0.18</v>
      </c>
      <c r="Y403" s="15">
        <f t="shared" si="106"/>
        <v>0.18</v>
      </c>
      <c r="Z403" t="str">
        <f t="shared" si="107"/>
        <v>No</v>
      </c>
      <c r="AA403" s="17">
        <v>19</v>
      </c>
      <c r="AB403" s="8">
        <f t="shared" si="108"/>
        <v>17427.164800000002</v>
      </c>
      <c r="AC403" s="8">
        <f t="shared" si="109"/>
        <v>16163.300000000001</v>
      </c>
      <c r="AD403" s="8">
        <f t="shared" si="110"/>
        <v>1263.8648000000012</v>
      </c>
      <c r="AE403" s="15">
        <f t="shared" si="111"/>
        <v>7.2522685962090688E-2</v>
      </c>
      <c r="AF403" s="34">
        <f>MIN(Y403,'Scenario Modeling'!$B$2)</f>
        <v>0.18</v>
      </c>
      <c r="AG403">
        <f>ROUND(AA403 * (1 + 'Scenario Modeling'!$B$4), 0)</f>
        <v>19</v>
      </c>
      <c r="AH403">
        <f>T403 * (1 + 'Scenario Modeling'!$B$3)</f>
        <v>850.7</v>
      </c>
      <c r="AI403" s="8">
        <f t="shared" si="112"/>
        <v>17427.164800000002</v>
      </c>
      <c r="AJ403" s="8">
        <f t="shared" si="113"/>
        <v>1263.8648000000012</v>
      </c>
    </row>
    <row r="404" spans="1:36">
      <c r="A404" t="s">
        <v>416</v>
      </c>
      <c r="B404" s="4">
        <v>45601</v>
      </c>
      <c r="C404" s="28">
        <v>45601</v>
      </c>
      <c r="D404" s="28" t="str">
        <f t="shared" si="98"/>
        <v>Q4-2024</v>
      </c>
      <c r="E404" s="4">
        <v>45604</v>
      </c>
      <c r="F404" s="4">
        <v>45604</v>
      </c>
      <c r="G404" s="17">
        <f t="shared" si="99"/>
        <v>3</v>
      </c>
      <c r="H404" s="17">
        <f t="shared" si="100"/>
        <v>3</v>
      </c>
      <c r="I404" t="str">
        <f t="shared" si="101"/>
        <v>Yes</v>
      </c>
      <c r="J404" s="2">
        <f t="shared" si="102"/>
        <v>44928</v>
      </c>
      <c r="K404" t="s">
        <v>648</v>
      </c>
      <c r="L404" t="s">
        <v>653</v>
      </c>
      <c r="M404" t="s">
        <v>667</v>
      </c>
      <c r="N404" t="str">
        <f t="shared" si="103"/>
        <v>Americas - Canada - Toronto</v>
      </c>
      <c r="O404" t="s">
        <v>702</v>
      </c>
      <c r="P404" t="s">
        <v>709</v>
      </c>
      <c r="Q404" t="s">
        <v>719</v>
      </c>
      <c r="R404" t="s">
        <v>727</v>
      </c>
      <c r="S404" t="s">
        <v>1135</v>
      </c>
      <c r="T404" s="6">
        <v>1020.4</v>
      </c>
      <c r="U404" s="8">
        <v>1184.71</v>
      </c>
      <c r="V404" s="8">
        <f t="shared" si="104"/>
        <v>1184.71</v>
      </c>
      <c r="W404" s="8" t="str">
        <f t="shared" si="105"/>
        <v>Medium</v>
      </c>
      <c r="X404" s="15">
        <v>0.106</v>
      </c>
      <c r="Y404" s="15">
        <f t="shared" si="106"/>
        <v>0.106</v>
      </c>
      <c r="Z404" t="str">
        <f t="shared" si="107"/>
        <v>No</v>
      </c>
      <c r="AA404" s="17">
        <v>16</v>
      </c>
      <c r="AB404" s="8">
        <f t="shared" si="108"/>
        <v>16946.091840000001</v>
      </c>
      <c r="AC404" s="8">
        <f t="shared" si="109"/>
        <v>16326.4</v>
      </c>
      <c r="AD404" s="8">
        <f t="shared" si="110"/>
        <v>619.69184000000132</v>
      </c>
      <c r="AE404" s="15">
        <f t="shared" si="111"/>
        <v>3.6568422138328345E-2</v>
      </c>
      <c r="AF404" s="34">
        <f>MIN(Y404,'Scenario Modeling'!$B$2)</f>
        <v>0.106</v>
      </c>
      <c r="AG404">
        <f>ROUND(AA404 * (1 + 'Scenario Modeling'!$B$4), 0)</f>
        <v>16</v>
      </c>
      <c r="AH404">
        <f>T404 * (1 + 'Scenario Modeling'!$B$3)</f>
        <v>1020.4</v>
      </c>
      <c r="AI404" s="8">
        <f t="shared" si="112"/>
        <v>16946.091840000001</v>
      </c>
      <c r="AJ404" s="8">
        <f t="shared" si="113"/>
        <v>619.69184000000132</v>
      </c>
    </row>
    <row r="405" spans="1:36">
      <c r="A405" t="s">
        <v>417</v>
      </c>
      <c r="B405" s="4">
        <v>45497</v>
      </c>
      <c r="C405" s="28">
        <v>45497</v>
      </c>
      <c r="D405" s="28" t="str">
        <f t="shared" si="98"/>
        <v>Q3-2024</v>
      </c>
      <c r="E405" s="4">
        <v>45512</v>
      </c>
      <c r="F405" s="4">
        <v>45512</v>
      </c>
      <c r="G405" s="17">
        <f t="shared" si="99"/>
        <v>15</v>
      </c>
      <c r="H405" s="17">
        <f t="shared" si="100"/>
        <v>15</v>
      </c>
      <c r="I405" t="str">
        <f t="shared" si="101"/>
        <v>No</v>
      </c>
      <c r="J405" s="2">
        <f t="shared" si="102"/>
        <v>44936</v>
      </c>
      <c r="K405" t="s">
        <v>649</v>
      </c>
      <c r="L405" t="s">
        <v>657</v>
      </c>
      <c r="M405" t="s">
        <v>673</v>
      </c>
      <c r="N405" t="str">
        <f t="shared" si="103"/>
        <v>Europe - France - Marseille</v>
      </c>
      <c r="O405" t="s">
        <v>706</v>
      </c>
      <c r="P405" t="s">
        <v>709</v>
      </c>
      <c r="Q405" t="s">
        <v>722</v>
      </c>
      <c r="R405" t="s">
        <v>731</v>
      </c>
      <c r="S405" t="s">
        <v>1136</v>
      </c>
      <c r="T405" s="6">
        <v>501.5</v>
      </c>
      <c r="U405" s="8">
        <v>1201.47</v>
      </c>
      <c r="V405" s="8">
        <f t="shared" si="104"/>
        <v>1201.47</v>
      </c>
      <c r="W405" s="8" t="str">
        <f t="shared" si="105"/>
        <v>Medium</v>
      </c>
      <c r="X405" s="15">
        <v>0.126</v>
      </c>
      <c r="Y405" s="15">
        <f t="shared" si="106"/>
        <v>0.126</v>
      </c>
      <c r="Z405" t="str">
        <f t="shared" si="107"/>
        <v>No</v>
      </c>
      <c r="AA405" s="17">
        <v>5</v>
      </c>
      <c r="AB405" s="8">
        <f t="shared" si="108"/>
        <v>5250.4239000000007</v>
      </c>
      <c r="AC405" s="8">
        <f t="shared" si="109"/>
        <v>2507.5</v>
      </c>
      <c r="AD405" s="8">
        <f t="shared" si="110"/>
        <v>2742.9239000000007</v>
      </c>
      <c r="AE405" s="15">
        <f t="shared" si="111"/>
        <v>0.52241951359394057</v>
      </c>
      <c r="AF405" s="34">
        <f>MIN(Y405,'Scenario Modeling'!$B$2)</f>
        <v>0.126</v>
      </c>
      <c r="AG405">
        <f>ROUND(AA405 * (1 + 'Scenario Modeling'!$B$4), 0)</f>
        <v>5</v>
      </c>
      <c r="AH405">
        <f>T405 * (1 + 'Scenario Modeling'!$B$3)</f>
        <v>501.5</v>
      </c>
      <c r="AI405" s="8">
        <f t="shared" si="112"/>
        <v>5250.4239000000007</v>
      </c>
      <c r="AJ405" s="8">
        <f t="shared" si="113"/>
        <v>2742.9239000000007</v>
      </c>
    </row>
    <row r="406" spans="1:36">
      <c r="A406" t="s">
        <v>418</v>
      </c>
      <c r="B406" s="4">
        <v>45677</v>
      </c>
      <c r="C406" s="28">
        <v>45677</v>
      </c>
      <c r="D406" s="28" t="str">
        <f t="shared" si="98"/>
        <v>Q1-2025</v>
      </c>
      <c r="E406" s="4">
        <v>45691</v>
      </c>
      <c r="F406" s="4">
        <v>45691</v>
      </c>
      <c r="G406" s="17">
        <f t="shared" si="99"/>
        <v>14</v>
      </c>
      <c r="H406" s="17">
        <f t="shared" si="100"/>
        <v>14</v>
      </c>
      <c r="I406" t="str">
        <f t="shared" si="101"/>
        <v>No</v>
      </c>
      <c r="J406" s="2">
        <f t="shared" si="102"/>
        <v>44955</v>
      </c>
      <c r="K406" t="s">
        <v>648</v>
      </c>
      <c r="L406" t="s">
        <v>655</v>
      </c>
      <c r="M406" t="s">
        <v>672</v>
      </c>
      <c r="N406" t="str">
        <f t="shared" si="103"/>
        <v>Americas - Brazil - Brasília</v>
      </c>
      <c r="O406" t="s">
        <v>706</v>
      </c>
      <c r="P406" t="s">
        <v>709</v>
      </c>
      <c r="Q406" t="s">
        <v>721</v>
      </c>
      <c r="R406" t="s">
        <v>727</v>
      </c>
      <c r="S406" t="s">
        <v>1137</v>
      </c>
      <c r="T406" s="6">
        <v>974.11</v>
      </c>
      <c r="U406" s="8">
        <v>880.99</v>
      </c>
      <c r="V406" s="8">
        <f t="shared" si="104"/>
        <v>880.99</v>
      </c>
      <c r="W406" s="8" t="str">
        <f t="shared" si="105"/>
        <v>Medium</v>
      </c>
      <c r="X406" s="15">
        <v>0.111</v>
      </c>
      <c r="Y406" s="15">
        <f t="shared" si="106"/>
        <v>0.111</v>
      </c>
      <c r="Z406" t="str">
        <f t="shared" si="107"/>
        <v>No</v>
      </c>
      <c r="AA406" s="17">
        <v>10</v>
      </c>
      <c r="AB406" s="8">
        <f t="shared" si="108"/>
        <v>7832.0010999999995</v>
      </c>
      <c r="AC406" s="8">
        <f t="shared" si="109"/>
        <v>9741.1</v>
      </c>
      <c r="AD406" s="8">
        <f t="shared" si="110"/>
        <v>-1909.0989000000009</v>
      </c>
      <c r="AE406" s="15">
        <f t="shared" si="111"/>
        <v>-0.2437562093805121</v>
      </c>
      <c r="AF406" s="34">
        <f>MIN(Y406,'Scenario Modeling'!$B$2)</f>
        <v>0.111</v>
      </c>
      <c r="AG406">
        <f>ROUND(AA406 * (1 + 'Scenario Modeling'!$B$4), 0)</f>
        <v>10</v>
      </c>
      <c r="AH406">
        <f>T406 * (1 + 'Scenario Modeling'!$B$3)</f>
        <v>974.11</v>
      </c>
      <c r="AI406" s="8">
        <f t="shared" si="112"/>
        <v>7832.0010999999995</v>
      </c>
      <c r="AJ406" s="8">
        <f t="shared" si="113"/>
        <v>-1909.0989000000009</v>
      </c>
    </row>
    <row r="407" spans="1:36">
      <c r="A407" t="s">
        <v>419</v>
      </c>
      <c r="B407" s="4">
        <v>44991</v>
      </c>
      <c r="C407" s="28">
        <v>44991</v>
      </c>
      <c r="D407" s="28" t="str">
        <f t="shared" si="98"/>
        <v>Q1-2023</v>
      </c>
      <c r="E407" s="4">
        <v>45020</v>
      </c>
      <c r="F407" s="4">
        <v>45020</v>
      </c>
      <c r="G407" s="17">
        <f t="shared" si="99"/>
        <v>29</v>
      </c>
      <c r="H407" s="17">
        <f t="shared" si="100"/>
        <v>29</v>
      </c>
      <c r="I407" t="str">
        <f t="shared" si="101"/>
        <v>No</v>
      </c>
      <c r="J407" s="2">
        <f t="shared" si="102"/>
        <v>44938</v>
      </c>
      <c r="K407" t="s">
        <v>647</v>
      </c>
      <c r="L407" t="s">
        <v>659</v>
      </c>
      <c r="M407" t="s">
        <v>699</v>
      </c>
      <c r="N407" t="str">
        <f t="shared" si="103"/>
        <v>Asia - China - Beijing</v>
      </c>
      <c r="O407" t="s">
        <v>705</v>
      </c>
      <c r="P407" t="s">
        <v>711</v>
      </c>
      <c r="Q407" t="s">
        <v>712</v>
      </c>
      <c r="R407" t="s">
        <v>732</v>
      </c>
      <c r="S407" t="s">
        <v>1138</v>
      </c>
      <c r="T407" s="6">
        <v>1126.29</v>
      </c>
      <c r="U407" s="8">
        <v>2050.87</v>
      </c>
      <c r="V407" s="8">
        <f t="shared" si="104"/>
        <v>2050.87</v>
      </c>
      <c r="W407" s="8" t="str">
        <f t="shared" si="105"/>
        <v>High</v>
      </c>
      <c r="X407" s="15">
        <v>6.4000000000000001E-2</v>
      </c>
      <c r="Y407" s="15">
        <f t="shared" si="106"/>
        <v>6.4000000000000001E-2</v>
      </c>
      <c r="Z407" t="str">
        <f t="shared" si="107"/>
        <v>No</v>
      </c>
      <c r="AA407" s="17">
        <v>7</v>
      </c>
      <c r="AB407" s="8">
        <f t="shared" si="108"/>
        <v>13437.300239999999</v>
      </c>
      <c r="AC407" s="8">
        <f t="shared" si="109"/>
        <v>7884.03</v>
      </c>
      <c r="AD407" s="8">
        <f t="shared" si="110"/>
        <v>5553.2702399999989</v>
      </c>
      <c r="AE407" s="15">
        <f t="shared" si="111"/>
        <v>0.41327276616690373</v>
      </c>
      <c r="AF407" s="34">
        <f>MIN(Y407,'Scenario Modeling'!$B$2)</f>
        <v>6.4000000000000001E-2</v>
      </c>
      <c r="AG407">
        <f>ROUND(AA407 * (1 + 'Scenario Modeling'!$B$4), 0)</f>
        <v>7</v>
      </c>
      <c r="AH407">
        <f>T407 * (1 + 'Scenario Modeling'!$B$3)</f>
        <v>1126.29</v>
      </c>
      <c r="AI407" s="8">
        <f t="shared" si="112"/>
        <v>13437.300239999999</v>
      </c>
      <c r="AJ407" s="8">
        <f t="shared" si="113"/>
        <v>5553.2702399999989</v>
      </c>
    </row>
    <row r="408" spans="1:36">
      <c r="A408" t="s">
        <v>420</v>
      </c>
      <c r="B408" s="4">
        <v>45646</v>
      </c>
      <c r="C408" s="28">
        <v>45646</v>
      </c>
      <c r="D408" s="28" t="str">
        <f t="shared" si="98"/>
        <v>Q4-2024</v>
      </c>
      <c r="E408" s="4">
        <v>45671</v>
      </c>
      <c r="F408" s="4">
        <v>45671</v>
      </c>
      <c r="G408" s="17">
        <f t="shared" si="99"/>
        <v>25</v>
      </c>
      <c r="H408" s="17">
        <f t="shared" si="100"/>
        <v>25</v>
      </c>
      <c r="I408" t="str">
        <f t="shared" si="101"/>
        <v>No</v>
      </c>
      <c r="J408" s="2">
        <f t="shared" si="102"/>
        <v>44955</v>
      </c>
      <c r="K408" t="s">
        <v>647</v>
      </c>
      <c r="L408" t="s">
        <v>654</v>
      </c>
      <c r="M408" t="s">
        <v>680</v>
      </c>
      <c r="N408" t="str">
        <f t="shared" si="103"/>
        <v>Asia - India - Delhi</v>
      </c>
      <c r="O408" t="s">
        <v>705</v>
      </c>
      <c r="P408" t="s">
        <v>707</v>
      </c>
      <c r="Q408" t="s">
        <v>724</v>
      </c>
      <c r="R408" t="s">
        <v>728</v>
      </c>
      <c r="S408" t="s">
        <v>1139</v>
      </c>
      <c r="T408" s="6">
        <v>1361.34</v>
      </c>
      <c r="U408" s="8">
        <v>1737.9</v>
      </c>
      <c r="V408" s="8">
        <f t="shared" si="104"/>
        <v>1737.9</v>
      </c>
      <c r="W408" s="8" t="str">
        <f t="shared" si="105"/>
        <v>High</v>
      </c>
      <c r="X408" s="15">
        <v>7.6999999999999999E-2</v>
      </c>
      <c r="Y408" s="15">
        <f t="shared" si="106"/>
        <v>7.6999999999999999E-2</v>
      </c>
      <c r="Z408" t="str">
        <f t="shared" si="107"/>
        <v>No</v>
      </c>
      <c r="AA408" s="17">
        <v>14</v>
      </c>
      <c r="AB408" s="8">
        <f t="shared" si="108"/>
        <v>22457.143800000002</v>
      </c>
      <c r="AC408" s="8">
        <f t="shared" si="109"/>
        <v>19058.759999999998</v>
      </c>
      <c r="AD408" s="8">
        <f t="shared" si="110"/>
        <v>3398.3838000000032</v>
      </c>
      <c r="AE408" s="15">
        <f t="shared" si="111"/>
        <v>0.15132751654731813</v>
      </c>
      <c r="AF408" s="34">
        <f>MIN(Y408,'Scenario Modeling'!$B$2)</f>
        <v>7.6999999999999999E-2</v>
      </c>
      <c r="AG408">
        <f>ROUND(AA408 * (1 + 'Scenario Modeling'!$B$4), 0)</f>
        <v>14</v>
      </c>
      <c r="AH408">
        <f>T408 * (1 + 'Scenario Modeling'!$B$3)</f>
        <v>1361.34</v>
      </c>
      <c r="AI408" s="8">
        <f t="shared" si="112"/>
        <v>22457.143800000002</v>
      </c>
      <c r="AJ408" s="8">
        <f t="shared" si="113"/>
        <v>3398.3838000000032</v>
      </c>
    </row>
    <row r="409" spans="1:36">
      <c r="A409" t="s">
        <v>421</v>
      </c>
      <c r="B409" s="4">
        <v>45709</v>
      </c>
      <c r="C409" s="28">
        <v>45709</v>
      </c>
      <c r="D409" s="28" t="str">
        <f t="shared" si="98"/>
        <v>Q1-2025</v>
      </c>
      <c r="E409" s="4">
        <v>45737</v>
      </c>
      <c r="F409" s="4">
        <v>45737</v>
      </c>
      <c r="G409" s="17">
        <f t="shared" si="99"/>
        <v>28</v>
      </c>
      <c r="H409" s="17">
        <f t="shared" si="100"/>
        <v>28</v>
      </c>
      <c r="I409" t="str">
        <f t="shared" si="101"/>
        <v>No</v>
      </c>
      <c r="J409" s="2">
        <f t="shared" si="102"/>
        <v>44941</v>
      </c>
      <c r="K409" t="s">
        <v>646</v>
      </c>
      <c r="L409" t="s">
        <v>651</v>
      </c>
      <c r="M409" t="s">
        <v>669</v>
      </c>
      <c r="N409" t="str">
        <f t="shared" si="103"/>
        <v>Africa - Nigeria - Abuja</v>
      </c>
      <c r="O409" t="s">
        <v>706</v>
      </c>
      <c r="P409" t="s">
        <v>709</v>
      </c>
      <c r="Q409" t="s">
        <v>714</v>
      </c>
      <c r="R409" t="s">
        <v>730</v>
      </c>
      <c r="S409" t="s">
        <v>1140</v>
      </c>
      <c r="T409" s="6">
        <v>1437.39</v>
      </c>
      <c r="U409" s="8">
        <v>1388.31</v>
      </c>
      <c r="V409" s="8">
        <f t="shared" si="104"/>
        <v>1388.31</v>
      </c>
      <c r="W409" s="8" t="str">
        <f t="shared" si="105"/>
        <v>Medium</v>
      </c>
      <c r="X409" s="15">
        <v>0.13800000000000001</v>
      </c>
      <c r="Y409" s="15">
        <f t="shared" si="106"/>
        <v>0.13800000000000001</v>
      </c>
      <c r="Z409" t="str">
        <f t="shared" si="107"/>
        <v>No</v>
      </c>
      <c r="AA409" s="17">
        <v>18</v>
      </c>
      <c r="AB409" s="8">
        <f t="shared" si="108"/>
        <v>21541.017959999997</v>
      </c>
      <c r="AC409" s="8">
        <f t="shared" si="109"/>
        <v>25873.02</v>
      </c>
      <c r="AD409" s="8">
        <f t="shared" si="110"/>
        <v>-4332.002040000003</v>
      </c>
      <c r="AE409" s="15">
        <f t="shared" si="111"/>
        <v>-0.20110479681341872</v>
      </c>
      <c r="AF409" s="34">
        <f>MIN(Y409,'Scenario Modeling'!$B$2)</f>
        <v>0.13800000000000001</v>
      </c>
      <c r="AG409">
        <f>ROUND(AA409 * (1 + 'Scenario Modeling'!$B$4), 0)</f>
        <v>18</v>
      </c>
      <c r="AH409">
        <f>T409 * (1 + 'Scenario Modeling'!$B$3)</f>
        <v>1437.39</v>
      </c>
      <c r="AI409" s="8">
        <f t="shared" si="112"/>
        <v>21541.017959999997</v>
      </c>
      <c r="AJ409" s="8">
        <f t="shared" si="113"/>
        <v>-4332.002040000003</v>
      </c>
    </row>
    <row r="410" spans="1:36">
      <c r="A410" t="s">
        <v>422</v>
      </c>
      <c r="B410" s="4">
        <v>45724</v>
      </c>
      <c r="C410" s="28">
        <v>45724</v>
      </c>
      <c r="D410" s="28" t="str">
        <f t="shared" si="98"/>
        <v>Q1-2025</v>
      </c>
      <c r="E410" s="4">
        <v>45731</v>
      </c>
      <c r="F410" s="4">
        <v>45731</v>
      </c>
      <c r="G410" s="17">
        <f t="shared" si="99"/>
        <v>7</v>
      </c>
      <c r="H410" s="17">
        <f t="shared" si="100"/>
        <v>7</v>
      </c>
      <c r="I410" t="str">
        <f t="shared" si="101"/>
        <v>Yes</v>
      </c>
      <c r="J410" s="2">
        <f t="shared" si="102"/>
        <v>44955</v>
      </c>
      <c r="K410" t="s">
        <v>647</v>
      </c>
      <c r="L410" t="s">
        <v>654</v>
      </c>
      <c r="M410" t="s">
        <v>668</v>
      </c>
      <c r="N410" t="str">
        <f t="shared" si="103"/>
        <v>Asia - India - Bengaluru</v>
      </c>
      <c r="O410" t="s">
        <v>701</v>
      </c>
      <c r="P410" t="s">
        <v>710</v>
      </c>
      <c r="Q410" t="s">
        <v>723</v>
      </c>
      <c r="R410" t="s">
        <v>731</v>
      </c>
      <c r="S410" t="s">
        <v>1141</v>
      </c>
      <c r="T410" s="6">
        <v>475.66</v>
      </c>
      <c r="U410" s="8">
        <v>529.14</v>
      </c>
      <c r="V410" s="8">
        <f t="shared" si="104"/>
        <v>529.14</v>
      </c>
      <c r="W410" s="8" t="str">
        <f t="shared" si="105"/>
        <v>Low</v>
      </c>
      <c r="X410" s="15">
        <v>0.19600000000000001</v>
      </c>
      <c r="Y410" s="15">
        <f t="shared" si="106"/>
        <v>0.19600000000000001</v>
      </c>
      <c r="Z410" t="str">
        <f t="shared" si="107"/>
        <v>No</v>
      </c>
      <c r="AA410" s="17">
        <v>11</v>
      </c>
      <c r="AB410" s="8">
        <f t="shared" si="108"/>
        <v>4679.7141600000004</v>
      </c>
      <c r="AC410" s="8">
        <f t="shared" si="109"/>
        <v>5232.26</v>
      </c>
      <c r="AD410" s="8">
        <f t="shared" si="110"/>
        <v>-552.54583999999977</v>
      </c>
      <c r="AE410" s="15">
        <f t="shared" si="111"/>
        <v>-0.11807256193613323</v>
      </c>
      <c r="AF410" s="34">
        <f>MIN(Y410,'Scenario Modeling'!$B$2)</f>
        <v>0.19600000000000001</v>
      </c>
      <c r="AG410">
        <f>ROUND(AA410 * (1 + 'Scenario Modeling'!$B$4), 0)</f>
        <v>11</v>
      </c>
      <c r="AH410">
        <f>T410 * (1 + 'Scenario Modeling'!$B$3)</f>
        <v>475.66</v>
      </c>
      <c r="AI410" s="8">
        <f t="shared" si="112"/>
        <v>4679.7141600000004</v>
      </c>
      <c r="AJ410" s="8">
        <f t="shared" si="113"/>
        <v>-552.54583999999977</v>
      </c>
    </row>
    <row r="411" spans="1:36">
      <c r="A411" t="s">
        <v>423</v>
      </c>
      <c r="B411" s="4">
        <v>45276</v>
      </c>
      <c r="C411" s="28">
        <v>45276</v>
      </c>
      <c r="D411" s="28" t="str">
        <f t="shared" si="98"/>
        <v>Q4-2023</v>
      </c>
      <c r="E411" s="4">
        <v>45279</v>
      </c>
      <c r="F411" s="4">
        <v>45279</v>
      </c>
      <c r="G411" s="17">
        <f t="shared" si="99"/>
        <v>3</v>
      </c>
      <c r="H411" s="17">
        <f t="shared" si="100"/>
        <v>3</v>
      </c>
      <c r="I411" t="str">
        <f t="shared" si="101"/>
        <v>Yes</v>
      </c>
      <c r="J411" s="2">
        <f t="shared" si="102"/>
        <v>44938</v>
      </c>
      <c r="K411" t="s">
        <v>647</v>
      </c>
      <c r="L411" t="s">
        <v>659</v>
      </c>
      <c r="M411" t="s">
        <v>699</v>
      </c>
      <c r="N411" t="str">
        <f t="shared" si="103"/>
        <v>Asia - China - Beijing</v>
      </c>
      <c r="O411" t="s">
        <v>702</v>
      </c>
      <c r="P411" t="s">
        <v>707</v>
      </c>
      <c r="Q411" t="s">
        <v>720</v>
      </c>
      <c r="R411" t="s">
        <v>733</v>
      </c>
      <c r="S411" t="s">
        <v>1142</v>
      </c>
      <c r="T411" s="6">
        <v>1415.05</v>
      </c>
      <c r="U411" s="8">
        <v>1972.38</v>
      </c>
      <c r="V411" s="8">
        <f t="shared" si="104"/>
        <v>1972.38</v>
      </c>
      <c r="W411" s="8" t="str">
        <f t="shared" si="105"/>
        <v>High</v>
      </c>
      <c r="X411" s="15">
        <v>0</v>
      </c>
      <c r="Y411" s="15">
        <f t="shared" si="106"/>
        <v>0</v>
      </c>
      <c r="Z411" t="str">
        <f t="shared" si="107"/>
        <v>No</v>
      </c>
      <c r="AA411" s="17">
        <v>12</v>
      </c>
      <c r="AB411" s="8">
        <f t="shared" si="108"/>
        <v>23668.560000000001</v>
      </c>
      <c r="AC411" s="8">
        <f t="shared" si="109"/>
        <v>16980.599999999999</v>
      </c>
      <c r="AD411" s="8">
        <f t="shared" si="110"/>
        <v>6687.9600000000028</v>
      </c>
      <c r="AE411" s="15">
        <f t="shared" si="111"/>
        <v>0.28256725377462771</v>
      </c>
      <c r="AF411" s="34">
        <f>MIN(Y411,'Scenario Modeling'!$B$2)</f>
        <v>0</v>
      </c>
      <c r="AG411">
        <f>ROUND(AA411 * (1 + 'Scenario Modeling'!$B$4), 0)</f>
        <v>12</v>
      </c>
      <c r="AH411">
        <f>T411 * (1 + 'Scenario Modeling'!$B$3)</f>
        <v>1415.05</v>
      </c>
      <c r="AI411" s="8">
        <f t="shared" si="112"/>
        <v>23668.560000000001</v>
      </c>
      <c r="AJ411" s="8">
        <f t="shared" si="113"/>
        <v>6687.9600000000028</v>
      </c>
    </row>
    <row r="412" spans="1:36">
      <c r="A412" t="s">
        <v>424</v>
      </c>
      <c r="B412" s="4">
        <v>45534</v>
      </c>
      <c r="C412" s="28">
        <v>45534</v>
      </c>
      <c r="D412" s="28" t="str">
        <f t="shared" si="98"/>
        <v>Q3-2024</v>
      </c>
      <c r="E412" s="4">
        <v>45540</v>
      </c>
      <c r="F412" s="4">
        <v>45540</v>
      </c>
      <c r="G412" s="17">
        <f t="shared" si="99"/>
        <v>6</v>
      </c>
      <c r="H412" s="17">
        <f t="shared" si="100"/>
        <v>6</v>
      </c>
      <c r="I412" t="str">
        <f t="shared" si="101"/>
        <v>Yes</v>
      </c>
      <c r="J412" s="2">
        <f t="shared" si="102"/>
        <v>44988</v>
      </c>
      <c r="K412" t="s">
        <v>647</v>
      </c>
      <c r="L412" t="s">
        <v>652</v>
      </c>
      <c r="M412" t="s">
        <v>694</v>
      </c>
      <c r="N412" t="str">
        <f t="shared" si="103"/>
        <v>Asia - Japan - Nagoya</v>
      </c>
      <c r="O412" t="s">
        <v>702</v>
      </c>
      <c r="P412" t="s">
        <v>708</v>
      </c>
      <c r="Q412" t="s">
        <v>725</v>
      </c>
      <c r="R412" t="s">
        <v>731</v>
      </c>
      <c r="S412" t="s">
        <v>1143</v>
      </c>
      <c r="T412" s="6">
        <v>466.16</v>
      </c>
      <c r="U412" s="8">
        <v>876.81</v>
      </c>
      <c r="V412" s="8">
        <f t="shared" si="104"/>
        <v>876.81</v>
      </c>
      <c r="W412" s="8" t="str">
        <f t="shared" si="105"/>
        <v>Medium</v>
      </c>
      <c r="X412" s="15">
        <v>0.24099999999999999</v>
      </c>
      <c r="Y412" s="15">
        <f t="shared" si="106"/>
        <v>0.24099999999999999</v>
      </c>
      <c r="Z412" t="str">
        <f t="shared" si="107"/>
        <v>Yes</v>
      </c>
      <c r="AA412" s="17">
        <v>8</v>
      </c>
      <c r="AB412" s="8">
        <f t="shared" si="108"/>
        <v>5323.9903199999999</v>
      </c>
      <c r="AC412" s="8">
        <f t="shared" si="109"/>
        <v>3729.28</v>
      </c>
      <c r="AD412" s="8">
        <f t="shared" si="110"/>
        <v>1594.7103199999997</v>
      </c>
      <c r="AE412" s="15">
        <f t="shared" si="111"/>
        <v>0.29953291124691594</v>
      </c>
      <c r="AF412" s="34">
        <f>MIN(Y412,'Scenario Modeling'!$B$2)</f>
        <v>0.24099999999999999</v>
      </c>
      <c r="AG412">
        <f>ROUND(AA412 * (1 + 'Scenario Modeling'!$B$4), 0)</f>
        <v>8</v>
      </c>
      <c r="AH412">
        <f>T412 * (1 + 'Scenario Modeling'!$B$3)</f>
        <v>466.16</v>
      </c>
      <c r="AI412" s="8">
        <f t="shared" si="112"/>
        <v>5323.9903199999999</v>
      </c>
      <c r="AJ412" s="8">
        <f t="shared" si="113"/>
        <v>1594.7103199999997</v>
      </c>
    </row>
    <row r="413" spans="1:36">
      <c r="A413" t="s">
        <v>425</v>
      </c>
      <c r="B413" s="4">
        <v>45430</v>
      </c>
      <c r="C413" s="28">
        <v>45430</v>
      </c>
      <c r="D413" s="28" t="str">
        <f t="shared" si="98"/>
        <v>Q2-2024</v>
      </c>
      <c r="E413" s="4">
        <v>45433</v>
      </c>
      <c r="F413" s="4">
        <v>45433</v>
      </c>
      <c r="G413" s="17">
        <f t="shared" si="99"/>
        <v>3</v>
      </c>
      <c r="H413" s="17">
        <f t="shared" si="100"/>
        <v>3</v>
      </c>
      <c r="I413" t="str">
        <f t="shared" si="101"/>
        <v>Yes</v>
      </c>
      <c r="J413" s="2">
        <f t="shared" si="102"/>
        <v>44936</v>
      </c>
      <c r="K413" t="s">
        <v>649</v>
      </c>
      <c r="L413" t="s">
        <v>657</v>
      </c>
      <c r="M413" t="s">
        <v>673</v>
      </c>
      <c r="N413" t="str">
        <f t="shared" si="103"/>
        <v>Europe - France - Marseille</v>
      </c>
      <c r="O413" t="s">
        <v>703</v>
      </c>
      <c r="P413" t="s">
        <v>709</v>
      </c>
      <c r="Q413" t="s">
        <v>726</v>
      </c>
      <c r="R413" t="s">
        <v>728</v>
      </c>
      <c r="S413" t="s">
        <v>1144</v>
      </c>
      <c r="T413" s="6">
        <v>663.66</v>
      </c>
      <c r="U413" s="8">
        <v>824.26</v>
      </c>
      <c r="V413" s="8">
        <f t="shared" si="104"/>
        <v>824.26</v>
      </c>
      <c r="W413" s="8" t="str">
        <f t="shared" si="105"/>
        <v>Medium</v>
      </c>
      <c r="X413" s="15">
        <v>0.23899999999999999</v>
      </c>
      <c r="Y413" s="15">
        <f t="shared" si="106"/>
        <v>0.23899999999999999</v>
      </c>
      <c r="Z413" t="str">
        <f t="shared" si="107"/>
        <v>Yes</v>
      </c>
      <c r="AA413" s="17">
        <v>11</v>
      </c>
      <c r="AB413" s="8">
        <f t="shared" si="108"/>
        <v>6899.8804600000003</v>
      </c>
      <c r="AC413" s="8">
        <f t="shared" si="109"/>
        <v>7300.2599999999993</v>
      </c>
      <c r="AD413" s="8">
        <f t="shared" si="110"/>
        <v>-400.379539999999</v>
      </c>
      <c r="AE413" s="15">
        <f t="shared" si="111"/>
        <v>-5.8027025587048933E-2</v>
      </c>
      <c r="AF413" s="34">
        <f>MIN(Y413,'Scenario Modeling'!$B$2)</f>
        <v>0.23899999999999999</v>
      </c>
      <c r="AG413">
        <f>ROUND(AA413 * (1 + 'Scenario Modeling'!$B$4), 0)</f>
        <v>11</v>
      </c>
      <c r="AH413">
        <f>T413 * (1 + 'Scenario Modeling'!$B$3)</f>
        <v>663.66</v>
      </c>
      <c r="AI413" s="8">
        <f t="shared" si="112"/>
        <v>6899.8804600000003</v>
      </c>
      <c r="AJ413" s="8">
        <f t="shared" si="113"/>
        <v>-400.379539999999</v>
      </c>
    </row>
    <row r="414" spans="1:36">
      <c r="A414" t="s">
        <v>426</v>
      </c>
      <c r="B414" s="4">
        <v>45002</v>
      </c>
      <c r="C414" s="28">
        <v>45002</v>
      </c>
      <c r="D414" s="28" t="str">
        <f t="shared" si="98"/>
        <v>Q1-2023</v>
      </c>
      <c r="E414" s="4">
        <v>45022</v>
      </c>
      <c r="F414" s="4">
        <v>45022</v>
      </c>
      <c r="G414" s="17">
        <f t="shared" si="99"/>
        <v>20</v>
      </c>
      <c r="H414" s="17">
        <f t="shared" si="100"/>
        <v>20</v>
      </c>
      <c r="I414" t="str">
        <f t="shared" si="101"/>
        <v>No</v>
      </c>
      <c r="J414" s="2">
        <f t="shared" si="102"/>
        <v>44948</v>
      </c>
      <c r="K414" t="s">
        <v>649</v>
      </c>
      <c r="L414" t="s">
        <v>656</v>
      </c>
      <c r="M414" t="s">
        <v>684</v>
      </c>
      <c r="N414" t="str">
        <f t="shared" si="103"/>
        <v>Europe - Germany - Munich</v>
      </c>
      <c r="O414" t="s">
        <v>704</v>
      </c>
      <c r="P414" t="s">
        <v>707</v>
      </c>
      <c r="Q414" t="s">
        <v>719</v>
      </c>
      <c r="R414" t="s">
        <v>730</v>
      </c>
      <c r="S414" t="s">
        <v>1145</v>
      </c>
      <c r="T414" s="6">
        <v>692.18</v>
      </c>
      <c r="U414" s="8">
        <v>1159.3499999999999</v>
      </c>
      <c r="V414" s="8">
        <f t="shared" si="104"/>
        <v>1159.3499999999999</v>
      </c>
      <c r="W414" s="8" t="str">
        <f t="shared" si="105"/>
        <v>Medium</v>
      </c>
      <c r="X414" s="15">
        <v>0.112</v>
      </c>
      <c r="Y414" s="15">
        <f t="shared" si="106"/>
        <v>0.112</v>
      </c>
      <c r="Z414" t="str">
        <f t="shared" si="107"/>
        <v>No</v>
      </c>
      <c r="AA414" s="17">
        <v>2</v>
      </c>
      <c r="AB414" s="8">
        <f t="shared" si="108"/>
        <v>2059.0056</v>
      </c>
      <c r="AC414" s="8">
        <f t="shared" si="109"/>
        <v>1384.36</v>
      </c>
      <c r="AD414" s="8">
        <f t="shared" si="110"/>
        <v>674.64560000000006</v>
      </c>
      <c r="AE414" s="15">
        <f t="shared" si="111"/>
        <v>0.32765602968734037</v>
      </c>
      <c r="AF414" s="34">
        <f>MIN(Y414,'Scenario Modeling'!$B$2)</f>
        <v>0.112</v>
      </c>
      <c r="AG414">
        <f>ROUND(AA414 * (1 + 'Scenario Modeling'!$B$4), 0)</f>
        <v>2</v>
      </c>
      <c r="AH414">
        <f>T414 * (1 + 'Scenario Modeling'!$B$3)</f>
        <v>692.18</v>
      </c>
      <c r="AI414" s="8">
        <f t="shared" si="112"/>
        <v>2059.0056</v>
      </c>
      <c r="AJ414" s="8">
        <f t="shared" si="113"/>
        <v>674.64560000000006</v>
      </c>
    </row>
    <row r="415" spans="1:36">
      <c r="A415" t="s">
        <v>427</v>
      </c>
      <c r="B415" s="4">
        <v>45163</v>
      </c>
      <c r="C415" s="28">
        <v>45163</v>
      </c>
      <c r="D415" s="28" t="str">
        <f t="shared" si="98"/>
        <v>Q3-2023</v>
      </c>
      <c r="E415" s="4">
        <v>45185</v>
      </c>
      <c r="F415" s="4">
        <v>45185</v>
      </c>
      <c r="G415" s="17">
        <f t="shared" si="99"/>
        <v>22</v>
      </c>
      <c r="H415" s="17">
        <f t="shared" si="100"/>
        <v>22</v>
      </c>
      <c r="I415" t="str">
        <f t="shared" si="101"/>
        <v>No</v>
      </c>
      <c r="J415" s="2">
        <f t="shared" si="102"/>
        <v>44941</v>
      </c>
      <c r="K415" t="s">
        <v>646</v>
      </c>
      <c r="L415" t="s">
        <v>651</v>
      </c>
      <c r="M415" t="s">
        <v>669</v>
      </c>
      <c r="N415" t="str">
        <f t="shared" si="103"/>
        <v>Africa - Nigeria - Abuja</v>
      </c>
      <c r="O415" t="s">
        <v>701</v>
      </c>
      <c r="P415" t="s">
        <v>709</v>
      </c>
      <c r="Q415" t="s">
        <v>716</v>
      </c>
      <c r="R415" t="s">
        <v>730</v>
      </c>
      <c r="S415" t="s">
        <v>1146</v>
      </c>
      <c r="T415" s="6">
        <v>1196.83</v>
      </c>
      <c r="U415" s="8">
        <v>2513.5100000000002</v>
      </c>
      <c r="V415" s="8">
        <f t="shared" si="104"/>
        <v>2513.5100000000002</v>
      </c>
      <c r="W415" s="8" t="str">
        <f t="shared" si="105"/>
        <v>High</v>
      </c>
      <c r="X415" s="15">
        <v>8.3000000000000004E-2</v>
      </c>
      <c r="Y415" s="15">
        <f t="shared" si="106"/>
        <v>8.3000000000000004E-2</v>
      </c>
      <c r="Z415" t="str">
        <f t="shared" si="107"/>
        <v>No</v>
      </c>
      <c r="AA415" s="17">
        <v>7</v>
      </c>
      <c r="AB415" s="8">
        <f t="shared" si="108"/>
        <v>16134.22069</v>
      </c>
      <c r="AC415" s="8">
        <f t="shared" si="109"/>
        <v>8377.81</v>
      </c>
      <c r="AD415" s="8">
        <f t="shared" si="110"/>
        <v>7756.4106900000006</v>
      </c>
      <c r="AE415" s="15">
        <f t="shared" si="111"/>
        <v>0.48074281609445374</v>
      </c>
      <c r="AF415" s="34">
        <f>MIN(Y415,'Scenario Modeling'!$B$2)</f>
        <v>8.3000000000000004E-2</v>
      </c>
      <c r="AG415">
        <f>ROUND(AA415 * (1 + 'Scenario Modeling'!$B$4), 0)</f>
        <v>7</v>
      </c>
      <c r="AH415">
        <f>T415 * (1 + 'Scenario Modeling'!$B$3)</f>
        <v>1196.83</v>
      </c>
      <c r="AI415" s="8">
        <f t="shared" si="112"/>
        <v>16134.22069</v>
      </c>
      <c r="AJ415" s="8">
        <f t="shared" si="113"/>
        <v>7756.4106900000006</v>
      </c>
    </row>
    <row r="416" spans="1:36">
      <c r="A416" t="s">
        <v>428</v>
      </c>
      <c r="B416" s="4">
        <v>45449</v>
      </c>
      <c r="C416" s="28">
        <v>45449</v>
      </c>
      <c r="D416" s="28" t="str">
        <f t="shared" si="98"/>
        <v>Q2-2024</v>
      </c>
      <c r="E416" s="4">
        <v>45467</v>
      </c>
      <c r="F416" s="4">
        <v>45467</v>
      </c>
      <c r="G416" s="17">
        <f t="shared" si="99"/>
        <v>18</v>
      </c>
      <c r="H416" s="17">
        <f t="shared" si="100"/>
        <v>18</v>
      </c>
      <c r="I416" t="str">
        <f t="shared" si="101"/>
        <v>No</v>
      </c>
      <c r="J416" s="2">
        <f t="shared" si="102"/>
        <v>44955</v>
      </c>
      <c r="K416" t="s">
        <v>647</v>
      </c>
      <c r="L416" t="s">
        <v>654</v>
      </c>
      <c r="M416" t="s">
        <v>668</v>
      </c>
      <c r="N416" t="str">
        <f t="shared" si="103"/>
        <v>Asia - India - Bengaluru</v>
      </c>
      <c r="O416" t="s">
        <v>705</v>
      </c>
      <c r="P416" t="s">
        <v>711</v>
      </c>
      <c r="Q416" t="s">
        <v>722</v>
      </c>
      <c r="R416" t="s">
        <v>729</v>
      </c>
      <c r="S416" t="s">
        <v>1147</v>
      </c>
      <c r="T416" s="6">
        <v>1253.25</v>
      </c>
      <c r="U416" s="8">
        <v>3087.13</v>
      </c>
      <c r="V416" s="8">
        <f t="shared" si="104"/>
        <v>3087.13</v>
      </c>
      <c r="W416" s="8" t="str">
        <f t="shared" si="105"/>
        <v>High</v>
      </c>
      <c r="X416" s="15">
        <v>7.1999999999999995E-2</v>
      </c>
      <c r="Y416" s="15">
        <f t="shared" si="106"/>
        <v>7.1999999999999995E-2</v>
      </c>
      <c r="Z416" t="str">
        <f t="shared" si="107"/>
        <v>No</v>
      </c>
      <c r="AA416" s="17">
        <v>11</v>
      </c>
      <c r="AB416" s="8">
        <f t="shared" si="108"/>
        <v>31513.423040000001</v>
      </c>
      <c r="AC416" s="8">
        <f t="shared" si="109"/>
        <v>13785.75</v>
      </c>
      <c r="AD416" s="8">
        <f t="shared" si="110"/>
        <v>17727.673040000001</v>
      </c>
      <c r="AE416" s="15">
        <f t="shared" si="111"/>
        <v>0.562543555408064</v>
      </c>
      <c r="AF416" s="34">
        <f>MIN(Y416,'Scenario Modeling'!$B$2)</f>
        <v>7.1999999999999995E-2</v>
      </c>
      <c r="AG416">
        <f>ROUND(AA416 * (1 + 'Scenario Modeling'!$B$4), 0)</f>
        <v>11</v>
      </c>
      <c r="AH416">
        <f>T416 * (1 + 'Scenario Modeling'!$B$3)</f>
        <v>1253.25</v>
      </c>
      <c r="AI416" s="8">
        <f t="shared" si="112"/>
        <v>31513.423040000001</v>
      </c>
      <c r="AJ416" s="8">
        <f t="shared" si="113"/>
        <v>17727.673040000001</v>
      </c>
    </row>
    <row r="417" spans="1:36">
      <c r="A417" t="s">
        <v>429</v>
      </c>
      <c r="B417" s="4">
        <v>45167</v>
      </c>
      <c r="C417" s="28">
        <v>45167</v>
      </c>
      <c r="D417" s="28" t="str">
        <f t="shared" si="98"/>
        <v>Q3-2023</v>
      </c>
      <c r="E417" s="4">
        <v>45182</v>
      </c>
      <c r="F417" s="4">
        <v>45182</v>
      </c>
      <c r="G417" s="17">
        <f t="shared" si="99"/>
        <v>15</v>
      </c>
      <c r="H417" s="17">
        <f t="shared" si="100"/>
        <v>15</v>
      </c>
      <c r="I417" t="str">
        <f t="shared" si="101"/>
        <v>No</v>
      </c>
      <c r="J417" s="2">
        <f t="shared" si="102"/>
        <v>44928</v>
      </c>
      <c r="K417" t="s">
        <v>648</v>
      </c>
      <c r="L417" t="s">
        <v>653</v>
      </c>
      <c r="M417" t="s">
        <v>688</v>
      </c>
      <c r="N417" t="str">
        <f t="shared" si="103"/>
        <v>Americas - Canada - Vancouver</v>
      </c>
      <c r="O417" t="s">
        <v>705</v>
      </c>
      <c r="P417" t="s">
        <v>709</v>
      </c>
      <c r="Q417" t="s">
        <v>719</v>
      </c>
      <c r="R417" t="s">
        <v>728</v>
      </c>
      <c r="S417" t="s">
        <v>1148</v>
      </c>
      <c r="T417" s="6">
        <v>1287.6400000000001</v>
      </c>
      <c r="U417" s="8">
        <v>2717.15</v>
      </c>
      <c r="V417" s="8">
        <f t="shared" si="104"/>
        <v>2717.15</v>
      </c>
      <c r="W417" s="8" t="str">
        <f t="shared" si="105"/>
        <v>High</v>
      </c>
      <c r="X417" s="15">
        <v>3.2000000000000001E-2</v>
      </c>
      <c r="Y417" s="15">
        <f t="shared" si="106"/>
        <v>3.2000000000000001E-2</v>
      </c>
      <c r="Z417" t="str">
        <f t="shared" si="107"/>
        <v>No</v>
      </c>
      <c r="AA417" s="17">
        <v>7</v>
      </c>
      <c r="AB417" s="8">
        <f t="shared" si="108"/>
        <v>18411.4084</v>
      </c>
      <c r="AC417" s="8">
        <f t="shared" si="109"/>
        <v>9013.4800000000014</v>
      </c>
      <c r="AD417" s="8">
        <f t="shared" si="110"/>
        <v>9397.9283999999989</v>
      </c>
      <c r="AE417" s="15">
        <f t="shared" si="111"/>
        <v>0.51044049405802105</v>
      </c>
      <c r="AF417" s="34">
        <f>MIN(Y417,'Scenario Modeling'!$B$2)</f>
        <v>3.2000000000000001E-2</v>
      </c>
      <c r="AG417">
        <f>ROUND(AA417 * (1 + 'Scenario Modeling'!$B$4), 0)</f>
        <v>7</v>
      </c>
      <c r="AH417">
        <f>T417 * (1 + 'Scenario Modeling'!$B$3)</f>
        <v>1287.6400000000001</v>
      </c>
      <c r="AI417" s="8">
        <f t="shared" si="112"/>
        <v>18411.4084</v>
      </c>
      <c r="AJ417" s="8">
        <f t="shared" si="113"/>
        <v>9397.9283999999989</v>
      </c>
    </row>
    <row r="418" spans="1:36">
      <c r="A418" t="s">
        <v>430</v>
      </c>
      <c r="B418" s="4">
        <v>45626</v>
      </c>
      <c r="C418" s="28">
        <v>45626</v>
      </c>
      <c r="D418" s="28" t="str">
        <f t="shared" si="98"/>
        <v>Q4-2024</v>
      </c>
      <c r="E418" s="4">
        <v>45636</v>
      </c>
      <c r="F418" s="4">
        <v>45636</v>
      </c>
      <c r="G418" s="17">
        <f t="shared" si="99"/>
        <v>10</v>
      </c>
      <c r="H418" s="17">
        <f t="shared" si="100"/>
        <v>10</v>
      </c>
      <c r="I418" t="str">
        <f t="shared" si="101"/>
        <v>No</v>
      </c>
      <c r="J418" s="2">
        <f t="shared" si="102"/>
        <v>44955</v>
      </c>
      <c r="K418" t="s">
        <v>647</v>
      </c>
      <c r="L418" t="s">
        <v>654</v>
      </c>
      <c r="M418" t="s">
        <v>696</v>
      </c>
      <c r="N418" t="str">
        <f t="shared" si="103"/>
        <v>Asia - India - Hyderabad</v>
      </c>
      <c r="O418" t="s">
        <v>705</v>
      </c>
      <c r="P418" t="s">
        <v>707</v>
      </c>
      <c r="Q418" t="s">
        <v>721</v>
      </c>
      <c r="R418" t="s">
        <v>733</v>
      </c>
      <c r="S418" t="s">
        <v>1149</v>
      </c>
      <c r="T418" s="6">
        <v>851.49</v>
      </c>
      <c r="U418" s="8">
        <v>901.79</v>
      </c>
      <c r="V418" s="8">
        <f t="shared" si="104"/>
        <v>901.79</v>
      </c>
      <c r="W418" s="8" t="str">
        <f t="shared" si="105"/>
        <v>Medium</v>
      </c>
      <c r="X418" s="15">
        <v>0.245</v>
      </c>
      <c r="Y418" s="15">
        <f t="shared" si="106"/>
        <v>0.245</v>
      </c>
      <c r="Z418" t="str">
        <f t="shared" si="107"/>
        <v>Yes</v>
      </c>
      <c r="AA418" s="17">
        <v>16</v>
      </c>
      <c r="AB418" s="8">
        <f t="shared" si="108"/>
        <v>10893.6232</v>
      </c>
      <c r="AC418" s="8">
        <f t="shared" si="109"/>
        <v>13623.84</v>
      </c>
      <c r="AD418" s="8">
        <f t="shared" si="110"/>
        <v>-2730.2168000000001</v>
      </c>
      <c r="AE418" s="15">
        <f t="shared" si="111"/>
        <v>-0.25062522816100341</v>
      </c>
      <c r="AF418" s="34">
        <f>MIN(Y418,'Scenario Modeling'!$B$2)</f>
        <v>0.245</v>
      </c>
      <c r="AG418">
        <f>ROUND(AA418 * (1 + 'Scenario Modeling'!$B$4), 0)</f>
        <v>16</v>
      </c>
      <c r="AH418">
        <f>T418 * (1 + 'Scenario Modeling'!$B$3)</f>
        <v>851.49</v>
      </c>
      <c r="AI418" s="8">
        <f t="shared" si="112"/>
        <v>10893.6232</v>
      </c>
      <c r="AJ418" s="8">
        <f t="shared" si="113"/>
        <v>-2730.2168000000001</v>
      </c>
    </row>
    <row r="419" spans="1:36">
      <c r="A419" t="s">
        <v>431</v>
      </c>
      <c r="B419" s="4">
        <v>45813</v>
      </c>
      <c r="C419" s="28">
        <v>45813</v>
      </c>
      <c r="D419" s="28" t="str">
        <f t="shared" si="98"/>
        <v>Q2-2025</v>
      </c>
      <c r="E419" s="4">
        <v>45822</v>
      </c>
      <c r="F419" s="4">
        <v>45822</v>
      </c>
      <c r="G419" s="17">
        <f t="shared" si="99"/>
        <v>9</v>
      </c>
      <c r="H419" s="17">
        <f t="shared" si="100"/>
        <v>9</v>
      </c>
      <c r="I419" t="str">
        <f t="shared" si="101"/>
        <v>No</v>
      </c>
      <c r="J419" s="2">
        <f t="shared" si="102"/>
        <v>44955</v>
      </c>
      <c r="K419" t="s">
        <v>647</v>
      </c>
      <c r="L419" t="s">
        <v>654</v>
      </c>
      <c r="M419" t="s">
        <v>680</v>
      </c>
      <c r="N419" t="str">
        <f t="shared" si="103"/>
        <v>Asia - India - Delhi</v>
      </c>
      <c r="O419" t="s">
        <v>703</v>
      </c>
      <c r="P419" t="s">
        <v>707</v>
      </c>
      <c r="Q419" t="s">
        <v>720</v>
      </c>
      <c r="R419" t="s">
        <v>733</v>
      </c>
      <c r="S419" t="s">
        <v>1150</v>
      </c>
      <c r="T419" s="6">
        <v>618.69000000000005</v>
      </c>
      <c r="U419" s="8">
        <v>796.15</v>
      </c>
      <c r="V419" s="8">
        <f t="shared" si="104"/>
        <v>796.15</v>
      </c>
      <c r="W419" s="8" t="str">
        <f t="shared" si="105"/>
        <v>Low</v>
      </c>
      <c r="X419" s="15">
        <v>0.09</v>
      </c>
      <c r="Y419" s="15">
        <f t="shared" si="106"/>
        <v>0.09</v>
      </c>
      <c r="Z419" t="str">
        <f t="shared" si="107"/>
        <v>No</v>
      </c>
      <c r="AA419" s="17">
        <v>11</v>
      </c>
      <c r="AB419" s="8">
        <f t="shared" si="108"/>
        <v>7969.4615000000003</v>
      </c>
      <c r="AC419" s="8">
        <f t="shared" si="109"/>
        <v>6805.59</v>
      </c>
      <c r="AD419" s="8">
        <f t="shared" si="110"/>
        <v>1163.8715000000002</v>
      </c>
      <c r="AE419" s="15">
        <f t="shared" si="111"/>
        <v>0.14604142325049191</v>
      </c>
      <c r="AF419" s="34">
        <f>MIN(Y419,'Scenario Modeling'!$B$2)</f>
        <v>0.09</v>
      </c>
      <c r="AG419">
        <f>ROUND(AA419 * (1 + 'Scenario Modeling'!$B$4), 0)</f>
        <v>11</v>
      </c>
      <c r="AH419">
        <f>T419 * (1 + 'Scenario Modeling'!$B$3)</f>
        <v>618.69000000000005</v>
      </c>
      <c r="AI419" s="8">
        <f t="shared" si="112"/>
        <v>7969.4615000000003</v>
      </c>
      <c r="AJ419" s="8">
        <f t="shared" si="113"/>
        <v>1163.8715000000002</v>
      </c>
    </row>
    <row r="420" spans="1:36">
      <c r="A420" t="s">
        <v>432</v>
      </c>
      <c r="B420" s="4">
        <v>45730</v>
      </c>
      <c r="C420" s="28">
        <v>45730</v>
      </c>
      <c r="D420" s="28" t="str">
        <f t="shared" si="98"/>
        <v>Q1-2025</v>
      </c>
      <c r="E420" s="4">
        <v>45755</v>
      </c>
      <c r="F420" s="4">
        <v>45755</v>
      </c>
      <c r="G420" s="17">
        <f t="shared" si="99"/>
        <v>25</v>
      </c>
      <c r="H420" s="17">
        <f t="shared" si="100"/>
        <v>25</v>
      </c>
      <c r="I420" t="str">
        <f t="shared" si="101"/>
        <v>No</v>
      </c>
      <c r="J420" s="2">
        <f t="shared" si="102"/>
        <v>44938</v>
      </c>
      <c r="K420" t="s">
        <v>647</v>
      </c>
      <c r="L420" t="s">
        <v>659</v>
      </c>
      <c r="M420" t="s">
        <v>685</v>
      </c>
      <c r="N420" t="str">
        <f t="shared" si="103"/>
        <v>Asia - China - Shanghai</v>
      </c>
      <c r="O420" t="s">
        <v>701</v>
      </c>
      <c r="P420" t="s">
        <v>710</v>
      </c>
      <c r="Q420" t="s">
        <v>726</v>
      </c>
      <c r="R420" t="s">
        <v>728</v>
      </c>
      <c r="S420" t="s">
        <v>1151</v>
      </c>
      <c r="T420" s="6">
        <v>80.59</v>
      </c>
      <c r="U420" s="8">
        <v>157.82</v>
      </c>
      <c r="V420" s="8">
        <f t="shared" si="104"/>
        <v>157.82</v>
      </c>
      <c r="W420" s="8" t="str">
        <f t="shared" si="105"/>
        <v>Low</v>
      </c>
      <c r="X420" s="15">
        <v>0.217</v>
      </c>
      <c r="Y420" s="15">
        <f t="shared" si="106"/>
        <v>0.217</v>
      </c>
      <c r="Z420" t="str">
        <f t="shared" si="107"/>
        <v>Yes</v>
      </c>
      <c r="AA420" s="17">
        <v>6</v>
      </c>
      <c r="AB420" s="8">
        <f t="shared" si="108"/>
        <v>741.43835999999999</v>
      </c>
      <c r="AC420" s="8">
        <f t="shared" si="109"/>
        <v>483.54</v>
      </c>
      <c r="AD420" s="8">
        <f t="shared" si="110"/>
        <v>257.89835999999997</v>
      </c>
      <c r="AE420" s="15">
        <f t="shared" si="111"/>
        <v>0.34783519967863541</v>
      </c>
      <c r="AF420" s="34">
        <f>MIN(Y420,'Scenario Modeling'!$B$2)</f>
        <v>0.217</v>
      </c>
      <c r="AG420">
        <f>ROUND(AA420 * (1 + 'Scenario Modeling'!$B$4), 0)</f>
        <v>6</v>
      </c>
      <c r="AH420">
        <f>T420 * (1 + 'Scenario Modeling'!$B$3)</f>
        <v>80.59</v>
      </c>
      <c r="AI420" s="8">
        <f t="shared" si="112"/>
        <v>741.43835999999999</v>
      </c>
      <c r="AJ420" s="8">
        <f t="shared" si="113"/>
        <v>257.89835999999997</v>
      </c>
    </row>
    <row r="421" spans="1:36">
      <c r="A421" t="s">
        <v>433</v>
      </c>
      <c r="B421" s="4">
        <v>45307</v>
      </c>
      <c r="C421" s="28">
        <v>45307</v>
      </c>
      <c r="D421" s="28" t="str">
        <f t="shared" si="98"/>
        <v>Q1-2024</v>
      </c>
      <c r="E421" s="4">
        <v>45333</v>
      </c>
      <c r="F421" s="4">
        <v>45333</v>
      </c>
      <c r="G421" s="17">
        <f t="shared" si="99"/>
        <v>26</v>
      </c>
      <c r="H421" s="17">
        <f t="shared" si="100"/>
        <v>26</v>
      </c>
      <c r="I421" t="str">
        <f t="shared" si="101"/>
        <v>No</v>
      </c>
      <c r="J421" s="2">
        <f t="shared" si="102"/>
        <v>44948</v>
      </c>
      <c r="K421" t="s">
        <v>649</v>
      </c>
      <c r="L421" t="s">
        <v>656</v>
      </c>
      <c r="M421" t="s">
        <v>698</v>
      </c>
      <c r="N421" t="str">
        <f t="shared" si="103"/>
        <v>Europe - Germany - Frankfurt</v>
      </c>
      <c r="O421" t="s">
        <v>703</v>
      </c>
      <c r="P421" t="s">
        <v>710</v>
      </c>
      <c r="Q421" t="s">
        <v>718</v>
      </c>
      <c r="R421" t="s">
        <v>732</v>
      </c>
      <c r="S421" t="s">
        <v>1152</v>
      </c>
      <c r="T421" s="6">
        <v>504.93</v>
      </c>
      <c r="U421" s="8">
        <v>819.06</v>
      </c>
      <c r="V421" s="8">
        <f t="shared" si="104"/>
        <v>819.06</v>
      </c>
      <c r="W421" s="8" t="str">
        <f t="shared" si="105"/>
        <v>Medium</v>
      </c>
      <c r="X421" s="15">
        <v>0.22600000000000001</v>
      </c>
      <c r="Y421" s="15">
        <f t="shared" si="106"/>
        <v>0.22600000000000001</v>
      </c>
      <c r="Z421" t="str">
        <f t="shared" si="107"/>
        <v>Yes</v>
      </c>
      <c r="AA421" s="17">
        <v>15</v>
      </c>
      <c r="AB421" s="8">
        <f t="shared" si="108"/>
        <v>9509.2865999999995</v>
      </c>
      <c r="AC421" s="8">
        <f t="shared" si="109"/>
        <v>7573.95</v>
      </c>
      <c r="AD421" s="8">
        <f t="shared" si="110"/>
        <v>1935.3365999999996</v>
      </c>
      <c r="AE421" s="15">
        <f t="shared" si="111"/>
        <v>0.20352069312959814</v>
      </c>
      <c r="AF421" s="34">
        <f>MIN(Y421,'Scenario Modeling'!$B$2)</f>
        <v>0.22600000000000001</v>
      </c>
      <c r="AG421">
        <f>ROUND(AA421 * (1 + 'Scenario Modeling'!$B$4), 0)</f>
        <v>15</v>
      </c>
      <c r="AH421">
        <f>T421 * (1 + 'Scenario Modeling'!$B$3)</f>
        <v>504.93</v>
      </c>
      <c r="AI421" s="8">
        <f t="shared" si="112"/>
        <v>9509.2865999999995</v>
      </c>
      <c r="AJ421" s="8">
        <f t="shared" si="113"/>
        <v>1935.3365999999996</v>
      </c>
    </row>
    <row r="422" spans="1:36">
      <c r="A422" t="s">
        <v>434</v>
      </c>
      <c r="B422" s="4">
        <v>45211</v>
      </c>
      <c r="C422" s="28">
        <v>45211</v>
      </c>
      <c r="D422" s="28" t="str">
        <f t="shared" si="98"/>
        <v>Q4-2023</v>
      </c>
      <c r="E422" s="4">
        <v>45228</v>
      </c>
      <c r="F422" s="4">
        <v>45228</v>
      </c>
      <c r="G422" s="17">
        <f t="shared" si="99"/>
        <v>17</v>
      </c>
      <c r="H422" s="17">
        <f t="shared" si="100"/>
        <v>17</v>
      </c>
      <c r="I422" t="str">
        <f t="shared" si="101"/>
        <v>No</v>
      </c>
      <c r="J422" s="2">
        <f t="shared" si="102"/>
        <v>44988</v>
      </c>
      <c r="K422" t="s">
        <v>647</v>
      </c>
      <c r="L422" t="s">
        <v>652</v>
      </c>
      <c r="M422" t="s">
        <v>694</v>
      </c>
      <c r="N422" t="str">
        <f t="shared" si="103"/>
        <v>Asia - Japan - Nagoya</v>
      </c>
      <c r="O422" t="s">
        <v>703</v>
      </c>
      <c r="P422" t="s">
        <v>711</v>
      </c>
      <c r="Q422" t="s">
        <v>722</v>
      </c>
      <c r="R422" t="s">
        <v>730</v>
      </c>
      <c r="S422" t="s">
        <v>1153</v>
      </c>
      <c r="T422" s="6">
        <v>1102.19</v>
      </c>
      <c r="U422" s="8">
        <v>1711.16</v>
      </c>
      <c r="V422" s="8">
        <f t="shared" si="104"/>
        <v>1711.16</v>
      </c>
      <c r="W422" s="8" t="str">
        <f t="shared" si="105"/>
        <v>High</v>
      </c>
      <c r="X422" s="15">
        <v>0.151</v>
      </c>
      <c r="Y422" s="15">
        <f t="shared" si="106"/>
        <v>0.151</v>
      </c>
      <c r="Z422" t="str">
        <f t="shared" si="107"/>
        <v>No</v>
      </c>
      <c r="AA422" s="17">
        <v>10</v>
      </c>
      <c r="AB422" s="8">
        <f t="shared" si="108"/>
        <v>14527.748400000002</v>
      </c>
      <c r="AC422" s="8">
        <f t="shared" si="109"/>
        <v>11021.900000000001</v>
      </c>
      <c r="AD422" s="8">
        <f t="shared" si="110"/>
        <v>3505.8484000000008</v>
      </c>
      <c r="AE422" s="15">
        <f t="shared" si="111"/>
        <v>0.24132083675127525</v>
      </c>
      <c r="AF422" s="34">
        <f>MIN(Y422,'Scenario Modeling'!$B$2)</f>
        <v>0.151</v>
      </c>
      <c r="AG422">
        <f>ROUND(AA422 * (1 + 'Scenario Modeling'!$B$4), 0)</f>
        <v>10</v>
      </c>
      <c r="AH422">
        <f>T422 * (1 + 'Scenario Modeling'!$B$3)</f>
        <v>1102.19</v>
      </c>
      <c r="AI422" s="8">
        <f t="shared" si="112"/>
        <v>14527.748400000002</v>
      </c>
      <c r="AJ422" s="8">
        <f t="shared" si="113"/>
        <v>3505.8484000000008</v>
      </c>
    </row>
    <row r="423" spans="1:36">
      <c r="A423" t="s">
        <v>435</v>
      </c>
      <c r="B423" s="4">
        <v>45713</v>
      </c>
      <c r="C423" s="28">
        <v>45713</v>
      </c>
      <c r="D423" s="28" t="str">
        <f t="shared" si="98"/>
        <v>Q1-2025</v>
      </c>
      <c r="E423" s="4">
        <v>45733</v>
      </c>
      <c r="F423" s="4">
        <v>45733</v>
      </c>
      <c r="G423" s="17">
        <f t="shared" si="99"/>
        <v>20</v>
      </c>
      <c r="H423" s="17">
        <f t="shared" si="100"/>
        <v>20</v>
      </c>
      <c r="I423" t="str">
        <f t="shared" si="101"/>
        <v>No</v>
      </c>
      <c r="J423" s="2">
        <f t="shared" si="102"/>
        <v>44939</v>
      </c>
      <c r="K423" t="s">
        <v>648</v>
      </c>
      <c r="L423" t="s">
        <v>660</v>
      </c>
      <c r="M423" t="s">
        <v>686</v>
      </c>
      <c r="N423" t="str">
        <f t="shared" si="103"/>
        <v>Americas - USA - San Francisco</v>
      </c>
      <c r="O423" t="s">
        <v>703</v>
      </c>
      <c r="P423" t="s">
        <v>709</v>
      </c>
      <c r="Q423" t="s">
        <v>722</v>
      </c>
      <c r="R423" t="s">
        <v>730</v>
      </c>
      <c r="S423" t="s">
        <v>1154</v>
      </c>
      <c r="T423" s="6">
        <v>1205.26</v>
      </c>
      <c r="U423" s="8">
        <v>1696.35</v>
      </c>
      <c r="V423" s="8">
        <f t="shared" si="104"/>
        <v>1696.35</v>
      </c>
      <c r="W423" s="8" t="str">
        <f t="shared" si="105"/>
        <v>High</v>
      </c>
      <c r="X423" s="15">
        <v>1.9E-2</v>
      </c>
      <c r="Y423" s="15">
        <f t="shared" si="106"/>
        <v>1.9E-2</v>
      </c>
      <c r="Z423" t="str">
        <f t="shared" si="107"/>
        <v>No</v>
      </c>
      <c r="AA423" s="17">
        <v>6</v>
      </c>
      <c r="AB423" s="8">
        <f t="shared" si="108"/>
        <v>9984.7160999999978</v>
      </c>
      <c r="AC423" s="8">
        <f t="shared" si="109"/>
        <v>7231.5599999999995</v>
      </c>
      <c r="AD423" s="8">
        <f t="shared" si="110"/>
        <v>2753.1560999999983</v>
      </c>
      <c r="AE423" s="15">
        <f t="shared" si="111"/>
        <v>0.27573704374028213</v>
      </c>
      <c r="AF423" s="34">
        <f>MIN(Y423,'Scenario Modeling'!$B$2)</f>
        <v>1.9E-2</v>
      </c>
      <c r="AG423">
        <f>ROUND(AA423 * (1 + 'Scenario Modeling'!$B$4), 0)</f>
        <v>6</v>
      </c>
      <c r="AH423">
        <f>T423 * (1 + 'Scenario Modeling'!$B$3)</f>
        <v>1205.26</v>
      </c>
      <c r="AI423" s="8">
        <f t="shared" si="112"/>
        <v>9984.7160999999978</v>
      </c>
      <c r="AJ423" s="8">
        <f t="shared" si="113"/>
        <v>2753.1560999999983</v>
      </c>
    </row>
    <row r="424" spans="1:36">
      <c r="A424" t="s">
        <v>436</v>
      </c>
      <c r="B424" s="4">
        <v>45841</v>
      </c>
      <c r="C424" s="28">
        <v>45841</v>
      </c>
      <c r="D424" s="28" t="str">
        <f t="shared" si="98"/>
        <v>Q3-2025</v>
      </c>
      <c r="E424" s="4">
        <v>45844</v>
      </c>
      <c r="F424" s="4">
        <v>45844</v>
      </c>
      <c r="G424" s="17">
        <f t="shared" si="99"/>
        <v>3</v>
      </c>
      <c r="H424" s="17">
        <f t="shared" si="100"/>
        <v>3</v>
      </c>
      <c r="I424" t="str">
        <f t="shared" si="101"/>
        <v>Yes</v>
      </c>
      <c r="J424" s="2">
        <f t="shared" si="102"/>
        <v>44941</v>
      </c>
      <c r="K424" t="s">
        <v>646</v>
      </c>
      <c r="L424" t="s">
        <v>651</v>
      </c>
      <c r="M424" t="s">
        <v>665</v>
      </c>
      <c r="N424" t="str">
        <f t="shared" si="103"/>
        <v>Africa - Nigeria - Lagos</v>
      </c>
      <c r="O424" t="s">
        <v>704</v>
      </c>
      <c r="P424" t="s">
        <v>708</v>
      </c>
      <c r="Q424" t="s">
        <v>720</v>
      </c>
      <c r="R424" t="s">
        <v>731</v>
      </c>
      <c r="S424" t="s">
        <v>1155</v>
      </c>
      <c r="T424" s="6">
        <v>1313.3</v>
      </c>
      <c r="U424" s="8">
        <v>2884.34</v>
      </c>
      <c r="V424" s="8">
        <f t="shared" si="104"/>
        <v>2884.34</v>
      </c>
      <c r="W424" s="8" t="str">
        <f t="shared" si="105"/>
        <v>High</v>
      </c>
      <c r="X424" s="15">
        <v>0.157</v>
      </c>
      <c r="Y424" s="15">
        <f t="shared" si="106"/>
        <v>0.157</v>
      </c>
      <c r="Z424" t="str">
        <f t="shared" si="107"/>
        <v>No</v>
      </c>
      <c r="AA424" s="17">
        <v>42</v>
      </c>
      <c r="AB424" s="8">
        <f t="shared" si="108"/>
        <v>102122.94203999999</v>
      </c>
      <c r="AC424" s="8">
        <f t="shared" si="109"/>
        <v>55158.6</v>
      </c>
      <c r="AD424" s="8">
        <f t="shared" si="110"/>
        <v>46964.342039999996</v>
      </c>
      <c r="AE424" s="15">
        <f t="shared" si="111"/>
        <v>0.45988042551305253</v>
      </c>
      <c r="AF424" s="34">
        <f>MIN(Y424,'Scenario Modeling'!$B$2)</f>
        <v>0.157</v>
      </c>
      <c r="AG424">
        <f>ROUND(AA424 * (1 + 'Scenario Modeling'!$B$4), 0)</f>
        <v>42</v>
      </c>
      <c r="AH424">
        <f>T424 * (1 + 'Scenario Modeling'!$B$3)</f>
        <v>1313.3</v>
      </c>
      <c r="AI424" s="8">
        <f t="shared" si="112"/>
        <v>102122.94203999999</v>
      </c>
      <c r="AJ424" s="8">
        <f t="shared" si="113"/>
        <v>46964.342039999996</v>
      </c>
    </row>
    <row r="425" spans="1:36">
      <c r="A425" t="s">
        <v>437</v>
      </c>
      <c r="B425" s="4">
        <v>45915</v>
      </c>
      <c r="C425" s="28">
        <v>45915</v>
      </c>
      <c r="D425" s="28" t="str">
        <f t="shared" si="98"/>
        <v>Q3-2025</v>
      </c>
      <c r="E425" s="4">
        <v>45925</v>
      </c>
      <c r="F425" s="4">
        <v>45925</v>
      </c>
      <c r="G425" s="17">
        <f t="shared" si="99"/>
        <v>10</v>
      </c>
      <c r="H425" s="17">
        <f t="shared" si="100"/>
        <v>10</v>
      </c>
      <c r="I425" t="str">
        <f t="shared" si="101"/>
        <v>No</v>
      </c>
      <c r="J425" s="2">
        <f t="shared" si="102"/>
        <v>44955</v>
      </c>
      <c r="K425" t="s">
        <v>647</v>
      </c>
      <c r="L425" t="s">
        <v>654</v>
      </c>
      <c r="M425" t="s">
        <v>680</v>
      </c>
      <c r="N425" t="str">
        <f t="shared" si="103"/>
        <v>Asia - India - Delhi</v>
      </c>
      <c r="O425" t="s">
        <v>704</v>
      </c>
      <c r="P425" t="s">
        <v>707</v>
      </c>
      <c r="Q425" t="s">
        <v>720</v>
      </c>
      <c r="R425" t="s">
        <v>730</v>
      </c>
      <c r="S425" t="s">
        <v>1156</v>
      </c>
      <c r="T425" s="6">
        <v>1488.91</v>
      </c>
      <c r="U425" s="8">
        <v>1483.74</v>
      </c>
      <c r="V425" s="8">
        <f t="shared" si="104"/>
        <v>1483.74</v>
      </c>
      <c r="W425" s="8" t="str">
        <f t="shared" si="105"/>
        <v>Medium</v>
      </c>
      <c r="X425" s="15">
        <v>0.16800000000000001</v>
      </c>
      <c r="Y425" s="15">
        <f t="shared" si="106"/>
        <v>0.16800000000000001</v>
      </c>
      <c r="Z425" t="str">
        <f t="shared" si="107"/>
        <v>No</v>
      </c>
      <c r="AA425" s="17">
        <v>24</v>
      </c>
      <c r="AB425" s="8">
        <f t="shared" si="108"/>
        <v>29627.320319999999</v>
      </c>
      <c r="AC425" s="8">
        <f t="shared" si="109"/>
        <v>35733.840000000004</v>
      </c>
      <c r="AD425" s="8">
        <f t="shared" si="110"/>
        <v>-6106.5196800000049</v>
      </c>
      <c r="AE425" s="15">
        <f t="shared" si="111"/>
        <v>-0.20611110333450519</v>
      </c>
      <c r="AF425" s="34">
        <f>MIN(Y425,'Scenario Modeling'!$B$2)</f>
        <v>0.16800000000000001</v>
      </c>
      <c r="AG425">
        <f>ROUND(AA425 * (1 + 'Scenario Modeling'!$B$4), 0)</f>
        <v>24</v>
      </c>
      <c r="AH425">
        <f>T425 * (1 + 'Scenario Modeling'!$B$3)</f>
        <v>1488.91</v>
      </c>
      <c r="AI425" s="8">
        <f t="shared" si="112"/>
        <v>29627.320319999999</v>
      </c>
      <c r="AJ425" s="8">
        <f t="shared" si="113"/>
        <v>-6106.5196800000049</v>
      </c>
    </row>
    <row r="426" spans="1:36">
      <c r="A426" t="s">
        <v>438</v>
      </c>
      <c r="B426" s="4">
        <v>45341</v>
      </c>
      <c r="C426" s="28">
        <v>45341</v>
      </c>
      <c r="D426" s="28" t="str">
        <f t="shared" si="98"/>
        <v>Q1-2024</v>
      </c>
      <c r="E426" s="4">
        <v>45357</v>
      </c>
      <c r="F426" s="4">
        <v>45357</v>
      </c>
      <c r="G426" s="17">
        <f t="shared" si="99"/>
        <v>16</v>
      </c>
      <c r="H426" s="17">
        <f t="shared" si="100"/>
        <v>16</v>
      </c>
      <c r="I426" t="str">
        <f t="shared" si="101"/>
        <v>No</v>
      </c>
      <c r="J426" s="2">
        <f t="shared" si="102"/>
        <v>44938</v>
      </c>
      <c r="K426" t="s">
        <v>647</v>
      </c>
      <c r="L426" t="s">
        <v>659</v>
      </c>
      <c r="M426" t="s">
        <v>699</v>
      </c>
      <c r="N426" t="str">
        <f t="shared" si="103"/>
        <v>Asia - China - Beijing</v>
      </c>
      <c r="O426" t="s">
        <v>702</v>
      </c>
      <c r="P426" t="s">
        <v>709</v>
      </c>
      <c r="Q426" t="s">
        <v>719</v>
      </c>
      <c r="R426" t="s">
        <v>728</v>
      </c>
      <c r="S426" t="s">
        <v>1157</v>
      </c>
      <c r="T426" s="6">
        <v>1477.84</v>
      </c>
      <c r="U426" s="8">
        <v>3197.47</v>
      </c>
      <c r="V426" s="8">
        <f t="shared" si="104"/>
        <v>3197.47</v>
      </c>
      <c r="W426" s="8" t="str">
        <f t="shared" si="105"/>
        <v>High</v>
      </c>
      <c r="X426" s="15">
        <v>0.24299999999999999</v>
      </c>
      <c r="Y426" s="15">
        <f t="shared" si="106"/>
        <v>0.24299999999999999</v>
      </c>
      <c r="Z426" t="str">
        <f t="shared" si="107"/>
        <v>Yes</v>
      </c>
      <c r="AA426" s="17">
        <v>24</v>
      </c>
      <c r="AB426" s="8">
        <f t="shared" si="108"/>
        <v>58091.634960000003</v>
      </c>
      <c r="AC426" s="8">
        <f t="shared" si="109"/>
        <v>35468.159999999996</v>
      </c>
      <c r="AD426" s="8">
        <f t="shared" si="110"/>
        <v>22623.474960000007</v>
      </c>
      <c r="AE426" s="15">
        <f t="shared" si="111"/>
        <v>0.38944462443823091</v>
      </c>
      <c r="AF426" s="34">
        <f>MIN(Y426,'Scenario Modeling'!$B$2)</f>
        <v>0.24299999999999999</v>
      </c>
      <c r="AG426">
        <f>ROUND(AA426 * (1 + 'Scenario Modeling'!$B$4), 0)</f>
        <v>24</v>
      </c>
      <c r="AH426">
        <f>T426 * (1 + 'Scenario Modeling'!$B$3)</f>
        <v>1477.84</v>
      </c>
      <c r="AI426" s="8">
        <f t="shared" si="112"/>
        <v>58091.634960000003</v>
      </c>
      <c r="AJ426" s="8">
        <f t="shared" si="113"/>
        <v>22623.474960000007</v>
      </c>
    </row>
    <row r="427" spans="1:36">
      <c r="A427" t="s">
        <v>439</v>
      </c>
      <c r="B427" s="4">
        <v>45349</v>
      </c>
      <c r="C427" s="28">
        <v>45349</v>
      </c>
      <c r="D427" s="28" t="str">
        <f t="shared" si="98"/>
        <v>Q1-2024</v>
      </c>
      <c r="E427" s="4">
        <v>45377</v>
      </c>
      <c r="F427" s="4">
        <v>45377</v>
      </c>
      <c r="G427" s="17">
        <f t="shared" si="99"/>
        <v>28</v>
      </c>
      <c r="H427" s="17">
        <f t="shared" si="100"/>
        <v>28</v>
      </c>
      <c r="I427" t="str">
        <f t="shared" si="101"/>
        <v>No</v>
      </c>
      <c r="J427" s="2">
        <f t="shared" si="102"/>
        <v>44955</v>
      </c>
      <c r="K427" t="s">
        <v>647</v>
      </c>
      <c r="L427" t="s">
        <v>654</v>
      </c>
      <c r="M427" t="s">
        <v>691</v>
      </c>
      <c r="N427" t="str">
        <f t="shared" si="103"/>
        <v>Asia - India - Mumbai</v>
      </c>
      <c r="O427" t="s">
        <v>702</v>
      </c>
      <c r="P427" t="s">
        <v>709</v>
      </c>
      <c r="Q427" t="s">
        <v>715</v>
      </c>
      <c r="R427" t="s">
        <v>731</v>
      </c>
      <c r="S427" t="s">
        <v>1158</v>
      </c>
      <c r="T427" s="6">
        <v>1035.19</v>
      </c>
      <c r="U427" s="8">
        <v>2322.6999999999998</v>
      </c>
      <c r="V427" s="8">
        <f t="shared" si="104"/>
        <v>2322.6999999999998</v>
      </c>
      <c r="W427" s="8" t="str">
        <f t="shared" si="105"/>
        <v>High</v>
      </c>
      <c r="X427" s="15">
        <v>0.17299999999999999</v>
      </c>
      <c r="Y427" s="15">
        <f t="shared" si="106"/>
        <v>0.17299999999999999</v>
      </c>
      <c r="Z427" t="str">
        <f t="shared" si="107"/>
        <v>No</v>
      </c>
      <c r="AA427" s="17">
        <v>8</v>
      </c>
      <c r="AB427" s="8">
        <f t="shared" si="108"/>
        <v>15366.983199999999</v>
      </c>
      <c r="AC427" s="8">
        <f t="shared" si="109"/>
        <v>8281.52</v>
      </c>
      <c r="AD427" s="8">
        <f t="shared" si="110"/>
        <v>7085.4631999999983</v>
      </c>
      <c r="AE427" s="15">
        <f t="shared" si="111"/>
        <v>0.46108355217047409</v>
      </c>
      <c r="AF427" s="34">
        <f>MIN(Y427,'Scenario Modeling'!$B$2)</f>
        <v>0.17299999999999999</v>
      </c>
      <c r="AG427">
        <f>ROUND(AA427 * (1 + 'Scenario Modeling'!$B$4), 0)</f>
        <v>8</v>
      </c>
      <c r="AH427">
        <f>T427 * (1 + 'Scenario Modeling'!$B$3)</f>
        <v>1035.19</v>
      </c>
      <c r="AI427" s="8">
        <f t="shared" si="112"/>
        <v>15366.983199999999</v>
      </c>
      <c r="AJ427" s="8">
        <f t="shared" si="113"/>
        <v>7085.4631999999983</v>
      </c>
    </row>
    <row r="428" spans="1:36">
      <c r="A428" t="s">
        <v>440</v>
      </c>
      <c r="B428" s="4">
        <v>45897</v>
      </c>
      <c r="C428" s="28">
        <v>45897</v>
      </c>
      <c r="D428" s="28" t="str">
        <f t="shared" si="98"/>
        <v>Q3-2025</v>
      </c>
      <c r="E428" s="4">
        <v>45905</v>
      </c>
      <c r="F428" s="4">
        <v>45905</v>
      </c>
      <c r="G428" s="17">
        <f t="shared" si="99"/>
        <v>8</v>
      </c>
      <c r="H428" s="17">
        <f t="shared" si="100"/>
        <v>8</v>
      </c>
      <c r="I428" t="str">
        <f t="shared" si="101"/>
        <v>No</v>
      </c>
      <c r="J428" s="2">
        <f t="shared" si="102"/>
        <v>44941</v>
      </c>
      <c r="K428" t="s">
        <v>646</v>
      </c>
      <c r="L428" t="s">
        <v>651</v>
      </c>
      <c r="M428" t="s">
        <v>663</v>
      </c>
      <c r="N428" t="str">
        <f t="shared" si="103"/>
        <v>Africa - Nigeria - Port Harcourt</v>
      </c>
      <c r="O428" t="s">
        <v>705</v>
      </c>
      <c r="P428" t="s">
        <v>709</v>
      </c>
      <c r="Q428" t="s">
        <v>718</v>
      </c>
      <c r="R428" t="s">
        <v>731</v>
      </c>
      <c r="S428" t="s">
        <v>1159</v>
      </c>
      <c r="T428" s="6">
        <v>1271.0999999999999</v>
      </c>
      <c r="U428" s="8">
        <v>1932.42</v>
      </c>
      <c r="V428" s="8">
        <f t="shared" si="104"/>
        <v>1932.42</v>
      </c>
      <c r="W428" s="8" t="str">
        <f t="shared" si="105"/>
        <v>High</v>
      </c>
      <c r="X428" s="15">
        <v>0.25</v>
      </c>
      <c r="Y428" s="15">
        <f t="shared" si="106"/>
        <v>0.25</v>
      </c>
      <c r="Z428" t="str">
        <f t="shared" si="107"/>
        <v>Yes</v>
      </c>
      <c r="AA428" s="17">
        <v>21</v>
      </c>
      <c r="AB428" s="8">
        <f t="shared" si="108"/>
        <v>30435.614999999998</v>
      </c>
      <c r="AC428" s="8">
        <f t="shared" si="109"/>
        <v>26693.1</v>
      </c>
      <c r="AD428" s="8">
        <f t="shared" si="110"/>
        <v>3742.5149999999994</v>
      </c>
      <c r="AE428" s="15">
        <f t="shared" si="111"/>
        <v>0.12296498690760807</v>
      </c>
      <c r="AF428" s="34">
        <f>MIN(Y428,'Scenario Modeling'!$B$2)</f>
        <v>0.25</v>
      </c>
      <c r="AG428">
        <f>ROUND(AA428 * (1 + 'Scenario Modeling'!$B$4), 0)</f>
        <v>21</v>
      </c>
      <c r="AH428">
        <f>T428 * (1 + 'Scenario Modeling'!$B$3)</f>
        <v>1271.0999999999999</v>
      </c>
      <c r="AI428" s="8">
        <f t="shared" si="112"/>
        <v>30435.614999999998</v>
      </c>
      <c r="AJ428" s="8">
        <f t="shared" si="113"/>
        <v>3742.5149999999994</v>
      </c>
    </row>
    <row r="429" spans="1:36">
      <c r="A429" t="s">
        <v>441</v>
      </c>
      <c r="B429" s="4">
        <v>45522</v>
      </c>
      <c r="C429" s="28">
        <v>45522</v>
      </c>
      <c r="D429" s="28" t="str">
        <f t="shared" si="98"/>
        <v>Q3-2024</v>
      </c>
      <c r="E429" s="4">
        <v>45547</v>
      </c>
      <c r="F429" s="4">
        <v>45547</v>
      </c>
      <c r="G429" s="17">
        <f t="shared" si="99"/>
        <v>25</v>
      </c>
      <c r="H429" s="17">
        <f t="shared" si="100"/>
        <v>25</v>
      </c>
      <c r="I429" t="str">
        <f t="shared" si="101"/>
        <v>No</v>
      </c>
      <c r="J429" s="2">
        <f t="shared" si="102"/>
        <v>44955</v>
      </c>
      <c r="K429" t="s">
        <v>647</v>
      </c>
      <c r="L429" t="s">
        <v>654</v>
      </c>
      <c r="M429" t="s">
        <v>691</v>
      </c>
      <c r="N429" t="str">
        <f t="shared" si="103"/>
        <v>Asia - India - Mumbai</v>
      </c>
      <c r="O429" t="s">
        <v>704</v>
      </c>
      <c r="P429" t="s">
        <v>709</v>
      </c>
      <c r="Q429" t="s">
        <v>712</v>
      </c>
      <c r="R429" t="s">
        <v>730</v>
      </c>
      <c r="S429" t="s">
        <v>1160</v>
      </c>
      <c r="T429" s="6">
        <v>1154.03</v>
      </c>
      <c r="U429" s="8">
        <v>1590.36</v>
      </c>
      <c r="V429" s="8">
        <f t="shared" si="104"/>
        <v>1590.36</v>
      </c>
      <c r="W429" s="8" t="str">
        <f t="shared" si="105"/>
        <v>Medium</v>
      </c>
      <c r="X429" s="15">
        <v>0.314</v>
      </c>
      <c r="Y429" s="15">
        <f t="shared" si="106"/>
        <v>0.11861439999999995</v>
      </c>
      <c r="Z429" t="str">
        <f t="shared" si="107"/>
        <v>No</v>
      </c>
      <c r="AA429" s="17">
        <v>18</v>
      </c>
      <c r="AB429" s="8">
        <f t="shared" si="108"/>
        <v>25230.967250687998</v>
      </c>
      <c r="AC429" s="8">
        <f t="shared" si="109"/>
        <v>20772.54</v>
      </c>
      <c r="AD429" s="8">
        <f t="shared" si="110"/>
        <v>4458.427250687997</v>
      </c>
      <c r="AE429" s="15">
        <f t="shared" si="111"/>
        <v>0.17670457126713701</v>
      </c>
      <c r="AF429" s="34">
        <f>MIN(Y429,'Scenario Modeling'!$B$2)</f>
        <v>0.11861439999999995</v>
      </c>
      <c r="AG429">
        <f>ROUND(AA429 * (1 + 'Scenario Modeling'!$B$4), 0)</f>
        <v>18</v>
      </c>
      <c r="AH429">
        <f>T429 * (1 + 'Scenario Modeling'!$B$3)</f>
        <v>1154.03</v>
      </c>
      <c r="AI429" s="8">
        <f t="shared" si="112"/>
        <v>25230.967250687998</v>
      </c>
      <c r="AJ429" s="8">
        <f t="shared" si="113"/>
        <v>4458.427250687997</v>
      </c>
    </row>
    <row r="430" spans="1:36">
      <c r="A430" t="s">
        <v>442</v>
      </c>
      <c r="B430" s="4">
        <v>45347</v>
      </c>
      <c r="C430" s="28">
        <v>45347</v>
      </c>
      <c r="D430" s="28" t="str">
        <f t="shared" si="98"/>
        <v>Q1-2024</v>
      </c>
      <c r="E430" s="4">
        <v>45360</v>
      </c>
      <c r="F430" s="4">
        <v>45360</v>
      </c>
      <c r="G430" s="17">
        <f t="shared" si="99"/>
        <v>13</v>
      </c>
      <c r="H430" s="17">
        <f t="shared" si="100"/>
        <v>13</v>
      </c>
      <c r="I430" t="str">
        <f t="shared" si="101"/>
        <v>No</v>
      </c>
      <c r="J430" s="2">
        <f t="shared" si="102"/>
        <v>44936</v>
      </c>
      <c r="K430" t="s">
        <v>649</v>
      </c>
      <c r="L430" t="s">
        <v>657</v>
      </c>
      <c r="M430" t="s">
        <v>673</v>
      </c>
      <c r="N430" t="str">
        <f t="shared" si="103"/>
        <v>Europe - France - Marseille</v>
      </c>
      <c r="O430" t="s">
        <v>705</v>
      </c>
      <c r="P430" t="s">
        <v>710</v>
      </c>
      <c r="Q430" t="s">
        <v>718</v>
      </c>
      <c r="R430" t="s">
        <v>732</v>
      </c>
      <c r="S430" t="s">
        <v>1161</v>
      </c>
      <c r="T430" s="6">
        <v>322.44</v>
      </c>
      <c r="U430" s="8">
        <v>395.61</v>
      </c>
      <c r="V430" s="8">
        <f t="shared" si="104"/>
        <v>395.61</v>
      </c>
      <c r="W430" s="8" t="str">
        <f t="shared" si="105"/>
        <v>Low</v>
      </c>
      <c r="X430" s="15">
        <v>0</v>
      </c>
      <c r="Y430" s="15">
        <f t="shared" si="106"/>
        <v>0</v>
      </c>
      <c r="Z430" t="str">
        <f t="shared" si="107"/>
        <v>No</v>
      </c>
      <c r="AA430" s="17">
        <v>34</v>
      </c>
      <c r="AB430" s="8">
        <f t="shared" si="108"/>
        <v>13450.74</v>
      </c>
      <c r="AC430" s="8">
        <f t="shared" si="109"/>
        <v>10962.96</v>
      </c>
      <c r="AD430" s="8">
        <f t="shared" si="110"/>
        <v>2487.7800000000007</v>
      </c>
      <c r="AE430" s="15">
        <f t="shared" si="111"/>
        <v>0.18495487980586947</v>
      </c>
      <c r="AF430" s="34">
        <f>MIN(Y430,'Scenario Modeling'!$B$2)</f>
        <v>0</v>
      </c>
      <c r="AG430">
        <f>ROUND(AA430 * (1 + 'Scenario Modeling'!$B$4), 0)</f>
        <v>34</v>
      </c>
      <c r="AH430">
        <f>T430 * (1 + 'Scenario Modeling'!$B$3)</f>
        <v>322.44</v>
      </c>
      <c r="AI430" s="8">
        <f t="shared" si="112"/>
        <v>13450.74</v>
      </c>
      <c r="AJ430" s="8">
        <f t="shared" si="113"/>
        <v>2487.7800000000007</v>
      </c>
    </row>
    <row r="431" spans="1:36">
      <c r="A431" t="s">
        <v>443</v>
      </c>
      <c r="B431" s="4">
        <v>45784</v>
      </c>
      <c r="C431" s="28">
        <v>45784</v>
      </c>
      <c r="D431" s="28" t="str">
        <f t="shared" si="98"/>
        <v>Q2-2025</v>
      </c>
      <c r="E431" s="4">
        <v>45790</v>
      </c>
      <c r="F431" s="4">
        <v>45790</v>
      </c>
      <c r="G431" s="17">
        <f t="shared" si="99"/>
        <v>6</v>
      </c>
      <c r="H431" s="17">
        <f t="shared" si="100"/>
        <v>6</v>
      </c>
      <c r="I431" t="str">
        <f t="shared" si="101"/>
        <v>Yes</v>
      </c>
      <c r="J431" s="2">
        <f t="shared" si="102"/>
        <v>44955</v>
      </c>
      <c r="K431" t="s">
        <v>647</v>
      </c>
      <c r="L431" t="s">
        <v>654</v>
      </c>
      <c r="M431" t="s">
        <v>668</v>
      </c>
      <c r="N431" t="str">
        <f t="shared" si="103"/>
        <v>Asia - India - Bengaluru</v>
      </c>
      <c r="O431" t="s">
        <v>706</v>
      </c>
      <c r="P431" t="s">
        <v>711</v>
      </c>
      <c r="Q431" t="s">
        <v>713</v>
      </c>
      <c r="R431" t="s">
        <v>730</v>
      </c>
      <c r="S431" t="s">
        <v>1162</v>
      </c>
      <c r="T431" s="6">
        <v>935.98</v>
      </c>
      <c r="U431" s="8">
        <v>2077.69</v>
      </c>
      <c r="V431" s="8">
        <f t="shared" si="104"/>
        <v>2077.69</v>
      </c>
      <c r="W431" s="8" t="str">
        <f t="shared" si="105"/>
        <v>High</v>
      </c>
      <c r="X431" s="15">
        <v>0.17499999999999999</v>
      </c>
      <c r="Y431" s="15">
        <f t="shared" si="106"/>
        <v>0.17499999999999999</v>
      </c>
      <c r="Z431" t="str">
        <f t="shared" si="107"/>
        <v>No</v>
      </c>
      <c r="AA431" s="17">
        <v>24</v>
      </c>
      <c r="AB431" s="8">
        <f t="shared" si="108"/>
        <v>41138.261999999995</v>
      </c>
      <c r="AC431" s="8">
        <f t="shared" si="109"/>
        <v>22463.52</v>
      </c>
      <c r="AD431" s="8">
        <f t="shared" si="110"/>
        <v>18674.741999999995</v>
      </c>
      <c r="AE431" s="15">
        <f t="shared" si="111"/>
        <v>0.45395067978321491</v>
      </c>
      <c r="AF431" s="34">
        <f>MIN(Y431,'Scenario Modeling'!$B$2)</f>
        <v>0.17499999999999999</v>
      </c>
      <c r="AG431">
        <f>ROUND(AA431 * (1 + 'Scenario Modeling'!$B$4), 0)</f>
        <v>24</v>
      </c>
      <c r="AH431">
        <f>T431 * (1 + 'Scenario Modeling'!$B$3)</f>
        <v>935.98</v>
      </c>
      <c r="AI431" s="8">
        <f t="shared" si="112"/>
        <v>41138.261999999995</v>
      </c>
      <c r="AJ431" s="8">
        <f t="shared" si="113"/>
        <v>18674.741999999995</v>
      </c>
    </row>
    <row r="432" spans="1:36">
      <c r="A432" t="s">
        <v>444</v>
      </c>
      <c r="B432" s="4">
        <v>45597</v>
      </c>
      <c r="C432" s="28">
        <v>45597</v>
      </c>
      <c r="D432" s="28" t="str">
        <f t="shared" si="98"/>
        <v>Q4-2024</v>
      </c>
      <c r="E432" s="4">
        <v>45608</v>
      </c>
      <c r="F432" s="4">
        <v>45608</v>
      </c>
      <c r="G432" s="17">
        <f t="shared" si="99"/>
        <v>11</v>
      </c>
      <c r="H432" s="17">
        <f t="shared" si="100"/>
        <v>11</v>
      </c>
      <c r="I432" t="str">
        <f t="shared" si="101"/>
        <v>No</v>
      </c>
      <c r="J432" s="2">
        <f t="shared" si="102"/>
        <v>44948</v>
      </c>
      <c r="K432" t="s">
        <v>649</v>
      </c>
      <c r="L432" t="s">
        <v>656</v>
      </c>
      <c r="M432" t="s">
        <v>698</v>
      </c>
      <c r="N432" t="str">
        <f t="shared" si="103"/>
        <v>Europe - Germany - Frankfurt</v>
      </c>
      <c r="O432" t="s">
        <v>704</v>
      </c>
      <c r="P432" t="s">
        <v>708</v>
      </c>
      <c r="Q432" t="s">
        <v>717</v>
      </c>
      <c r="R432" t="s">
        <v>728</v>
      </c>
      <c r="S432" t="s">
        <v>1163</v>
      </c>
      <c r="T432" s="6">
        <v>599.84</v>
      </c>
      <c r="U432" s="8">
        <v>1330.85</v>
      </c>
      <c r="V432" s="8">
        <f t="shared" si="104"/>
        <v>1330.85</v>
      </c>
      <c r="W432" s="8" t="str">
        <f t="shared" si="105"/>
        <v>Medium</v>
      </c>
      <c r="X432" s="15">
        <v>0.115</v>
      </c>
      <c r="Y432" s="15">
        <f t="shared" si="106"/>
        <v>0.115</v>
      </c>
      <c r="Z432" t="str">
        <f t="shared" si="107"/>
        <v>No</v>
      </c>
      <c r="AA432" s="17">
        <v>11</v>
      </c>
      <c r="AB432" s="8">
        <f t="shared" si="108"/>
        <v>12955.824749999998</v>
      </c>
      <c r="AC432" s="8">
        <f t="shared" si="109"/>
        <v>6598.2400000000007</v>
      </c>
      <c r="AD432" s="8">
        <f t="shared" si="110"/>
        <v>6357.5847499999973</v>
      </c>
      <c r="AE432" s="15">
        <f t="shared" si="111"/>
        <v>0.49071246892252063</v>
      </c>
      <c r="AF432" s="34">
        <f>MIN(Y432,'Scenario Modeling'!$B$2)</f>
        <v>0.115</v>
      </c>
      <c r="AG432">
        <f>ROUND(AA432 * (1 + 'Scenario Modeling'!$B$4), 0)</f>
        <v>11</v>
      </c>
      <c r="AH432">
        <f>T432 * (1 + 'Scenario Modeling'!$B$3)</f>
        <v>599.84</v>
      </c>
      <c r="AI432" s="8">
        <f t="shared" si="112"/>
        <v>12955.824749999998</v>
      </c>
      <c r="AJ432" s="8">
        <f t="shared" si="113"/>
        <v>6357.5847499999973</v>
      </c>
    </row>
    <row r="433" spans="1:36">
      <c r="A433" t="s">
        <v>445</v>
      </c>
      <c r="B433" s="4">
        <v>45654</v>
      </c>
      <c r="C433" s="28">
        <v>45654</v>
      </c>
      <c r="D433" s="28" t="str">
        <f t="shared" si="98"/>
        <v>Q4-2024</v>
      </c>
      <c r="E433" s="4">
        <v>45665</v>
      </c>
      <c r="F433" s="4">
        <v>45665</v>
      </c>
      <c r="G433" s="17">
        <f t="shared" si="99"/>
        <v>11</v>
      </c>
      <c r="H433" s="17">
        <f t="shared" si="100"/>
        <v>11</v>
      </c>
      <c r="I433" t="str">
        <f t="shared" si="101"/>
        <v>No</v>
      </c>
      <c r="J433" s="2">
        <f t="shared" si="102"/>
        <v>44938</v>
      </c>
      <c r="K433" t="s">
        <v>647</v>
      </c>
      <c r="L433" t="s">
        <v>659</v>
      </c>
      <c r="M433" t="s">
        <v>676</v>
      </c>
      <c r="N433" t="str">
        <f t="shared" si="103"/>
        <v>Asia - China - Shenzhen</v>
      </c>
      <c r="O433" t="s">
        <v>706</v>
      </c>
      <c r="P433" t="s">
        <v>708</v>
      </c>
      <c r="Q433" t="s">
        <v>723</v>
      </c>
      <c r="R433" t="s">
        <v>731</v>
      </c>
      <c r="S433" t="s">
        <v>1164</v>
      </c>
      <c r="T433" s="6">
        <v>1201.31</v>
      </c>
      <c r="U433" s="8">
        <v>2764.65</v>
      </c>
      <c r="V433" s="8">
        <f t="shared" si="104"/>
        <v>2764.65</v>
      </c>
      <c r="W433" s="8" t="str">
        <f t="shared" si="105"/>
        <v>High</v>
      </c>
      <c r="X433" s="15">
        <v>0</v>
      </c>
      <c r="Y433" s="15">
        <f t="shared" si="106"/>
        <v>0</v>
      </c>
      <c r="Z433" t="str">
        <f t="shared" si="107"/>
        <v>No</v>
      </c>
      <c r="AA433" s="17">
        <v>21</v>
      </c>
      <c r="AB433" s="8">
        <f t="shared" si="108"/>
        <v>58057.65</v>
      </c>
      <c r="AC433" s="8">
        <f t="shared" si="109"/>
        <v>25227.51</v>
      </c>
      <c r="AD433" s="8">
        <f t="shared" si="110"/>
        <v>32830.14</v>
      </c>
      <c r="AE433" s="15">
        <f t="shared" si="111"/>
        <v>0.56547483406579491</v>
      </c>
      <c r="AF433" s="34">
        <f>MIN(Y433,'Scenario Modeling'!$B$2)</f>
        <v>0</v>
      </c>
      <c r="AG433">
        <f>ROUND(AA433 * (1 + 'Scenario Modeling'!$B$4), 0)</f>
        <v>21</v>
      </c>
      <c r="AH433">
        <f>T433 * (1 + 'Scenario Modeling'!$B$3)</f>
        <v>1201.31</v>
      </c>
      <c r="AI433" s="8">
        <f t="shared" si="112"/>
        <v>58057.65</v>
      </c>
      <c r="AJ433" s="8">
        <f t="shared" si="113"/>
        <v>32830.14</v>
      </c>
    </row>
    <row r="434" spans="1:36">
      <c r="A434" t="s">
        <v>446</v>
      </c>
      <c r="B434" s="4">
        <v>45220</v>
      </c>
      <c r="C434" s="28">
        <v>45220</v>
      </c>
      <c r="D434" s="28" t="str">
        <f t="shared" si="98"/>
        <v>Q4-2023</v>
      </c>
      <c r="E434" s="4">
        <v>45220</v>
      </c>
      <c r="F434" s="4">
        <v>45220</v>
      </c>
      <c r="G434" s="17">
        <f t="shared" si="99"/>
        <v>0</v>
      </c>
      <c r="H434" s="17">
        <f t="shared" si="100"/>
        <v>0</v>
      </c>
      <c r="I434" t="str">
        <f t="shared" si="101"/>
        <v>Yes</v>
      </c>
      <c r="J434" s="2">
        <f t="shared" si="102"/>
        <v>44945</v>
      </c>
      <c r="K434" t="s">
        <v>649</v>
      </c>
      <c r="L434" t="s">
        <v>658</v>
      </c>
      <c r="M434" t="s">
        <v>693</v>
      </c>
      <c r="N434" t="str">
        <f t="shared" si="103"/>
        <v>Europe - United Kingdom - Manchester</v>
      </c>
      <c r="O434" t="s">
        <v>706</v>
      </c>
      <c r="P434" t="s">
        <v>710</v>
      </c>
      <c r="Q434" t="s">
        <v>713</v>
      </c>
      <c r="R434" t="s">
        <v>732</v>
      </c>
      <c r="S434" t="s">
        <v>1165</v>
      </c>
      <c r="T434" s="6">
        <v>384.19</v>
      </c>
      <c r="U434" s="8">
        <v>278.35000000000002</v>
      </c>
      <c r="V434" s="8">
        <f t="shared" si="104"/>
        <v>278.35000000000002</v>
      </c>
      <c r="W434" s="8" t="str">
        <f t="shared" si="105"/>
        <v>Low</v>
      </c>
      <c r="X434" s="15">
        <v>5.6000000000000001E-2</v>
      </c>
      <c r="Y434" s="15">
        <f t="shared" si="106"/>
        <v>5.6000000000000001E-2</v>
      </c>
      <c r="Z434" t="str">
        <f t="shared" si="107"/>
        <v>No</v>
      </c>
      <c r="AA434" s="17">
        <v>10</v>
      </c>
      <c r="AB434" s="8">
        <f t="shared" si="108"/>
        <v>2627.6239999999998</v>
      </c>
      <c r="AC434" s="8">
        <f t="shared" si="109"/>
        <v>3841.9</v>
      </c>
      <c r="AD434" s="8">
        <f t="shared" si="110"/>
        <v>-1214.2760000000003</v>
      </c>
      <c r="AE434" s="15">
        <f t="shared" si="111"/>
        <v>-0.46211938998882657</v>
      </c>
      <c r="AF434" s="34">
        <f>MIN(Y434,'Scenario Modeling'!$B$2)</f>
        <v>5.6000000000000001E-2</v>
      </c>
      <c r="AG434">
        <f>ROUND(AA434 * (1 + 'Scenario Modeling'!$B$4), 0)</f>
        <v>10</v>
      </c>
      <c r="AH434">
        <f>T434 * (1 + 'Scenario Modeling'!$B$3)</f>
        <v>384.19</v>
      </c>
      <c r="AI434" s="8">
        <f t="shared" si="112"/>
        <v>2627.6239999999998</v>
      </c>
      <c r="AJ434" s="8">
        <f t="shared" si="113"/>
        <v>-1214.2760000000003</v>
      </c>
    </row>
    <row r="435" spans="1:36">
      <c r="A435" t="s">
        <v>447</v>
      </c>
      <c r="B435" s="4">
        <v>45636</v>
      </c>
      <c r="C435" s="28">
        <v>45636</v>
      </c>
      <c r="D435" s="28" t="str">
        <f t="shared" si="98"/>
        <v>Q4-2024</v>
      </c>
      <c r="E435" s="4">
        <v>45645</v>
      </c>
      <c r="F435" s="4">
        <v>45645</v>
      </c>
      <c r="G435" s="17">
        <f t="shared" si="99"/>
        <v>9</v>
      </c>
      <c r="H435" s="17">
        <f t="shared" si="100"/>
        <v>9</v>
      </c>
      <c r="I435" t="str">
        <f t="shared" si="101"/>
        <v>No</v>
      </c>
      <c r="J435" s="2">
        <f t="shared" si="102"/>
        <v>44941</v>
      </c>
      <c r="K435" t="s">
        <v>646</v>
      </c>
      <c r="L435" t="s">
        <v>651</v>
      </c>
      <c r="M435" t="s">
        <v>665</v>
      </c>
      <c r="N435" t="str">
        <f t="shared" si="103"/>
        <v>Africa - Nigeria - Lagos</v>
      </c>
      <c r="O435" t="s">
        <v>701</v>
      </c>
      <c r="P435" t="s">
        <v>707</v>
      </c>
      <c r="Q435" t="s">
        <v>719</v>
      </c>
      <c r="R435" t="s">
        <v>732</v>
      </c>
      <c r="S435" t="s">
        <v>1166</v>
      </c>
      <c r="T435" s="6">
        <v>488.68</v>
      </c>
      <c r="U435" s="8">
        <v>984.36</v>
      </c>
      <c r="V435" s="8">
        <f t="shared" si="104"/>
        <v>984.36</v>
      </c>
      <c r="W435" s="8" t="str">
        <f t="shared" si="105"/>
        <v>Medium</v>
      </c>
      <c r="X435" s="15">
        <v>5.8999999999999997E-2</v>
      </c>
      <c r="Y435" s="15">
        <f t="shared" si="106"/>
        <v>5.8999999999999997E-2</v>
      </c>
      <c r="Z435" t="str">
        <f t="shared" si="107"/>
        <v>No</v>
      </c>
      <c r="AA435" s="17">
        <v>14</v>
      </c>
      <c r="AB435" s="8">
        <f t="shared" si="108"/>
        <v>12967.958640000001</v>
      </c>
      <c r="AC435" s="8">
        <f t="shared" si="109"/>
        <v>6841.52</v>
      </c>
      <c r="AD435" s="8">
        <f t="shared" si="110"/>
        <v>6126.4386400000003</v>
      </c>
      <c r="AE435" s="15">
        <f t="shared" si="111"/>
        <v>0.47242891576649876</v>
      </c>
      <c r="AF435" s="34">
        <f>MIN(Y435,'Scenario Modeling'!$B$2)</f>
        <v>5.8999999999999997E-2</v>
      </c>
      <c r="AG435">
        <f>ROUND(AA435 * (1 + 'Scenario Modeling'!$B$4), 0)</f>
        <v>14</v>
      </c>
      <c r="AH435">
        <f>T435 * (1 + 'Scenario Modeling'!$B$3)</f>
        <v>488.68</v>
      </c>
      <c r="AI435" s="8">
        <f t="shared" si="112"/>
        <v>12967.958640000001</v>
      </c>
      <c r="AJ435" s="8">
        <f t="shared" si="113"/>
        <v>6126.4386400000003</v>
      </c>
    </row>
    <row r="436" spans="1:36">
      <c r="A436" t="s">
        <v>448</v>
      </c>
      <c r="B436" s="4">
        <v>45542</v>
      </c>
      <c r="C436" s="28">
        <v>45542</v>
      </c>
      <c r="D436" s="28" t="str">
        <f t="shared" si="98"/>
        <v>Q3-2024</v>
      </c>
      <c r="E436" s="4">
        <v>45553</v>
      </c>
      <c r="F436" s="4">
        <v>45553</v>
      </c>
      <c r="G436" s="17">
        <f t="shared" si="99"/>
        <v>11</v>
      </c>
      <c r="H436" s="17">
        <f t="shared" si="100"/>
        <v>11</v>
      </c>
      <c r="I436" t="str">
        <f t="shared" si="101"/>
        <v>No</v>
      </c>
      <c r="J436" s="2">
        <f t="shared" si="102"/>
        <v>44938</v>
      </c>
      <c r="K436" t="s">
        <v>647</v>
      </c>
      <c r="L436" t="s">
        <v>659</v>
      </c>
      <c r="M436" t="s">
        <v>699</v>
      </c>
      <c r="N436" t="str">
        <f t="shared" si="103"/>
        <v>Asia - China - Beijing</v>
      </c>
      <c r="O436" t="s">
        <v>704</v>
      </c>
      <c r="P436" t="s">
        <v>710</v>
      </c>
      <c r="Q436" t="s">
        <v>719</v>
      </c>
      <c r="R436" t="s">
        <v>729</v>
      </c>
      <c r="S436" t="s">
        <v>1167</v>
      </c>
      <c r="T436" s="6">
        <v>181.74</v>
      </c>
      <c r="U436" s="8">
        <v>190.84</v>
      </c>
      <c r="V436" s="8">
        <f t="shared" si="104"/>
        <v>190.84</v>
      </c>
      <c r="W436" s="8" t="str">
        <f t="shared" si="105"/>
        <v>Low</v>
      </c>
      <c r="X436" s="15">
        <v>0.214</v>
      </c>
      <c r="Y436" s="15">
        <f t="shared" si="106"/>
        <v>0.214</v>
      </c>
      <c r="Z436" t="str">
        <f t="shared" si="107"/>
        <v>Yes</v>
      </c>
      <c r="AA436" s="17">
        <v>13</v>
      </c>
      <c r="AB436" s="8">
        <f t="shared" si="108"/>
        <v>1950.0031200000001</v>
      </c>
      <c r="AC436" s="8">
        <f t="shared" si="109"/>
        <v>2362.62</v>
      </c>
      <c r="AD436" s="8">
        <f t="shared" si="110"/>
        <v>-412.61687999999981</v>
      </c>
      <c r="AE436" s="15">
        <f t="shared" si="111"/>
        <v>-0.21159806144310159</v>
      </c>
      <c r="AF436" s="34">
        <f>MIN(Y436,'Scenario Modeling'!$B$2)</f>
        <v>0.214</v>
      </c>
      <c r="AG436">
        <f>ROUND(AA436 * (1 + 'Scenario Modeling'!$B$4), 0)</f>
        <v>13</v>
      </c>
      <c r="AH436">
        <f>T436 * (1 + 'Scenario Modeling'!$B$3)</f>
        <v>181.74</v>
      </c>
      <c r="AI436" s="8">
        <f t="shared" si="112"/>
        <v>1950.0031200000001</v>
      </c>
      <c r="AJ436" s="8">
        <f t="shared" si="113"/>
        <v>-412.61687999999981</v>
      </c>
    </row>
    <row r="437" spans="1:36">
      <c r="A437" t="s">
        <v>449</v>
      </c>
      <c r="B437" s="4">
        <v>45217</v>
      </c>
      <c r="C437" s="28">
        <v>45217</v>
      </c>
      <c r="D437" s="28" t="str">
        <f t="shared" si="98"/>
        <v>Q4-2023</v>
      </c>
      <c r="E437" s="4">
        <v>45219</v>
      </c>
      <c r="F437" s="4">
        <v>45219</v>
      </c>
      <c r="G437" s="17">
        <f t="shared" si="99"/>
        <v>2</v>
      </c>
      <c r="H437" s="17">
        <f t="shared" si="100"/>
        <v>2</v>
      </c>
      <c r="I437" t="str">
        <f t="shared" si="101"/>
        <v>Yes</v>
      </c>
      <c r="J437" s="2">
        <f t="shared" si="102"/>
        <v>44946</v>
      </c>
      <c r="K437" t="s">
        <v>646</v>
      </c>
      <c r="L437" t="s">
        <v>650</v>
      </c>
      <c r="M437" t="s">
        <v>662</v>
      </c>
      <c r="N437" t="str">
        <f t="shared" si="103"/>
        <v>Africa - Kenya - Kisumu</v>
      </c>
      <c r="O437" t="s">
        <v>704</v>
      </c>
      <c r="P437" t="s">
        <v>707</v>
      </c>
      <c r="Q437" t="s">
        <v>713</v>
      </c>
      <c r="R437" t="s">
        <v>730</v>
      </c>
      <c r="S437" t="s">
        <v>1168</v>
      </c>
      <c r="T437" s="6">
        <v>774.12</v>
      </c>
      <c r="U437" s="8">
        <v>908.3</v>
      </c>
      <c r="V437" s="8">
        <f t="shared" si="104"/>
        <v>908.3</v>
      </c>
      <c r="W437" s="8" t="str">
        <f t="shared" si="105"/>
        <v>Medium</v>
      </c>
      <c r="X437" s="15">
        <v>0</v>
      </c>
      <c r="Y437" s="15">
        <f t="shared" si="106"/>
        <v>0</v>
      </c>
      <c r="Z437" t="str">
        <f t="shared" si="107"/>
        <v>No</v>
      </c>
      <c r="AA437" s="17">
        <v>30</v>
      </c>
      <c r="AB437" s="8">
        <f t="shared" si="108"/>
        <v>27249</v>
      </c>
      <c r="AC437" s="8">
        <f t="shared" si="109"/>
        <v>23223.599999999999</v>
      </c>
      <c r="AD437" s="8">
        <f t="shared" si="110"/>
        <v>4025.4000000000015</v>
      </c>
      <c r="AE437" s="15">
        <f t="shared" si="111"/>
        <v>0.14772652207420461</v>
      </c>
      <c r="AF437" s="34">
        <f>MIN(Y437,'Scenario Modeling'!$B$2)</f>
        <v>0</v>
      </c>
      <c r="AG437">
        <f>ROUND(AA437 * (1 + 'Scenario Modeling'!$B$4), 0)</f>
        <v>30</v>
      </c>
      <c r="AH437">
        <f>T437 * (1 + 'Scenario Modeling'!$B$3)</f>
        <v>774.12</v>
      </c>
      <c r="AI437" s="8">
        <f t="shared" si="112"/>
        <v>27249</v>
      </c>
      <c r="AJ437" s="8">
        <f t="shared" si="113"/>
        <v>4025.4000000000015</v>
      </c>
    </row>
    <row r="438" spans="1:36">
      <c r="A438" t="s">
        <v>450</v>
      </c>
      <c r="B438" s="4">
        <v>45650</v>
      </c>
      <c r="C438" s="28">
        <v>45650</v>
      </c>
      <c r="D438" s="28" t="str">
        <f t="shared" si="98"/>
        <v>Q4-2024</v>
      </c>
      <c r="E438" s="4">
        <v>45670</v>
      </c>
      <c r="F438" s="4">
        <v>45670</v>
      </c>
      <c r="G438" s="17">
        <f t="shared" si="99"/>
        <v>20</v>
      </c>
      <c r="H438" s="17">
        <f t="shared" si="100"/>
        <v>20</v>
      </c>
      <c r="I438" t="str">
        <f t="shared" si="101"/>
        <v>No</v>
      </c>
      <c r="J438" s="2">
        <f t="shared" si="102"/>
        <v>44955</v>
      </c>
      <c r="K438" t="s">
        <v>647</v>
      </c>
      <c r="L438" t="s">
        <v>654</v>
      </c>
      <c r="M438" t="s">
        <v>668</v>
      </c>
      <c r="N438" t="str">
        <f t="shared" si="103"/>
        <v>Asia - India - Bengaluru</v>
      </c>
      <c r="O438" t="s">
        <v>701</v>
      </c>
      <c r="P438" t="s">
        <v>709</v>
      </c>
      <c r="Q438" t="s">
        <v>726</v>
      </c>
      <c r="R438" t="s">
        <v>729</v>
      </c>
      <c r="S438" t="s">
        <v>1169</v>
      </c>
      <c r="T438" s="6">
        <v>126.15</v>
      </c>
      <c r="U438" s="8">
        <v>284.23</v>
      </c>
      <c r="V438" s="8">
        <f t="shared" si="104"/>
        <v>284.23</v>
      </c>
      <c r="W438" s="8" t="str">
        <f t="shared" si="105"/>
        <v>Low</v>
      </c>
      <c r="X438" s="15">
        <v>0.113</v>
      </c>
      <c r="Y438" s="15">
        <f t="shared" si="106"/>
        <v>0.113</v>
      </c>
      <c r="Z438" t="str">
        <f t="shared" si="107"/>
        <v>No</v>
      </c>
      <c r="AA438" s="17">
        <v>22</v>
      </c>
      <c r="AB438" s="8">
        <f t="shared" si="108"/>
        <v>5546.4642200000008</v>
      </c>
      <c r="AC438" s="8">
        <f t="shared" si="109"/>
        <v>2775.3</v>
      </c>
      <c r="AD438" s="8">
        <f t="shared" si="110"/>
        <v>2771.1642200000006</v>
      </c>
      <c r="AE438" s="15">
        <f t="shared" si="111"/>
        <v>0.49962716968541088</v>
      </c>
      <c r="AF438" s="34">
        <f>MIN(Y438,'Scenario Modeling'!$B$2)</f>
        <v>0.113</v>
      </c>
      <c r="AG438">
        <f>ROUND(AA438 * (1 + 'Scenario Modeling'!$B$4), 0)</f>
        <v>22</v>
      </c>
      <c r="AH438">
        <f>T438 * (1 + 'Scenario Modeling'!$B$3)</f>
        <v>126.15</v>
      </c>
      <c r="AI438" s="8">
        <f t="shared" si="112"/>
        <v>5546.4642200000008</v>
      </c>
      <c r="AJ438" s="8">
        <f t="shared" si="113"/>
        <v>2771.1642200000006</v>
      </c>
    </row>
    <row r="439" spans="1:36">
      <c r="A439" t="s">
        <v>451</v>
      </c>
      <c r="B439" s="4">
        <v>45037</v>
      </c>
      <c r="C439" s="28">
        <v>45037</v>
      </c>
      <c r="D439" s="28" t="str">
        <f t="shared" si="98"/>
        <v>Q2-2023</v>
      </c>
      <c r="E439" s="4">
        <v>45035</v>
      </c>
      <c r="F439" s="4">
        <f>B439+16</f>
        <v>45053</v>
      </c>
      <c r="G439" s="17">
        <f t="shared" si="99"/>
        <v>-2</v>
      </c>
      <c r="H439" s="17">
        <f t="shared" si="100"/>
        <v>16</v>
      </c>
      <c r="I439" t="str">
        <f t="shared" si="101"/>
        <v>No</v>
      </c>
      <c r="J439" s="2">
        <f t="shared" si="102"/>
        <v>44988</v>
      </c>
      <c r="K439" t="s">
        <v>647</v>
      </c>
      <c r="L439" t="s">
        <v>652</v>
      </c>
      <c r="M439" t="s">
        <v>694</v>
      </c>
      <c r="N439" t="str">
        <f t="shared" si="103"/>
        <v>Asia - Japan - Nagoya</v>
      </c>
      <c r="O439" t="s">
        <v>705</v>
      </c>
      <c r="P439" t="s">
        <v>711</v>
      </c>
      <c r="Q439" t="s">
        <v>724</v>
      </c>
      <c r="R439" t="s">
        <v>727</v>
      </c>
      <c r="S439" t="s">
        <v>1170</v>
      </c>
      <c r="T439" s="6">
        <v>607.04</v>
      </c>
      <c r="U439" s="8">
        <v>1229.3399999999999</v>
      </c>
      <c r="V439" s="8">
        <f t="shared" si="104"/>
        <v>1229.3399999999999</v>
      </c>
      <c r="W439" s="8" t="str">
        <f t="shared" si="105"/>
        <v>Medium</v>
      </c>
      <c r="X439" s="15">
        <v>0.14699999999999999</v>
      </c>
      <c r="Y439" s="15">
        <f t="shared" si="106"/>
        <v>0.14699999999999999</v>
      </c>
      <c r="Z439" t="str">
        <f t="shared" si="107"/>
        <v>No</v>
      </c>
      <c r="AA439" s="17">
        <v>7</v>
      </c>
      <c r="AB439" s="8">
        <f t="shared" si="108"/>
        <v>7340.3891399999993</v>
      </c>
      <c r="AC439" s="8">
        <f t="shared" si="109"/>
        <v>4249.28</v>
      </c>
      <c r="AD439" s="8">
        <f t="shared" si="110"/>
        <v>3091.1091399999996</v>
      </c>
      <c r="AE439" s="15">
        <f t="shared" si="111"/>
        <v>0.42110970972310058</v>
      </c>
      <c r="AF439" s="34">
        <f>MIN(Y439,'Scenario Modeling'!$B$2)</f>
        <v>0.14699999999999999</v>
      </c>
      <c r="AG439">
        <f>ROUND(AA439 * (1 + 'Scenario Modeling'!$B$4), 0)</f>
        <v>7</v>
      </c>
      <c r="AH439">
        <f>T439 * (1 + 'Scenario Modeling'!$B$3)</f>
        <v>607.04</v>
      </c>
      <c r="AI439" s="8">
        <f t="shared" si="112"/>
        <v>7340.3891399999993</v>
      </c>
      <c r="AJ439" s="8">
        <f t="shared" si="113"/>
        <v>3091.1091399999996</v>
      </c>
    </row>
    <row r="440" spans="1:36">
      <c r="A440" t="s">
        <v>452</v>
      </c>
      <c r="B440" s="4">
        <v>45290</v>
      </c>
      <c r="C440" s="28">
        <v>45290</v>
      </c>
      <c r="D440" s="28" t="str">
        <f t="shared" si="98"/>
        <v>Q4-2023</v>
      </c>
      <c r="E440" s="4">
        <v>45299</v>
      </c>
      <c r="F440" s="4">
        <v>45299</v>
      </c>
      <c r="G440" s="17">
        <f t="shared" si="99"/>
        <v>9</v>
      </c>
      <c r="H440" s="17">
        <f t="shared" si="100"/>
        <v>9</v>
      </c>
      <c r="I440" t="str">
        <f t="shared" si="101"/>
        <v>No</v>
      </c>
      <c r="J440" s="2">
        <f t="shared" si="102"/>
        <v>44936</v>
      </c>
      <c r="K440" t="s">
        <v>649</v>
      </c>
      <c r="L440" t="s">
        <v>657</v>
      </c>
      <c r="M440" t="s">
        <v>673</v>
      </c>
      <c r="N440" t="str">
        <f t="shared" si="103"/>
        <v>Europe - France - Marseille</v>
      </c>
      <c r="O440" t="s">
        <v>704</v>
      </c>
      <c r="P440" t="s">
        <v>709</v>
      </c>
      <c r="Q440" t="s">
        <v>716</v>
      </c>
      <c r="R440" t="s">
        <v>733</v>
      </c>
      <c r="S440" t="s">
        <v>1171</v>
      </c>
      <c r="T440" s="6">
        <v>861.1</v>
      </c>
      <c r="U440" s="8">
        <v>1224.72</v>
      </c>
      <c r="V440" s="8">
        <f t="shared" si="104"/>
        <v>1224.72</v>
      </c>
      <c r="W440" s="8" t="str">
        <f t="shared" si="105"/>
        <v>Medium</v>
      </c>
      <c r="X440" s="15">
        <v>0.17399999999999999</v>
      </c>
      <c r="Y440" s="15">
        <f t="shared" si="106"/>
        <v>0.17399999999999999</v>
      </c>
      <c r="Z440" t="str">
        <f t="shared" si="107"/>
        <v>No</v>
      </c>
      <c r="AA440" s="17">
        <v>24</v>
      </c>
      <c r="AB440" s="8">
        <f t="shared" si="108"/>
        <v>24278.849280000002</v>
      </c>
      <c r="AC440" s="8">
        <f t="shared" si="109"/>
        <v>20666.400000000001</v>
      </c>
      <c r="AD440" s="8">
        <f t="shared" si="110"/>
        <v>3612.4492800000007</v>
      </c>
      <c r="AE440" s="15">
        <f t="shared" si="111"/>
        <v>0.14878997098827909</v>
      </c>
      <c r="AF440" s="34">
        <f>MIN(Y440,'Scenario Modeling'!$B$2)</f>
        <v>0.17399999999999999</v>
      </c>
      <c r="AG440">
        <f>ROUND(AA440 * (1 + 'Scenario Modeling'!$B$4), 0)</f>
        <v>24</v>
      </c>
      <c r="AH440">
        <f>T440 * (1 + 'Scenario Modeling'!$B$3)</f>
        <v>861.1</v>
      </c>
      <c r="AI440" s="8">
        <f t="shared" si="112"/>
        <v>24278.849280000002</v>
      </c>
      <c r="AJ440" s="8">
        <f t="shared" si="113"/>
        <v>3612.4492800000007</v>
      </c>
    </row>
    <row r="441" spans="1:36">
      <c r="A441" t="s">
        <v>453</v>
      </c>
      <c r="B441" s="4">
        <v>44978</v>
      </c>
      <c r="C441" s="28">
        <v>44978</v>
      </c>
      <c r="D441" s="28" t="str">
        <f t="shared" si="98"/>
        <v>Q1-2023</v>
      </c>
      <c r="E441" s="4">
        <v>44997</v>
      </c>
      <c r="F441" s="4">
        <v>44997</v>
      </c>
      <c r="G441" s="17">
        <f t="shared" si="99"/>
        <v>19</v>
      </c>
      <c r="H441" s="17">
        <f t="shared" si="100"/>
        <v>19</v>
      </c>
      <c r="I441" t="str">
        <f t="shared" si="101"/>
        <v>No</v>
      </c>
      <c r="J441" s="2">
        <f t="shared" si="102"/>
        <v>44946</v>
      </c>
      <c r="K441" t="s">
        <v>646</v>
      </c>
      <c r="L441" t="s">
        <v>650</v>
      </c>
      <c r="M441" t="s">
        <v>678</v>
      </c>
      <c r="N441" t="str">
        <f t="shared" si="103"/>
        <v>Africa - Kenya - Nakuru</v>
      </c>
      <c r="O441" t="s">
        <v>701</v>
      </c>
      <c r="P441" t="s">
        <v>708</v>
      </c>
      <c r="Q441" t="s">
        <v>721</v>
      </c>
      <c r="R441" t="s">
        <v>729</v>
      </c>
      <c r="S441" t="s">
        <v>1172</v>
      </c>
      <c r="T441" s="6">
        <v>352.65</v>
      </c>
      <c r="U441" s="8">
        <v>485.86</v>
      </c>
      <c r="V441" s="8">
        <f t="shared" si="104"/>
        <v>485.86</v>
      </c>
      <c r="W441" s="8" t="str">
        <f t="shared" si="105"/>
        <v>Low</v>
      </c>
      <c r="X441" s="15">
        <v>4.1000000000000002E-2</v>
      </c>
      <c r="Y441" s="15">
        <f t="shared" si="106"/>
        <v>4.1000000000000002E-2</v>
      </c>
      <c r="Z441" t="str">
        <f t="shared" si="107"/>
        <v>No</v>
      </c>
      <c r="AA441" s="17">
        <v>6</v>
      </c>
      <c r="AB441" s="8">
        <f t="shared" si="108"/>
        <v>2795.6384399999997</v>
      </c>
      <c r="AC441" s="8">
        <f t="shared" si="109"/>
        <v>2115.8999999999996</v>
      </c>
      <c r="AD441" s="8">
        <f t="shared" si="110"/>
        <v>679.73844000000008</v>
      </c>
      <c r="AE441" s="15">
        <f t="shared" si="111"/>
        <v>0.24314247159943908</v>
      </c>
      <c r="AF441" s="34">
        <f>MIN(Y441,'Scenario Modeling'!$B$2)</f>
        <v>4.1000000000000002E-2</v>
      </c>
      <c r="AG441">
        <f>ROUND(AA441 * (1 + 'Scenario Modeling'!$B$4), 0)</f>
        <v>6</v>
      </c>
      <c r="AH441">
        <f>T441 * (1 + 'Scenario Modeling'!$B$3)</f>
        <v>352.65</v>
      </c>
      <c r="AI441" s="8">
        <f t="shared" si="112"/>
        <v>2795.6384399999997</v>
      </c>
      <c r="AJ441" s="8">
        <f t="shared" si="113"/>
        <v>679.73844000000008</v>
      </c>
    </row>
    <row r="442" spans="1:36">
      <c r="A442" t="s">
        <v>454</v>
      </c>
      <c r="B442" s="4">
        <v>45063</v>
      </c>
      <c r="C442" s="28">
        <v>45063</v>
      </c>
      <c r="D442" s="28" t="str">
        <f t="shared" si="98"/>
        <v>Q2-2023</v>
      </c>
      <c r="E442" s="4">
        <v>45080</v>
      </c>
      <c r="F442" s="4">
        <v>45080</v>
      </c>
      <c r="G442" s="17">
        <f t="shared" si="99"/>
        <v>17</v>
      </c>
      <c r="H442" s="17">
        <f t="shared" si="100"/>
        <v>17</v>
      </c>
      <c r="I442" t="str">
        <f t="shared" si="101"/>
        <v>No</v>
      </c>
      <c r="J442" s="2">
        <f t="shared" si="102"/>
        <v>44938</v>
      </c>
      <c r="K442" t="s">
        <v>647</v>
      </c>
      <c r="L442" t="s">
        <v>659</v>
      </c>
      <c r="M442" t="s">
        <v>699</v>
      </c>
      <c r="N442" t="str">
        <f t="shared" si="103"/>
        <v>Asia - China - Beijing</v>
      </c>
      <c r="O442" t="s">
        <v>703</v>
      </c>
      <c r="P442" t="s">
        <v>710</v>
      </c>
      <c r="Q442" t="s">
        <v>724</v>
      </c>
      <c r="R442" t="s">
        <v>728</v>
      </c>
      <c r="S442" t="s">
        <v>1173</v>
      </c>
      <c r="T442" s="6">
        <v>979.59</v>
      </c>
      <c r="U442" s="8">
        <v>2210.94</v>
      </c>
      <c r="V442" s="8">
        <f t="shared" si="104"/>
        <v>2210.94</v>
      </c>
      <c r="W442" s="8" t="str">
        <f t="shared" si="105"/>
        <v>High</v>
      </c>
      <c r="X442" s="15">
        <v>0.15</v>
      </c>
      <c r="Y442" s="15">
        <f t="shared" si="106"/>
        <v>0.15</v>
      </c>
      <c r="Z442" t="str">
        <f t="shared" si="107"/>
        <v>No</v>
      </c>
      <c r="AA442" s="17">
        <v>11</v>
      </c>
      <c r="AB442" s="8">
        <f t="shared" si="108"/>
        <v>20672.289000000001</v>
      </c>
      <c r="AC442" s="8">
        <f t="shared" si="109"/>
        <v>10775.49</v>
      </c>
      <c r="AD442" s="8">
        <f t="shared" si="110"/>
        <v>9896.7990000000009</v>
      </c>
      <c r="AE442" s="15">
        <f t="shared" si="111"/>
        <v>0.47874712858358359</v>
      </c>
      <c r="AF442" s="34">
        <f>MIN(Y442,'Scenario Modeling'!$B$2)</f>
        <v>0.15</v>
      </c>
      <c r="AG442">
        <f>ROUND(AA442 * (1 + 'Scenario Modeling'!$B$4), 0)</f>
        <v>11</v>
      </c>
      <c r="AH442">
        <f>T442 * (1 + 'Scenario Modeling'!$B$3)</f>
        <v>979.59</v>
      </c>
      <c r="AI442" s="8">
        <f t="shared" si="112"/>
        <v>20672.289000000001</v>
      </c>
      <c r="AJ442" s="8">
        <f t="shared" si="113"/>
        <v>9896.7990000000009</v>
      </c>
    </row>
    <row r="443" spans="1:36">
      <c r="A443" t="s">
        <v>455</v>
      </c>
      <c r="B443" s="4">
        <v>45374</v>
      </c>
      <c r="C443" s="28">
        <v>45374</v>
      </c>
      <c r="D443" s="28" t="str">
        <f t="shared" si="98"/>
        <v>Q1-2024</v>
      </c>
      <c r="E443" s="4">
        <v>45377</v>
      </c>
      <c r="F443" s="4">
        <v>45377</v>
      </c>
      <c r="G443" s="17">
        <f t="shared" si="99"/>
        <v>3</v>
      </c>
      <c r="H443" s="17">
        <f t="shared" si="100"/>
        <v>3</v>
      </c>
      <c r="I443" t="str">
        <f t="shared" si="101"/>
        <v>Yes</v>
      </c>
      <c r="J443" s="2">
        <f t="shared" si="102"/>
        <v>44955</v>
      </c>
      <c r="K443" t="s">
        <v>647</v>
      </c>
      <c r="L443" t="s">
        <v>654</v>
      </c>
      <c r="M443" t="s">
        <v>668</v>
      </c>
      <c r="N443" t="str">
        <f t="shared" si="103"/>
        <v>Asia - India - Bengaluru</v>
      </c>
      <c r="O443" t="s">
        <v>702</v>
      </c>
      <c r="P443" t="s">
        <v>711</v>
      </c>
      <c r="Q443" t="s">
        <v>715</v>
      </c>
      <c r="R443" t="s">
        <v>730</v>
      </c>
      <c r="S443" t="s">
        <v>1174</v>
      </c>
      <c r="T443" s="6">
        <v>382.21</v>
      </c>
      <c r="U443" s="8">
        <v>571.89</v>
      </c>
      <c r="V443" s="8">
        <f t="shared" si="104"/>
        <v>571.89</v>
      </c>
      <c r="W443" s="8" t="str">
        <f t="shared" si="105"/>
        <v>Low</v>
      </c>
      <c r="X443" s="15">
        <v>0.14799999999999999</v>
      </c>
      <c r="Y443" s="15">
        <f t="shared" si="106"/>
        <v>0.14799999999999999</v>
      </c>
      <c r="Z443" t="str">
        <f t="shared" si="107"/>
        <v>No</v>
      </c>
      <c r="AA443" s="17">
        <v>26</v>
      </c>
      <c r="AB443" s="8">
        <f t="shared" si="108"/>
        <v>12668.50728</v>
      </c>
      <c r="AC443" s="8">
        <f t="shared" si="109"/>
        <v>9937.4599999999991</v>
      </c>
      <c r="AD443" s="8">
        <f t="shared" si="110"/>
        <v>2731.0472800000007</v>
      </c>
      <c r="AE443" s="15">
        <f t="shared" si="111"/>
        <v>0.2155776698578809</v>
      </c>
      <c r="AF443" s="34">
        <f>MIN(Y443,'Scenario Modeling'!$B$2)</f>
        <v>0.14799999999999999</v>
      </c>
      <c r="AG443">
        <f>ROUND(AA443 * (1 + 'Scenario Modeling'!$B$4), 0)</f>
        <v>26</v>
      </c>
      <c r="AH443">
        <f>T443 * (1 + 'Scenario Modeling'!$B$3)</f>
        <v>382.21</v>
      </c>
      <c r="AI443" s="8">
        <f t="shared" si="112"/>
        <v>12668.50728</v>
      </c>
      <c r="AJ443" s="8">
        <f t="shared" si="113"/>
        <v>2731.0472800000007</v>
      </c>
    </row>
    <row r="444" spans="1:36">
      <c r="A444" t="s">
        <v>456</v>
      </c>
      <c r="B444" s="4">
        <v>45189</v>
      </c>
      <c r="C444" s="28">
        <v>45189</v>
      </c>
      <c r="D444" s="28" t="str">
        <f t="shared" si="98"/>
        <v>Q3-2023</v>
      </c>
      <c r="E444" s="4">
        <v>45197</v>
      </c>
      <c r="F444" s="4">
        <v>45197</v>
      </c>
      <c r="G444" s="17">
        <f t="shared" si="99"/>
        <v>8</v>
      </c>
      <c r="H444" s="17">
        <f t="shared" si="100"/>
        <v>8</v>
      </c>
      <c r="I444" t="str">
        <f t="shared" si="101"/>
        <v>No</v>
      </c>
      <c r="J444" s="2">
        <f t="shared" si="102"/>
        <v>44955</v>
      </c>
      <c r="K444" t="s">
        <v>647</v>
      </c>
      <c r="L444" t="s">
        <v>654</v>
      </c>
      <c r="M444" t="s">
        <v>680</v>
      </c>
      <c r="N444" t="str">
        <f t="shared" si="103"/>
        <v>Asia - India - Delhi</v>
      </c>
      <c r="O444" t="s">
        <v>701</v>
      </c>
      <c r="P444" t="s">
        <v>707</v>
      </c>
      <c r="Q444" t="s">
        <v>717</v>
      </c>
      <c r="R444" t="s">
        <v>733</v>
      </c>
      <c r="S444" t="s">
        <v>1175</v>
      </c>
      <c r="T444" s="6">
        <v>1362.06</v>
      </c>
      <c r="U444" s="8">
        <v>3398.37</v>
      </c>
      <c r="V444" s="8">
        <f t="shared" si="104"/>
        <v>3398.37</v>
      </c>
      <c r="W444" s="8" t="str">
        <f t="shared" si="105"/>
        <v>High</v>
      </c>
      <c r="X444" s="15">
        <v>0.157</v>
      </c>
      <c r="Y444" s="15">
        <f t="shared" si="106"/>
        <v>0.157</v>
      </c>
      <c r="Z444" t="str">
        <f t="shared" si="107"/>
        <v>No</v>
      </c>
      <c r="AA444" s="17">
        <v>11</v>
      </c>
      <c r="AB444" s="8">
        <f t="shared" si="108"/>
        <v>31513.085009999999</v>
      </c>
      <c r="AC444" s="8">
        <f t="shared" si="109"/>
        <v>14982.66</v>
      </c>
      <c r="AD444" s="8">
        <f t="shared" si="110"/>
        <v>16530.425009999999</v>
      </c>
      <c r="AE444" s="15">
        <f t="shared" si="111"/>
        <v>0.52455749745714919</v>
      </c>
      <c r="AF444" s="34">
        <f>MIN(Y444,'Scenario Modeling'!$B$2)</f>
        <v>0.157</v>
      </c>
      <c r="AG444">
        <f>ROUND(AA444 * (1 + 'Scenario Modeling'!$B$4), 0)</f>
        <v>11</v>
      </c>
      <c r="AH444">
        <f>T444 * (1 + 'Scenario Modeling'!$B$3)</f>
        <v>1362.06</v>
      </c>
      <c r="AI444" s="8">
        <f t="shared" si="112"/>
        <v>31513.085009999999</v>
      </c>
      <c r="AJ444" s="8">
        <f t="shared" si="113"/>
        <v>16530.425009999999</v>
      </c>
    </row>
    <row r="445" spans="1:36">
      <c r="A445" t="s">
        <v>457</v>
      </c>
      <c r="B445" s="4">
        <v>45526</v>
      </c>
      <c r="C445" s="28">
        <v>45526</v>
      </c>
      <c r="D445" s="28" t="str">
        <f t="shared" si="98"/>
        <v>Q3-2024</v>
      </c>
      <c r="E445" s="4">
        <v>45539</v>
      </c>
      <c r="F445" s="4">
        <v>45539</v>
      </c>
      <c r="G445" s="17">
        <f t="shared" si="99"/>
        <v>13</v>
      </c>
      <c r="H445" s="17">
        <f t="shared" si="100"/>
        <v>13</v>
      </c>
      <c r="I445" t="str">
        <f t="shared" si="101"/>
        <v>No</v>
      </c>
      <c r="J445" s="2">
        <f t="shared" si="102"/>
        <v>44948</v>
      </c>
      <c r="K445" t="s">
        <v>649</v>
      </c>
      <c r="L445" t="s">
        <v>656</v>
      </c>
      <c r="M445" t="s">
        <v>698</v>
      </c>
      <c r="N445" t="str">
        <f t="shared" si="103"/>
        <v>Europe - Germany - Frankfurt</v>
      </c>
      <c r="O445" t="s">
        <v>703</v>
      </c>
      <c r="P445" t="s">
        <v>707</v>
      </c>
      <c r="Q445" t="s">
        <v>716</v>
      </c>
      <c r="R445" t="s">
        <v>728</v>
      </c>
      <c r="S445" t="s">
        <v>1176</v>
      </c>
      <c r="T445" s="6">
        <v>90.04</v>
      </c>
      <c r="U445" s="8">
        <v>194.62</v>
      </c>
      <c r="V445" s="8">
        <f t="shared" si="104"/>
        <v>194.62</v>
      </c>
      <c r="W445" s="8" t="str">
        <f t="shared" si="105"/>
        <v>Low</v>
      </c>
      <c r="X445" s="15">
        <v>4.2999999999999997E-2</v>
      </c>
      <c r="Y445" s="15">
        <f t="shared" si="106"/>
        <v>4.2999999999999997E-2</v>
      </c>
      <c r="Z445" t="str">
        <f t="shared" si="107"/>
        <v>No</v>
      </c>
      <c r="AA445" s="17">
        <v>32</v>
      </c>
      <c r="AB445" s="8">
        <f t="shared" si="108"/>
        <v>5960.04288</v>
      </c>
      <c r="AC445" s="8">
        <f t="shared" si="109"/>
        <v>2881.28</v>
      </c>
      <c r="AD445" s="8">
        <f t="shared" si="110"/>
        <v>3078.7628799999998</v>
      </c>
      <c r="AE445" s="15">
        <f t="shared" si="111"/>
        <v>0.51656723650954672</v>
      </c>
      <c r="AF445" s="34">
        <f>MIN(Y445,'Scenario Modeling'!$B$2)</f>
        <v>4.2999999999999997E-2</v>
      </c>
      <c r="AG445">
        <f>ROUND(AA445 * (1 + 'Scenario Modeling'!$B$4), 0)</f>
        <v>32</v>
      </c>
      <c r="AH445">
        <f>T445 * (1 + 'Scenario Modeling'!$B$3)</f>
        <v>90.04</v>
      </c>
      <c r="AI445" s="8">
        <f t="shared" si="112"/>
        <v>5960.04288</v>
      </c>
      <c r="AJ445" s="8">
        <f t="shared" si="113"/>
        <v>3078.7628799999998</v>
      </c>
    </row>
    <row r="446" spans="1:36">
      <c r="A446" t="s">
        <v>458</v>
      </c>
      <c r="B446" s="4">
        <v>45560</v>
      </c>
      <c r="C446" s="28">
        <v>45560</v>
      </c>
      <c r="D446" s="28" t="str">
        <f t="shared" si="98"/>
        <v>Q3-2024</v>
      </c>
      <c r="E446" s="4">
        <v>45568</v>
      </c>
      <c r="F446" s="4">
        <v>45568</v>
      </c>
      <c r="G446" s="17">
        <f t="shared" si="99"/>
        <v>8</v>
      </c>
      <c r="H446" s="17">
        <f t="shared" si="100"/>
        <v>8</v>
      </c>
      <c r="I446" t="str">
        <f t="shared" si="101"/>
        <v>No</v>
      </c>
      <c r="J446" s="2">
        <f t="shared" si="102"/>
        <v>44928</v>
      </c>
      <c r="K446" t="s">
        <v>648</v>
      </c>
      <c r="L446" t="s">
        <v>653</v>
      </c>
      <c r="M446" t="s">
        <v>667</v>
      </c>
      <c r="N446" t="str">
        <f t="shared" si="103"/>
        <v>Americas - Canada - Toronto</v>
      </c>
      <c r="O446" t="s">
        <v>704</v>
      </c>
      <c r="P446" t="s">
        <v>708</v>
      </c>
      <c r="Q446" t="s">
        <v>718</v>
      </c>
      <c r="R446" t="s">
        <v>728</v>
      </c>
      <c r="S446" t="s">
        <v>1177</v>
      </c>
      <c r="T446" s="6">
        <v>558.19000000000005</v>
      </c>
      <c r="U446" s="8">
        <v>1031.6400000000001</v>
      </c>
      <c r="V446" s="8">
        <f t="shared" si="104"/>
        <v>1031.6400000000001</v>
      </c>
      <c r="W446" s="8" t="str">
        <f t="shared" si="105"/>
        <v>Medium</v>
      </c>
      <c r="X446" s="15">
        <v>0</v>
      </c>
      <c r="Y446" s="15">
        <f t="shared" si="106"/>
        <v>0</v>
      </c>
      <c r="Z446" t="str">
        <f t="shared" si="107"/>
        <v>No</v>
      </c>
      <c r="AA446" s="17">
        <v>21</v>
      </c>
      <c r="AB446" s="8">
        <f t="shared" si="108"/>
        <v>21664.440000000002</v>
      </c>
      <c r="AC446" s="8">
        <f t="shared" si="109"/>
        <v>11721.990000000002</v>
      </c>
      <c r="AD446" s="8">
        <f t="shared" si="110"/>
        <v>9942.4500000000007</v>
      </c>
      <c r="AE446" s="15">
        <f t="shared" si="111"/>
        <v>0.45892947152107322</v>
      </c>
      <c r="AF446" s="34">
        <f>MIN(Y446,'Scenario Modeling'!$B$2)</f>
        <v>0</v>
      </c>
      <c r="AG446">
        <f>ROUND(AA446 * (1 + 'Scenario Modeling'!$B$4), 0)</f>
        <v>21</v>
      </c>
      <c r="AH446">
        <f>T446 * (1 + 'Scenario Modeling'!$B$3)</f>
        <v>558.19000000000005</v>
      </c>
      <c r="AI446" s="8">
        <f t="shared" si="112"/>
        <v>21664.440000000002</v>
      </c>
      <c r="AJ446" s="8">
        <f t="shared" si="113"/>
        <v>9942.4500000000007</v>
      </c>
    </row>
    <row r="447" spans="1:36">
      <c r="A447" t="s">
        <v>459</v>
      </c>
      <c r="B447" s="4">
        <v>45090</v>
      </c>
      <c r="C447" s="28">
        <v>45090</v>
      </c>
      <c r="D447" s="28" t="str">
        <f t="shared" si="98"/>
        <v>Q2-2023</v>
      </c>
      <c r="E447" s="4">
        <v>45101</v>
      </c>
      <c r="F447" s="4">
        <v>45101</v>
      </c>
      <c r="G447" s="17">
        <f t="shared" si="99"/>
        <v>11</v>
      </c>
      <c r="H447" s="17">
        <f t="shared" si="100"/>
        <v>11</v>
      </c>
      <c r="I447" t="str">
        <f t="shared" si="101"/>
        <v>No</v>
      </c>
      <c r="J447" s="2">
        <f t="shared" si="102"/>
        <v>44928</v>
      </c>
      <c r="K447" t="s">
        <v>648</v>
      </c>
      <c r="L447" t="s">
        <v>653</v>
      </c>
      <c r="M447" t="s">
        <v>667</v>
      </c>
      <c r="N447" t="str">
        <f t="shared" si="103"/>
        <v>Americas - Canada - Toronto</v>
      </c>
      <c r="O447" t="s">
        <v>701</v>
      </c>
      <c r="P447" t="s">
        <v>708</v>
      </c>
      <c r="Q447" t="s">
        <v>712</v>
      </c>
      <c r="R447" t="s">
        <v>728</v>
      </c>
      <c r="S447" t="s">
        <v>1178</v>
      </c>
      <c r="T447" s="6">
        <v>247.07</v>
      </c>
      <c r="U447" s="8">
        <v>495.19</v>
      </c>
      <c r="V447" s="8">
        <f t="shared" si="104"/>
        <v>495.19</v>
      </c>
      <c r="W447" s="8" t="str">
        <f t="shared" si="105"/>
        <v>Low</v>
      </c>
      <c r="X447" s="15">
        <v>2.8000000000000001E-2</v>
      </c>
      <c r="Y447" s="15">
        <f t="shared" si="106"/>
        <v>2.8000000000000001E-2</v>
      </c>
      <c r="Z447" t="str">
        <f t="shared" si="107"/>
        <v>No</v>
      </c>
      <c r="AA447" s="17">
        <v>4</v>
      </c>
      <c r="AB447" s="8">
        <f t="shared" si="108"/>
        <v>1925.29872</v>
      </c>
      <c r="AC447" s="8">
        <f t="shared" si="109"/>
        <v>988.28</v>
      </c>
      <c r="AD447" s="8">
        <f t="shared" si="110"/>
        <v>937.01872000000003</v>
      </c>
      <c r="AE447" s="15">
        <f t="shared" si="111"/>
        <v>0.48668744764968214</v>
      </c>
      <c r="AF447" s="34">
        <f>MIN(Y447,'Scenario Modeling'!$B$2)</f>
        <v>2.8000000000000001E-2</v>
      </c>
      <c r="AG447">
        <f>ROUND(AA447 * (1 + 'Scenario Modeling'!$B$4), 0)</f>
        <v>4</v>
      </c>
      <c r="AH447">
        <f>T447 * (1 + 'Scenario Modeling'!$B$3)</f>
        <v>247.07</v>
      </c>
      <c r="AI447" s="8">
        <f t="shared" si="112"/>
        <v>1925.29872</v>
      </c>
      <c r="AJ447" s="8">
        <f t="shared" si="113"/>
        <v>937.01872000000003</v>
      </c>
    </row>
    <row r="448" spans="1:36">
      <c r="A448" t="s">
        <v>460</v>
      </c>
      <c r="B448" s="4">
        <v>45284</v>
      </c>
      <c r="C448" s="28">
        <v>45284</v>
      </c>
      <c r="D448" s="28" t="str">
        <f t="shared" si="98"/>
        <v>Q4-2023</v>
      </c>
      <c r="E448" s="4">
        <v>45304</v>
      </c>
      <c r="F448" s="4">
        <v>45304</v>
      </c>
      <c r="G448" s="17">
        <f t="shared" si="99"/>
        <v>20</v>
      </c>
      <c r="H448" s="17">
        <f t="shared" si="100"/>
        <v>20</v>
      </c>
      <c r="I448" t="str">
        <f t="shared" si="101"/>
        <v>No</v>
      </c>
      <c r="J448" s="2">
        <f t="shared" si="102"/>
        <v>44988</v>
      </c>
      <c r="K448" t="s">
        <v>647</v>
      </c>
      <c r="L448" t="s">
        <v>652</v>
      </c>
      <c r="M448" t="s">
        <v>694</v>
      </c>
      <c r="N448" t="str">
        <f t="shared" si="103"/>
        <v>Asia - Japan - Nagoya</v>
      </c>
      <c r="O448" t="s">
        <v>702</v>
      </c>
      <c r="P448" t="s">
        <v>711</v>
      </c>
      <c r="Q448" t="s">
        <v>717</v>
      </c>
      <c r="R448" t="s">
        <v>731</v>
      </c>
      <c r="S448" t="s">
        <v>1179</v>
      </c>
      <c r="T448" s="6">
        <v>625.37</v>
      </c>
      <c r="U448" s="8">
        <v>1319.04</v>
      </c>
      <c r="V448" s="8">
        <f t="shared" si="104"/>
        <v>1319.04</v>
      </c>
      <c r="W448" s="8" t="str">
        <f t="shared" si="105"/>
        <v>Medium</v>
      </c>
      <c r="X448" s="15">
        <v>7.3999999999999996E-2</v>
      </c>
      <c r="Y448" s="15">
        <f t="shared" si="106"/>
        <v>7.3999999999999996E-2</v>
      </c>
      <c r="Z448" t="str">
        <f t="shared" si="107"/>
        <v>No</v>
      </c>
      <c r="AA448" s="17">
        <v>8</v>
      </c>
      <c r="AB448" s="8">
        <f t="shared" si="108"/>
        <v>9771.4483199999995</v>
      </c>
      <c r="AC448" s="8">
        <f t="shared" si="109"/>
        <v>5002.96</v>
      </c>
      <c r="AD448" s="8">
        <f t="shared" si="110"/>
        <v>4768.4883199999995</v>
      </c>
      <c r="AE448" s="15">
        <f t="shared" si="111"/>
        <v>0.48800220436513547</v>
      </c>
      <c r="AF448" s="34">
        <f>MIN(Y448,'Scenario Modeling'!$B$2)</f>
        <v>7.3999999999999996E-2</v>
      </c>
      <c r="AG448">
        <f>ROUND(AA448 * (1 + 'Scenario Modeling'!$B$4), 0)</f>
        <v>8</v>
      </c>
      <c r="AH448">
        <f>T448 * (1 + 'Scenario Modeling'!$B$3)</f>
        <v>625.37</v>
      </c>
      <c r="AI448" s="8">
        <f t="shared" si="112"/>
        <v>9771.4483199999995</v>
      </c>
      <c r="AJ448" s="8">
        <f t="shared" si="113"/>
        <v>4768.4883199999995</v>
      </c>
    </row>
    <row r="449" spans="1:36">
      <c r="A449" t="s">
        <v>461</v>
      </c>
      <c r="B449" s="4">
        <v>45746</v>
      </c>
      <c r="C449" s="28">
        <v>45746</v>
      </c>
      <c r="D449" s="28" t="str">
        <f t="shared" si="98"/>
        <v>Q1-2025</v>
      </c>
      <c r="E449" s="4">
        <v>45776</v>
      </c>
      <c r="F449" s="4">
        <v>45776</v>
      </c>
      <c r="G449" s="17">
        <f t="shared" si="99"/>
        <v>30</v>
      </c>
      <c r="H449" s="17">
        <f t="shared" si="100"/>
        <v>30</v>
      </c>
      <c r="I449" t="str">
        <f t="shared" si="101"/>
        <v>No</v>
      </c>
      <c r="J449" s="2">
        <f t="shared" si="102"/>
        <v>44933</v>
      </c>
      <c r="K449" t="s">
        <v>646</v>
      </c>
      <c r="L449" t="s">
        <v>661</v>
      </c>
      <c r="M449" t="s">
        <v>687</v>
      </c>
      <c r="N449" t="str">
        <f t="shared" si="103"/>
        <v>Africa - South Africa - Durban</v>
      </c>
      <c r="O449" t="s">
        <v>704</v>
      </c>
      <c r="P449" t="s">
        <v>709</v>
      </c>
      <c r="Q449" t="s">
        <v>713</v>
      </c>
      <c r="R449" t="s">
        <v>732</v>
      </c>
      <c r="S449" t="s">
        <v>1180</v>
      </c>
      <c r="T449" s="6">
        <v>194.6</v>
      </c>
      <c r="U449" s="8">
        <v>314.87</v>
      </c>
      <c r="V449" s="8">
        <f t="shared" si="104"/>
        <v>314.87</v>
      </c>
      <c r="W449" s="8" t="str">
        <f t="shared" si="105"/>
        <v>Low</v>
      </c>
      <c r="X449" s="15">
        <v>0.29299999999999998</v>
      </c>
      <c r="Y449" s="15">
        <f t="shared" si="106"/>
        <v>0.29299999999999998</v>
      </c>
      <c r="Z449" t="str">
        <f t="shared" si="107"/>
        <v>Yes</v>
      </c>
      <c r="AA449" s="17">
        <v>25</v>
      </c>
      <c r="AB449" s="8">
        <f t="shared" si="108"/>
        <v>5565.3272500000003</v>
      </c>
      <c r="AC449" s="8">
        <f t="shared" si="109"/>
        <v>4865</v>
      </c>
      <c r="AD449" s="8">
        <f t="shared" si="110"/>
        <v>700.32725000000028</v>
      </c>
      <c r="AE449" s="15">
        <f t="shared" si="111"/>
        <v>0.1258375686712763</v>
      </c>
      <c r="AF449" s="34">
        <f>MIN(Y449,'Scenario Modeling'!$B$2)</f>
        <v>0.25</v>
      </c>
      <c r="AG449">
        <f>ROUND(AA449 * (1 + 'Scenario Modeling'!$B$4), 0)</f>
        <v>25</v>
      </c>
      <c r="AH449">
        <f>T449 * (1 + 'Scenario Modeling'!$B$3)</f>
        <v>194.6</v>
      </c>
      <c r="AI449" s="8">
        <f t="shared" si="112"/>
        <v>5903.8125</v>
      </c>
      <c r="AJ449" s="8">
        <f t="shared" si="113"/>
        <v>1038.8125</v>
      </c>
    </row>
    <row r="450" spans="1:36">
      <c r="A450" t="s">
        <v>462</v>
      </c>
      <c r="B450" s="4">
        <v>45446</v>
      </c>
      <c r="C450" s="28">
        <v>45446</v>
      </c>
      <c r="D450" s="28" t="str">
        <f t="shared" si="98"/>
        <v>Q2-2024</v>
      </c>
      <c r="E450" s="4">
        <v>45467</v>
      </c>
      <c r="F450" s="4">
        <v>45467</v>
      </c>
      <c r="G450" s="17">
        <f t="shared" si="99"/>
        <v>21</v>
      </c>
      <c r="H450" s="17">
        <f t="shared" si="100"/>
        <v>21</v>
      </c>
      <c r="I450" t="str">
        <f t="shared" si="101"/>
        <v>No</v>
      </c>
      <c r="J450" s="2">
        <f t="shared" si="102"/>
        <v>44928</v>
      </c>
      <c r="K450" t="s">
        <v>648</v>
      </c>
      <c r="L450" t="s">
        <v>653</v>
      </c>
      <c r="M450" t="s">
        <v>667</v>
      </c>
      <c r="N450" t="str">
        <f t="shared" si="103"/>
        <v>Americas - Canada - Toronto</v>
      </c>
      <c r="O450" t="s">
        <v>705</v>
      </c>
      <c r="P450" t="s">
        <v>711</v>
      </c>
      <c r="Q450" t="s">
        <v>715</v>
      </c>
      <c r="R450" t="s">
        <v>732</v>
      </c>
      <c r="S450" t="s">
        <v>1181</v>
      </c>
      <c r="T450" s="6">
        <v>1205.5</v>
      </c>
      <c r="U450" s="8">
        <v>2210.17</v>
      </c>
      <c r="V450" s="8">
        <f t="shared" si="104"/>
        <v>2210.17</v>
      </c>
      <c r="W450" s="8" t="str">
        <f t="shared" si="105"/>
        <v>High</v>
      </c>
      <c r="X450" s="15">
        <v>0.104</v>
      </c>
      <c r="Y450" s="15">
        <f t="shared" si="106"/>
        <v>0.104</v>
      </c>
      <c r="Z450" t="str">
        <f t="shared" si="107"/>
        <v>No</v>
      </c>
      <c r="AA450" s="17">
        <v>23</v>
      </c>
      <c r="AB450" s="8">
        <f t="shared" si="108"/>
        <v>45547.183360000003</v>
      </c>
      <c r="AC450" s="8">
        <f t="shared" si="109"/>
        <v>27726.5</v>
      </c>
      <c r="AD450" s="8">
        <f t="shared" si="110"/>
        <v>17820.683360000003</v>
      </c>
      <c r="AE450" s="15">
        <f t="shared" si="111"/>
        <v>0.39125763758314652</v>
      </c>
      <c r="AF450" s="34">
        <f>MIN(Y450,'Scenario Modeling'!$B$2)</f>
        <v>0.104</v>
      </c>
      <c r="AG450">
        <f>ROUND(AA450 * (1 + 'Scenario Modeling'!$B$4), 0)</f>
        <v>23</v>
      </c>
      <c r="AH450">
        <f>T450 * (1 + 'Scenario Modeling'!$B$3)</f>
        <v>1205.5</v>
      </c>
      <c r="AI450" s="8">
        <f t="shared" si="112"/>
        <v>45547.183360000003</v>
      </c>
      <c r="AJ450" s="8">
        <f t="shared" si="113"/>
        <v>17820.683360000003</v>
      </c>
    </row>
    <row r="451" spans="1:36">
      <c r="A451" t="s">
        <v>463</v>
      </c>
      <c r="B451" s="4">
        <v>45454</v>
      </c>
      <c r="C451" s="28">
        <v>45454</v>
      </c>
      <c r="D451" s="28" t="str">
        <f t="shared" ref="D451:D514" si="114">"Q"&amp;ROUNDUP(MONTH(B451)/3,0)&amp;"-"&amp;YEAR(B451)</f>
        <v>Q2-2024</v>
      </c>
      <c r="E451" s="4">
        <v>45482</v>
      </c>
      <c r="F451" s="4">
        <v>45482</v>
      </c>
      <c r="G451" s="17">
        <f t="shared" ref="G451:G514" si="115">E451-B451</f>
        <v>28</v>
      </c>
      <c r="H451" s="17">
        <f t="shared" ref="H451:H514" si="116">F451-B451</f>
        <v>28</v>
      </c>
      <c r="I451" t="str">
        <f t="shared" ref="I451:I514" si="117">IF(H451&lt;=7, "Yes", "No")</f>
        <v>No</v>
      </c>
      <c r="J451" s="2">
        <f t="shared" ref="J451:J514" si="118">_xlfn.MINIFS($B$2:$B$633, $L$2:$L$633, L451)</f>
        <v>44941</v>
      </c>
      <c r="K451" t="s">
        <v>646</v>
      </c>
      <c r="L451" t="s">
        <v>651</v>
      </c>
      <c r="M451" t="s">
        <v>663</v>
      </c>
      <c r="N451" t="str">
        <f t="shared" ref="N451:N514" si="119">_xlfn.TEXTJOIN(" - ", TRUE, K451:M451)</f>
        <v>Africa - Nigeria - Port Harcourt</v>
      </c>
      <c r="O451" t="s">
        <v>701</v>
      </c>
      <c r="P451" t="s">
        <v>709</v>
      </c>
      <c r="Q451" t="s">
        <v>714</v>
      </c>
      <c r="R451" t="s">
        <v>730</v>
      </c>
      <c r="S451" t="s">
        <v>1182</v>
      </c>
      <c r="T451" s="6">
        <v>895.54</v>
      </c>
      <c r="U451" s="8">
        <v>1045</v>
      </c>
      <c r="V451" s="8">
        <f t="shared" ref="V451:V514" si="120">ABS(U451)</f>
        <v>1045</v>
      </c>
      <c r="W451" s="8" t="str">
        <f t="shared" ref="W451:W514" si="121">IF(V451 &lt;= _xlfn.PERCENTILE.INC($V$2:$V$633, 0.33), "Low", IF(V451 &lt;= _xlfn.PERCENTILE.INC($V$2:$V$633, 0.67), "Medium", "High"))</f>
        <v>Medium</v>
      </c>
      <c r="X451" s="15">
        <v>0.216</v>
      </c>
      <c r="Y451" s="15">
        <f t="shared" ref="Y451:Y514" si="122">IF(X451&gt;30%,AVERAGEIF($X$2:$X$633,"&lt;30%"),X451)</f>
        <v>0.216</v>
      </c>
      <c r="Z451" t="str">
        <f t="shared" ref="Z451:Z514" si="123">IF(Y451&gt;0.2, "Yes", "No")</f>
        <v>Yes</v>
      </c>
      <c r="AA451" s="17">
        <v>15</v>
      </c>
      <c r="AB451" s="8">
        <f t="shared" ref="AB451:AB514" si="124">U451*AA451*(1-Y451)</f>
        <v>12289.2</v>
      </c>
      <c r="AC451" s="8">
        <f t="shared" ref="AC451:AC514" si="125">T451*AA451</f>
        <v>13433.099999999999</v>
      </c>
      <c r="AD451" s="8">
        <f t="shared" ref="AD451:AD514" si="126">AB451-AC451</f>
        <v>-1143.8999999999978</v>
      </c>
      <c r="AE451" s="15">
        <f t="shared" ref="AE451:AE514" si="127" xml:space="preserve"> IF(AB451=0, 0, AD451 / AB451)</f>
        <v>-9.3081730299775234E-2</v>
      </c>
      <c r="AF451" s="34">
        <f>MIN(Y451,'Scenario Modeling'!$B$2)</f>
        <v>0.216</v>
      </c>
      <c r="AG451">
        <f>ROUND(AA451 * (1 + 'Scenario Modeling'!$B$4), 0)</f>
        <v>15</v>
      </c>
      <c r="AH451">
        <f>T451 * (1 + 'Scenario Modeling'!$B$3)</f>
        <v>895.54</v>
      </c>
      <c r="AI451" s="8">
        <f t="shared" ref="AI451:AI514" si="128">V451 * AG451 * (1 - AF451)</f>
        <v>12289.2</v>
      </c>
      <c r="AJ451" s="8">
        <f t="shared" ref="AJ451:AJ514" si="129">AI451 - (AH451 * AG451)</f>
        <v>-1143.8999999999978</v>
      </c>
    </row>
    <row r="452" spans="1:36">
      <c r="A452" t="s">
        <v>464</v>
      </c>
      <c r="B452" s="4">
        <v>45129</v>
      </c>
      <c r="C452" s="28">
        <v>45129</v>
      </c>
      <c r="D452" s="28" t="str">
        <f t="shared" si="114"/>
        <v>Q3-2023</v>
      </c>
      <c r="E452" s="4">
        <v>45128</v>
      </c>
      <c r="F452" s="4">
        <f>B452+9</f>
        <v>45138</v>
      </c>
      <c r="G452" s="17">
        <f t="shared" si="115"/>
        <v>-1</v>
      </c>
      <c r="H452" s="17">
        <f t="shared" si="116"/>
        <v>9</v>
      </c>
      <c r="I452" t="str">
        <f t="shared" si="117"/>
        <v>No</v>
      </c>
      <c r="J452" s="2">
        <f t="shared" si="118"/>
        <v>44955</v>
      </c>
      <c r="K452" t="s">
        <v>647</v>
      </c>
      <c r="L452" t="s">
        <v>654</v>
      </c>
      <c r="M452" t="s">
        <v>680</v>
      </c>
      <c r="N452" t="str">
        <f t="shared" si="119"/>
        <v>Asia - India - Delhi</v>
      </c>
      <c r="O452" t="s">
        <v>705</v>
      </c>
      <c r="P452" t="s">
        <v>710</v>
      </c>
      <c r="Q452" t="s">
        <v>718</v>
      </c>
      <c r="R452" t="s">
        <v>728</v>
      </c>
      <c r="S452" t="s">
        <v>1183</v>
      </c>
      <c r="T452" s="6">
        <v>946.99</v>
      </c>
      <c r="U452" s="8">
        <v>2132.19</v>
      </c>
      <c r="V452" s="8">
        <f t="shared" si="120"/>
        <v>2132.19</v>
      </c>
      <c r="W452" s="8" t="str">
        <f t="shared" si="121"/>
        <v>High</v>
      </c>
      <c r="X452" s="15">
        <v>0.16500000000000001</v>
      </c>
      <c r="Y452" s="15">
        <f t="shared" si="122"/>
        <v>0.16500000000000001</v>
      </c>
      <c r="Z452" t="str">
        <f t="shared" si="123"/>
        <v>No</v>
      </c>
      <c r="AA452" s="17">
        <v>7</v>
      </c>
      <c r="AB452" s="8">
        <f t="shared" si="124"/>
        <v>12462.65055</v>
      </c>
      <c r="AC452" s="8">
        <f t="shared" si="125"/>
        <v>6628.93</v>
      </c>
      <c r="AD452" s="8">
        <f t="shared" si="126"/>
        <v>5833.72055</v>
      </c>
      <c r="AE452" s="15">
        <f t="shared" si="127"/>
        <v>0.46809629513362228</v>
      </c>
      <c r="AF452" s="34">
        <f>MIN(Y452,'Scenario Modeling'!$B$2)</f>
        <v>0.16500000000000001</v>
      </c>
      <c r="AG452">
        <f>ROUND(AA452 * (1 + 'Scenario Modeling'!$B$4), 0)</f>
        <v>7</v>
      </c>
      <c r="AH452">
        <f>T452 * (1 + 'Scenario Modeling'!$B$3)</f>
        <v>946.99</v>
      </c>
      <c r="AI452" s="8">
        <f t="shared" si="128"/>
        <v>12462.65055</v>
      </c>
      <c r="AJ452" s="8">
        <f t="shared" si="129"/>
        <v>5833.72055</v>
      </c>
    </row>
    <row r="453" spans="1:36">
      <c r="A453" t="s">
        <v>465</v>
      </c>
      <c r="B453" s="4">
        <v>44945</v>
      </c>
      <c r="C453" s="28">
        <v>44945</v>
      </c>
      <c r="D453" s="28" t="str">
        <f t="shared" si="114"/>
        <v>Q1-2023</v>
      </c>
      <c r="E453" s="4">
        <v>44960</v>
      </c>
      <c r="F453" s="4">
        <v>44960</v>
      </c>
      <c r="G453" s="17">
        <f t="shared" si="115"/>
        <v>15</v>
      </c>
      <c r="H453" s="17">
        <f t="shared" si="116"/>
        <v>15</v>
      </c>
      <c r="I453" t="str">
        <f t="shared" si="117"/>
        <v>No</v>
      </c>
      <c r="J453" s="2">
        <f t="shared" si="118"/>
        <v>44945</v>
      </c>
      <c r="K453" t="s">
        <v>649</v>
      </c>
      <c r="L453" t="s">
        <v>658</v>
      </c>
      <c r="M453" t="s">
        <v>683</v>
      </c>
      <c r="N453" t="str">
        <f t="shared" si="119"/>
        <v>Europe - United Kingdom - London</v>
      </c>
      <c r="O453" t="s">
        <v>706</v>
      </c>
      <c r="P453" t="s">
        <v>710</v>
      </c>
      <c r="Q453" t="s">
        <v>715</v>
      </c>
      <c r="R453" t="s">
        <v>733</v>
      </c>
      <c r="S453" t="s">
        <v>1184</v>
      </c>
      <c r="T453" s="6">
        <v>873.06</v>
      </c>
      <c r="U453" s="8">
        <v>2101.5500000000002</v>
      </c>
      <c r="V453" s="8">
        <f t="shared" si="120"/>
        <v>2101.5500000000002</v>
      </c>
      <c r="W453" s="8" t="str">
        <f t="shared" si="121"/>
        <v>High</v>
      </c>
      <c r="X453" s="15">
        <v>6.6000000000000003E-2</v>
      </c>
      <c r="Y453" s="15">
        <f t="shared" si="122"/>
        <v>6.6000000000000003E-2</v>
      </c>
      <c r="Z453" t="str">
        <f t="shared" si="123"/>
        <v>No</v>
      </c>
      <c r="AA453" s="17">
        <v>10</v>
      </c>
      <c r="AB453" s="8">
        <f t="shared" si="124"/>
        <v>19628.476999999999</v>
      </c>
      <c r="AC453" s="8">
        <f t="shared" si="125"/>
        <v>8730.5999999999985</v>
      </c>
      <c r="AD453" s="8">
        <f t="shared" si="126"/>
        <v>10897.877</v>
      </c>
      <c r="AE453" s="15">
        <f t="shared" si="127"/>
        <v>0.55520746719167269</v>
      </c>
      <c r="AF453" s="34">
        <f>MIN(Y453,'Scenario Modeling'!$B$2)</f>
        <v>6.6000000000000003E-2</v>
      </c>
      <c r="AG453">
        <f>ROUND(AA453 * (1 + 'Scenario Modeling'!$B$4), 0)</f>
        <v>10</v>
      </c>
      <c r="AH453">
        <f>T453 * (1 + 'Scenario Modeling'!$B$3)</f>
        <v>873.06</v>
      </c>
      <c r="AI453" s="8">
        <f t="shared" si="128"/>
        <v>19628.476999999999</v>
      </c>
      <c r="AJ453" s="8">
        <f t="shared" si="129"/>
        <v>10897.877</v>
      </c>
    </row>
    <row r="454" spans="1:36">
      <c r="A454" t="s">
        <v>466</v>
      </c>
      <c r="B454" s="4">
        <v>45413</v>
      </c>
      <c r="C454" s="28">
        <v>45413</v>
      </c>
      <c r="D454" s="28" t="str">
        <f t="shared" si="114"/>
        <v>Q2-2024</v>
      </c>
      <c r="E454" s="4">
        <v>45428</v>
      </c>
      <c r="F454" s="4">
        <v>45428</v>
      </c>
      <c r="G454" s="17">
        <f t="shared" si="115"/>
        <v>15</v>
      </c>
      <c r="H454" s="17">
        <f t="shared" si="116"/>
        <v>15</v>
      </c>
      <c r="I454" t="str">
        <f t="shared" si="117"/>
        <v>No</v>
      </c>
      <c r="J454" s="2">
        <f t="shared" si="118"/>
        <v>44955</v>
      </c>
      <c r="K454" t="s">
        <v>647</v>
      </c>
      <c r="L454" t="s">
        <v>654</v>
      </c>
      <c r="M454" t="s">
        <v>668</v>
      </c>
      <c r="N454" t="str">
        <f t="shared" si="119"/>
        <v>Asia - India - Bengaluru</v>
      </c>
      <c r="O454" t="s">
        <v>705</v>
      </c>
      <c r="P454" t="s">
        <v>707</v>
      </c>
      <c r="Q454" t="s">
        <v>716</v>
      </c>
      <c r="R454" t="s">
        <v>727</v>
      </c>
      <c r="S454" t="s">
        <v>1185</v>
      </c>
      <c r="T454" s="6">
        <v>901.19</v>
      </c>
      <c r="U454" s="8">
        <v>2125.44</v>
      </c>
      <c r="V454" s="8">
        <f t="shared" si="120"/>
        <v>2125.44</v>
      </c>
      <c r="W454" s="8" t="str">
        <f t="shared" si="121"/>
        <v>High</v>
      </c>
      <c r="X454" s="15">
        <v>7.0999999999999994E-2</v>
      </c>
      <c r="Y454" s="15">
        <f t="shared" si="122"/>
        <v>7.0999999999999994E-2</v>
      </c>
      <c r="Z454" t="str">
        <f t="shared" si="123"/>
        <v>No</v>
      </c>
      <c r="AA454" s="17">
        <v>12</v>
      </c>
      <c r="AB454" s="8">
        <f t="shared" si="124"/>
        <v>23694.405119999999</v>
      </c>
      <c r="AC454" s="8">
        <f t="shared" si="125"/>
        <v>10814.28</v>
      </c>
      <c r="AD454" s="8">
        <f t="shared" si="126"/>
        <v>12880.125119999999</v>
      </c>
      <c r="AE454" s="15">
        <f t="shared" si="127"/>
        <v>0.54359352154100415</v>
      </c>
      <c r="AF454" s="34">
        <f>MIN(Y454,'Scenario Modeling'!$B$2)</f>
        <v>7.0999999999999994E-2</v>
      </c>
      <c r="AG454">
        <f>ROUND(AA454 * (1 + 'Scenario Modeling'!$B$4), 0)</f>
        <v>12</v>
      </c>
      <c r="AH454">
        <f>T454 * (1 + 'Scenario Modeling'!$B$3)</f>
        <v>901.19</v>
      </c>
      <c r="AI454" s="8">
        <f t="shared" si="128"/>
        <v>23694.405119999999</v>
      </c>
      <c r="AJ454" s="8">
        <f t="shared" si="129"/>
        <v>12880.125119999999</v>
      </c>
    </row>
    <row r="455" spans="1:36">
      <c r="A455" t="s">
        <v>467</v>
      </c>
      <c r="B455" s="4">
        <v>45817</v>
      </c>
      <c r="C455" s="28">
        <v>45817</v>
      </c>
      <c r="D455" s="28" t="str">
        <f t="shared" si="114"/>
        <v>Q2-2025</v>
      </c>
      <c r="E455" s="4">
        <v>45832</v>
      </c>
      <c r="F455" s="4">
        <v>45832</v>
      </c>
      <c r="G455" s="17">
        <f t="shared" si="115"/>
        <v>15</v>
      </c>
      <c r="H455" s="17">
        <f t="shared" si="116"/>
        <v>15</v>
      </c>
      <c r="I455" t="str">
        <f t="shared" si="117"/>
        <v>No</v>
      </c>
      <c r="J455" s="2">
        <f t="shared" si="118"/>
        <v>44988</v>
      </c>
      <c r="K455" t="s">
        <v>647</v>
      </c>
      <c r="L455" t="s">
        <v>652</v>
      </c>
      <c r="M455" t="s">
        <v>694</v>
      </c>
      <c r="N455" t="str">
        <f t="shared" si="119"/>
        <v>Asia - Japan - Nagoya</v>
      </c>
      <c r="O455" t="s">
        <v>701</v>
      </c>
      <c r="P455" t="s">
        <v>711</v>
      </c>
      <c r="Q455" t="s">
        <v>717</v>
      </c>
      <c r="R455" t="s">
        <v>730</v>
      </c>
      <c r="S455" t="s">
        <v>1186</v>
      </c>
      <c r="T455" s="6">
        <v>400.39</v>
      </c>
      <c r="U455" s="8">
        <v>712.75</v>
      </c>
      <c r="V455" s="8">
        <f t="shared" si="120"/>
        <v>712.75</v>
      </c>
      <c r="W455" s="8" t="str">
        <f t="shared" si="121"/>
        <v>Low</v>
      </c>
      <c r="X455" s="15">
        <v>0.115</v>
      </c>
      <c r="Y455" s="15">
        <f t="shared" si="122"/>
        <v>0.115</v>
      </c>
      <c r="Z455" t="str">
        <f t="shared" si="123"/>
        <v>No</v>
      </c>
      <c r="AA455" s="17">
        <v>19</v>
      </c>
      <c r="AB455" s="8">
        <f t="shared" si="124"/>
        <v>11984.891250000001</v>
      </c>
      <c r="AC455" s="8">
        <f t="shared" si="125"/>
        <v>7607.41</v>
      </c>
      <c r="AD455" s="8">
        <f t="shared" si="126"/>
        <v>4377.4812500000007</v>
      </c>
      <c r="AE455" s="15">
        <f t="shared" si="127"/>
        <v>0.36524997671547504</v>
      </c>
      <c r="AF455" s="34">
        <f>MIN(Y455,'Scenario Modeling'!$B$2)</f>
        <v>0.115</v>
      </c>
      <c r="AG455">
        <f>ROUND(AA455 * (1 + 'Scenario Modeling'!$B$4), 0)</f>
        <v>19</v>
      </c>
      <c r="AH455">
        <f>T455 * (1 + 'Scenario Modeling'!$B$3)</f>
        <v>400.39</v>
      </c>
      <c r="AI455" s="8">
        <f t="shared" si="128"/>
        <v>11984.891250000001</v>
      </c>
      <c r="AJ455" s="8">
        <f t="shared" si="129"/>
        <v>4377.4812500000007</v>
      </c>
    </row>
    <row r="456" spans="1:36">
      <c r="A456" t="s">
        <v>468</v>
      </c>
      <c r="B456" s="4">
        <v>45070</v>
      </c>
      <c r="C456" s="28">
        <v>45070</v>
      </c>
      <c r="D456" s="28" t="str">
        <f t="shared" si="114"/>
        <v>Q2-2023</v>
      </c>
      <c r="E456" s="4">
        <v>45098</v>
      </c>
      <c r="F456" s="4">
        <v>45098</v>
      </c>
      <c r="G456" s="17">
        <f t="shared" si="115"/>
        <v>28</v>
      </c>
      <c r="H456" s="17">
        <f t="shared" si="116"/>
        <v>28</v>
      </c>
      <c r="I456" t="str">
        <f t="shared" si="117"/>
        <v>No</v>
      </c>
      <c r="J456" s="2">
        <f t="shared" si="118"/>
        <v>44939</v>
      </c>
      <c r="K456" t="s">
        <v>648</v>
      </c>
      <c r="L456" t="s">
        <v>660</v>
      </c>
      <c r="M456" t="s">
        <v>697</v>
      </c>
      <c r="N456" t="str">
        <f t="shared" si="119"/>
        <v>Americas - USA - Austin</v>
      </c>
      <c r="O456" t="s">
        <v>705</v>
      </c>
      <c r="P456" t="s">
        <v>709</v>
      </c>
      <c r="Q456" t="s">
        <v>715</v>
      </c>
      <c r="R456" t="s">
        <v>732</v>
      </c>
      <c r="S456" t="s">
        <v>1187</v>
      </c>
      <c r="T456" s="6">
        <v>813.97</v>
      </c>
      <c r="U456" s="8">
        <v>1568.83</v>
      </c>
      <c r="V456" s="8">
        <f t="shared" si="120"/>
        <v>1568.83</v>
      </c>
      <c r="W456" s="8" t="str">
        <f t="shared" si="121"/>
        <v>Medium</v>
      </c>
      <c r="X456" s="15">
        <v>1.7000000000000001E-2</v>
      </c>
      <c r="Y456" s="15">
        <f t="shared" si="122"/>
        <v>1.7000000000000001E-2</v>
      </c>
      <c r="Z456" t="str">
        <f t="shared" si="123"/>
        <v>No</v>
      </c>
      <c r="AA456" s="17">
        <v>15</v>
      </c>
      <c r="AB456" s="8">
        <f t="shared" si="124"/>
        <v>23132.398349999996</v>
      </c>
      <c r="AC456" s="8">
        <f t="shared" si="125"/>
        <v>12209.550000000001</v>
      </c>
      <c r="AD456" s="8">
        <f t="shared" si="126"/>
        <v>10922.848349999995</v>
      </c>
      <c r="AE456" s="15">
        <f t="shared" si="127"/>
        <v>0.4721883215364911</v>
      </c>
      <c r="AF456" s="34">
        <f>MIN(Y456,'Scenario Modeling'!$B$2)</f>
        <v>1.7000000000000001E-2</v>
      </c>
      <c r="AG456">
        <f>ROUND(AA456 * (1 + 'Scenario Modeling'!$B$4), 0)</f>
        <v>15</v>
      </c>
      <c r="AH456">
        <f>T456 * (1 + 'Scenario Modeling'!$B$3)</f>
        <v>813.97</v>
      </c>
      <c r="AI456" s="8">
        <f t="shared" si="128"/>
        <v>23132.398349999996</v>
      </c>
      <c r="AJ456" s="8">
        <f t="shared" si="129"/>
        <v>10922.848349999995</v>
      </c>
    </row>
    <row r="457" spans="1:36">
      <c r="A457" t="s">
        <v>469</v>
      </c>
      <c r="B457" s="4">
        <v>45653</v>
      </c>
      <c r="C457" s="28">
        <v>45653</v>
      </c>
      <c r="D457" s="28" t="str">
        <f t="shared" si="114"/>
        <v>Q4-2024</v>
      </c>
      <c r="E457" s="4">
        <v>45655</v>
      </c>
      <c r="F457" s="4">
        <v>45655</v>
      </c>
      <c r="G457" s="17">
        <f t="shared" si="115"/>
        <v>2</v>
      </c>
      <c r="H457" s="17">
        <f t="shared" si="116"/>
        <v>2</v>
      </c>
      <c r="I457" t="str">
        <f t="shared" si="117"/>
        <v>Yes</v>
      </c>
      <c r="J457" s="2">
        <f t="shared" si="118"/>
        <v>44928</v>
      </c>
      <c r="K457" t="s">
        <v>648</v>
      </c>
      <c r="L457" t="s">
        <v>653</v>
      </c>
      <c r="M457" t="s">
        <v>688</v>
      </c>
      <c r="N457" t="str">
        <f t="shared" si="119"/>
        <v>Americas - Canada - Vancouver</v>
      </c>
      <c r="O457" t="s">
        <v>706</v>
      </c>
      <c r="P457" t="s">
        <v>709</v>
      </c>
      <c r="Q457" t="s">
        <v>712</v>
      </c>
      <c r="R457" t="s">
        <v>733</v>
      </c>
      <c r="S457" t="s">
        <v>1188</v>
      </c>
      <c r="T457" s="6">
        <v>1146.72</v>
      </c>
      <c r="U457" s="8">
        <v>2074.34</v>
      </c>
      <c r="V457" s="8">
        <f t="shared" si="120"/>
        <v>2074.34</v>
      </c>
      <c r="W457" s="8" t="str">
        <f t="shared" si="121"/>
        <v>High</v>
      </c>
      <c r="X457" s="15">
        <v>0.111</v>
      </c>
      <c r="Y457" s="15">
        <f t="shared" si="122"/>
        <v>0.111</v>
      </c>
      <c r="Z457" t="str">
        <f t="shared" si="123"/>
        <v>No</v>
      </c>
      <c r="AA457" s="17">
        <v>8</v>
      </c>
      <c r="AB457" s="8">
        <f t="shared" si="124"/>
        <v>14752.706080000002</v>
      </c>
      <c r="AC457" s="8">
        <f t="shared" si="125"/>
        <v>9173.76</v>
      </c>
      <c r="AD457" s="8">
        <f t="shared" si="126"/>
        <v>5578.9460800000015</v>
      </c>
      <c r="AE457" s="15">
        <f t="shared" si="127"/>
        <v>0.37816425337472737</v>
      </c>
      <c r="AF457" s="34">
        <f>MIN(Y457,'Scenario Modeling'!$B$2)</f>
        <v>0.111</v>
      </c>
      <c r="AG457">
        <f>ROUND(AA457 * (1 + 'Scenario Modeling'!$B$4), 0)</f>
        <v>8</v>
      </c>
      <c r="AH457">
        <f>T457 * (1 + 'Scenario Modeling'!$B$3)</f>
        <v>1146.72</v>
      </c>
      <c r="AI457" s="8">
        <f t="shared" si="128"/>
        <v>14752.706080000002</v>
      </c>
      <c r="AJ457" s="8">
        <f t="shared" si="129"/>
        <v>5578.9460800000015</v>
      </c>
    </row>
    <row r="458" spans="1:36">
      <c r="A458" t="s">
        <v>470</v>
      </c>
      <c r="B458" s="4">
        <v>45265</v>
      </c>
      <c r="C458" s="28">
        <v>45265</v>
      </c>
      <c r="D458" s="28" t="str">
        <f t="shared" si="114"/>
        <v>Q4-2023</v>
      </c>
      <c r="E458" s="4">
        <v>45272</v>
      </c>
      <c r="F458" s="4">
        <v>45272</v>
      </c>
      <c r="G458" s="17">
        <f t="shared" si="115"/>
        <v>7</v>
      </c>
      <c r="H458" s="17">
        <f t="shared" si="116"/>
        <v>7</v>
      </c>
      <c r="I458" t="str">
        <f t="shared" si="117"/>
        <v>Yes</v>
      </c>
      <c r="J458" s="2">
        <f t="shared" si="118"/>
        <v>44955</v>
      </c>
      <c r="K458" t="s">
        <v>648</v>
      </c>
      <c r="L458" t="s">
        <v>655</v>
      </c>
      <c r="M458" t="s">
        <v>672</v>
      </c>
      <c r="N458" t="str">
        <f t="shared" si="119"/>
        <v>Americas - Brazil - Brasília</v>
      </c>
      <c r="O458" t="s">
        <v>701</v>
      </c>
      <c r="P458" t="s">
        <v>711</v>
      </c>
      <c r="Q458" t="s">
        <v>721</v>
      </c>
      <c r="R458" t="s">
        <v>730</v>
      </c>
      <c r="S458" t="s">
        <v>1189</v>
      </c>
      <c r="T458" s="6">
        <v>307.43</v>
      </c>
      <c r="U458" s="8">
        <v>495.19</v>
      </c>
      <c r="V458" s="8">
        <f t="shared" si="120"/>
        <v>495.19</v>
      </c>
      <c r="W458" s="8" t="str">
        <f t="shared" si="121"/>
        <v>Low</v>
      </c>
      <c r="X458" s="15">
        <v>0</v>
      </c>
      <c r="Y458" s="15">
        <f t="shared" si="122"/>
        <v>0</v>
      </c>
      <c r="Z458" t="str">
        <f t="shared" si="123"/>
        <v>No</v>
      </c>
      <c r="AA458" s="17">
        <v>42</v>
      </c>
      <c r="AB458" s="8">
        <f t="shared" si="124"/>
        <v>20797.98</v>
      </c>
      <c r="AC458" s="8">
        <f t="shared" si="125"/>
        <v>12912.06</v>
      </c>
      <c r="AD458" s="8">
        <f t="shared" si="126"/>
        <v>7885.92</v>
      </c>
      <c r="AE458" s="15">
        <f t="shared" si="127"/>
        <v>0.37916759223732305</v>
      </c>
      <c r="AF458" s="34">
        <f>MIN(Y458,'Scenario Modeling'!$B$2)</f>
        <v>0</v>
      </c>
      <c r="AG458">
        <f>ROUND(AA458 * (1 + 'Scenario Modeling'!$B$4), 0)</f>
        <v>42</v>
      </c>
      <c r="AH458">
        <f>T458 * (1 + 'Scenario Modeling'!$B$3)</f>
        <v>307.43</v>
      </c>
      <c r="AI458" s="8">
        <f t="shared" si="128"/>
        <v>20797.98</v>
      </c>
      <c r="AJ458" s="8">
        <f t="shared" si="129"/>
        <v>7885.92</v>
      </c>
    </row>
    <row r="459" spans="1:36">
      <c r="A459" t="s">
        <v>471</v>
      </c>
      <c r="B459" s="4">
        <v>45048</v>
      </c>
      <c r="C459" s="28">
        <v>45048</v>
      </c>
      <c r="D459" s="28" t="str">
        <f t="shared" si="114"/>
        <v>Q2-2023</v>
      </c>
      <c r="E459" s="4">
        <v>45065</v>
      </c>
      <c r="F459" s="4">
        <v>45065</v>
      </c>
      <c r="G459" s="17">
        <f t="shared" si="115"/>
        <v>17</v>
      </c>
      <c r="H459" s="17">
        <f t="shared" si="116"/>
        <v>17</v>
      </c>
      <c r="I459" t="str">
        <f t="shared" si="117"/>
        <v>No</v>
      </c>
      <c r="J459" s="2">
        <f t="shared" si="118"/>
        <v>44938</v>
      </c>
      <c r="K459" t="s">
        <v>647</v>
      </c>
      <c r="L459" t="s">
        <v>659</v>
      </c>
      <c r="M459" t="s">
        <v>685</v>
      </c>
      <c r="N459" t="str">
        <f t="shared" si="119"/>
        <v>Asia - China - Shanghai</v>
      </c>
      <c r="O459" t="s">
        <v>703</v>
      </c>
      <c r="P459" t="s">
        <v>711</v>
      </c>
      <c r="Q459" t="s">
        <v>713</v>
      </c>
      <c r="R459" t="s">
        <v>732</v>
      </c>
      <c r="S459" t="s">
        <v>1190</v>
      </c>
      <c r="T459" s="6">
        <v>714.28</v>
      </c>
      <c r="U459" s="8">
        <v>757.59</v>
      </c>
      <c r="V459" s="8">
        <f t="shared" si="120"/>
        <v>757.59</v>
      </c>
      <c r="W459" s="8" t="str">
        <f t="shared" si="121"/>
        <v>Low</v>
      </c>
      <c r="X459" s="15">
        <v>0.13600000000000001</v>
      </c>
      <c r="Y459" s="15">
        <f t="shared" si="122"/>
        <v>0.13600000000000001</v>
      </c>
      <c r="Z459" t="str">
        <f t="shared" si="123"/>
        <v>No</v>
      </c>
      <c r="AA459" s="17">
        <v>12</v>
      </c>
      <c r="AB459" s="8">
        <f t="shared" si="124"/>
        <v>7854.6931199999999</v>
      </c>
      <c r="AC459" s="8">
        <f t="shared" si="125"/>
        <v>8571.36</v>
      </c>
      <c r="AD459" s="8">
        <f t="shared" si="126"/>
        <v>-716.66688000000067</v>
      </c>
      <c r="AE459" s="15">
        <f t="shared" si="127"/>
        <v>-9.1240595787910383E-2</v>
      </c>
      <c r="AF459" s="34">
        <f>MIN(Y459,'Scenario Modeling'!$B$2)</f>
        <v>0.13600000000000001</v>
      </c>
      <c r="AG459">
        <f>ROUND(AA459 * (1 + 'Scenario Modeling'!$B$4), 0)</f>
        <v>12</v>
      </c>
      <c r="AH459">
        <f>T459 * (1 + 'Scenario Modeling'!$B$3)</f>
        <v>714.28</v>
      </c>
      <c r="AI459" s="8">
        <f t="shared" si="128"/>
        <v>7854.6931199999999</v>
      </c>
      <c r="AJ459" s="8">
        <f t="shared" si="129"/>
        <v>-716.66688000000067</v>
      </c>
    </row>
    <row r="460" spans="1:36">
      <c r="A460" t="s">
        <v>472</v>
      </c>
      <c r="B460" s="4">
        <v>45260</v>
      </c>
      <c r="C460" s="28">
        <v>45260</v>
      </c>
      <c r="D460" s="28" t="str">
        <f t="shared" si="114"/>
        <v>Q4-2023</v>
      </c>
      <c r="E460" s="4">
        <v>45270</v>
      </c>
      <c r="F460" s="4">
        <v>45270</v>
      </c>
      <c r="G460" s="17">
        <f t="shared" si="115"/>
        <v>10</v>
      </c>
      <c r="H460" s="17">
        <f t="shared" si="116"/>
        <v>10</v>
      </c>
      <c r="I460" t="str">
        <f t="shared" si="117"/>
        <v>No</v>
      </c>
      <c r="J460" s="2">
        <f t="shared" si="118"/>
        <v>44948</v>
      </c>
      <c r="K460" t="s">
        <v>649</v>
      </c>
      <c r="L460" t="s">
        <v>656</v>
      </c>
      <c r="M460" t="s">
        <v>684</v>
      </c>
      <c r="N460" t="str">
        <f t="shared" si="119"/>
        <v>Europe - Germany - Munich</v>
      </c>
      <c r="O460" t="s">
        <v>705</v>
      </c>
      <c r="P460" t="s">
        <v>711</v>
      </c>
      <c r="Q460" t="s">
        <v>721</v>
      </c>
      <c r="R460" t="s">
        <v>731</v>
      </c>
      <c r="S460" t="s">
        <v>1191</v>
      </c>
      <c r="T460" s="6">
        <v>174.74</v>
      </c>
      <c r="U460" s="8">
        <v>415.96</v>
      </c>
      <c r="V460" s="8">
        <f t="shared" si="120"/>
        <v>415.96</v>
      </c>
      <c r="W460" s="8" t="str">
        <f t="shared" si="121"/>
        <v>Low</v>
      </c>
      <c r="X460" s="15">
        <v>0.125</v>
      </c>
      <c r="Y460" s="15">
        <f t="shared" si="122"/>
        <v>0.125</v>
      </c>
      <c r="Z460" t="str">
        <f t="shared" si="123"/>
        <v>No</v>
      </c>
      <c r="AA460" s="17">
        <v>21</v>
      </c>
      <c r="AB460" s="8">
        <f t="shared" si="124"/>
        <v>7643.2649999999994</v>
      </c>
      <c r="AC460" s="8">
        <f t="shared" si="125"/>
        <v>3669.54</v>
      </c>
      <c r="AD460" s="8">
        <f t="shared" si="126"/>
        <v>3973.7249999999995</v>
      </c>
      <c r="AE460" s="15">
        <f t="shared" si="127"/>
        <v>0.51989889137691803</v>
      </c>
      <c r="AF460" s="34">
        <f>MIN(Y460,'Scenario Modeling'!$B$2)</f>
        <v>0.125</v>
      </c>
      <c r="AG460">
        <f>ROUND(AA460 * (1 + 'Scenario Modeling'!$B$4), 0)</f>
        <v>21</v>
      </c>
      <c r="AH460">
        <f>T460 * (1 + 'Scenario Modeling'!$B$3)</f>
        <v>174.74</v>
      </c>
      <c r="AI460" s="8">
        <f t="shared" si="128"/>
        <v>7643.2649999999994</v>
      </c>
      <c r="AJ460" s="8">
        <f t="shared" si="129"/>
        <v>3973.7249999999995</v>
      </c>
    </row>
    <row r="461" spans="1:36">
      <c r="A461" t="s">
        <v>473</v>
      </c>
      <c r="B461" s="4">
        <v>45417</v>
      </c>
      <c r="C461" s="28">
        <v>45417</v>
      </c>
      <c r="D461" s="28" t="str">
        <f t="shared" si="114"/>
        <v>Q2-2024</v>
      </c>
      <c r="E461" s="4">
        <v>45430</v>
      </c>
      <c r="F461" s="4">
        <v>45430</v>
      </c>
      <c r="G461" s="17">
        <f t="shared" si="115"/>
        <v>13</v>
      </c>
      <c r="H461" s="17">
        <f t="shared" si="116"/>
        <v>13</v>
      </c>
      <c r="I461" t="str">
        <f t="shared" si="117"/>
        <v>No</v>
      </c>
      <c r="J461" s="2">
        <f t="shared" si="118"/>
        <v>44936</v>
      </c>
      <c r="K461" t="s">
        <v>649</v>
      </c>
      <c r="L461" t="s">
        <v>657</v>
      </c>
      <c r="M461" t="s">
        <v>673</v>
      </c>
      <c r="N461" t="str">
        <f t="shared" si="119"/>
        <v>Europe - France - Marseille</v>
      </c>
      <c r="O461" t="s">
        <v>701</v>
      </c>
      <c r="P461" t="s">
        <v>709</v>
      </c>
      <c r="Q461" t="s">
        <v>720</v>
      </c>
      <c r="R461" t="s">
        <v>727</v>
      </c>
      <c r="S461" t="s">
        <v>1192</v>
      </c>
      <c r="T461" s="6">
        <v>1264.04</v>
      </c>
      <c r="U461" s="8">
        <v>1870.89</v>
      </c>
      <c r="V461" s="8">
        <f t="shared" si="120"/>
        <v>1870.89</v>
      </c>
      <c r="W461" s="8" t="str">
        <f t="shared" si="121"/>
        <v>High</v>
      </c>
      <c r="X461" s="15">
        <v>0</v>
      </c>
      <c r="Y461" s="15">
        <f t="shared" si="122"/>
        <v>0</v>
      </c>
      <c r="Z461" t="str">
        <f t="shared" si="123"/>
        <v>No</v>
      </c>
      <c r="AA461" s="17">
        <v>13</v>
      </c>
      <c r="AB461" s="8">
        <f t="shared" si="124"/>
        <v>24321.57</v>
      </c>
      <c r="AC461" s="8">
        <f t="shared" si="125"/>
        <v>16432.52</v>
      </c>
      <c r="AD461" s="8">
        <f t="shared" si="126"/>
        <v>7889.0499999999993</v>
      </c>
      <c r="AE461" s="15">
        <f t="shared" si="127"/>
        <v>0.32436433996653996</v>
      </c>
      <c r="AF461" s="34">
        <f>MIN(Y461,'Scenario Modeling'!$B$2)</f>
        <v>0</v>
      </c>
      <c r="AG461">
        <f>ROUND(AA461 * (1 + 'Scenario Modeling'!$B$4), 0)</f>
        <v>13</v>
      </c>
      <c r="AH461">
        <f>T461 * (1 + 'Scenario Modeling'!$B$3)</f>
        <v>1264.04</v>
      </c>
      <c r="AI461" s="8">
        <f t="shared" si="128"/>
        <v>24321.57</v>
      </c>
      <c r="AJ461" s="8">
        <f t="shared" si="129"/>
        <v>7889.0499999999993</v>
      </c>
    </row>
    <row r="462" spans="1:36">
      <c r="A462" t="s">
        <v>474</v>
      </c>
      <c r="B462" s="4">
        <v>45116</v>
      </c>
      <c r="C462" s="28">
        <v>45116</v>
      </c>
      <c r="D462" s="28" t="str">
        <f t="shared" si="114"/>
        <v>Q3-2023</v>
      </c>
      <c r="E462" s="4">
        <v>45126</v>
      </c>
      <c r="F462" s="4">
        <v>45126</v>
      </c>
      <c r="G462" s="17">
        <f t="shared" si="115"/>
        <v>10</v>
      </c>
      <c r="H462" s="17">
        <f t="shared" si="116"/>
        <v>10</v>
      </c>
      <c r="I462" t="str">
        <f t="shared" si="117"/>
        <v>No</v>
      </c>
      <c r="J462" s="2">
        <f t="shared" si="118"/>
        <v>44988</v>
      </c>
      <c r="K462" t="s">
        <v>647</v>
      </c>
      <c r="L462" t="s">
        <v>652</v>
      </c>
      <c r="M462" t="s">
        <v>689</v>
      </c>
      <c r="N462" t="str">
        <f t="shared" si="119"/>
        <v>Asia - Japan - Tokyo</v>
      </c>
      <c r="O462" t="s">
        <v>706</v>
      </c>
      <c r="P462" t="s">
        <v>710</v>
      </c>
      <c r="Q462" t="s">
        <v>725</v>
      </c>
      <c r="R462" t="s">
        <v>727</v>
      </c>
      <c r="S462" t="s">
        <v>1193</v>
      </c>
      <c r="T462" s="6">
        <v>141.26</v>
      </c>
      <c r="U462" s="8">
        <v>206.88</v>
      </c>
      <c r="V462" s="8">
        <f t="shared" si="120"/>
        <v>206.88</v>
      </c>
      <c r="W462" s="8" t="str">
        <f t="shared" si="121"/>
        <v>Low</v>
      </c>
      <c r="X462" s="15">
        <v>0.107</v>
      </c>
      <c r="Y462" s="15">
        <f t="shared" si="122"/>
        <v>0.107</v>
      </c>
      <c r="Z462" t="str">
        <f t="shared" si="123"/>
        <v>No</v>
      </c>
      <c r="AA462" s="17">
        <v>9</v>
      </c>
      <c r="AB462" s="8">
        <f t="shared" si="124"/>
        <v>1662.6945600000001</v>
      </c>
      <c r="AC462" s="8">
        <f t="shared" si="125"/>
        <v>1271.3399999999999</v>
      </c>
      <c r="AD462" s="8">
        <f t="shared" si="126"/>
        <v>391.35456000000022</v>
      </c>
      <c r="AE462" s="15">
        <f t="shared" si="127"/>
        <v>0.23537369365062469</v>
      </c>
      <c r="AF462" s="34">
        <f>MIN(Y462,'Scenario Modeling'!$B$2)</f>
        <v>0.107</v>
      </c>
      <c r="AG462">
        <f>ROUND(AA462 * (1 + 'Scenario Modeling'!$B$4), 0)</f>
        <v>9</v>
      </c>
      <c r="AH462">
        <f>T462 * (1 + 'Scenario Modeling'!$B$3)</f>
        <v>141.26</v>
      </c>
      <c r="AI462" s="8">
        <f t="shared" si="128"/>
        <v>1662.6945600000001</v>
      </c>
      <c r="AJ462" s="8">
        <f t="shared" si="129"/>
        <v>391.35456000000022</v>
      </c>
    </row>
    <row r="463" spans="1:36">
      <c r="A463" t="s">
        <v>475</v>
      </c>
      <c r="B463" s="4">
        <v>45063</v>
      </c>
      <c r="C463" s="28">
        <v>45063</v>
      </c>
      <c r="D463" s="28" t="str">
        <f t="shared" si="114"/>
        <v>Q2-2023</v>
      </c>
      <c r="E463" s="4">
        <v>45092</v>
      </c>
      <c r="F463" s="4">
        <v>45092</v>
      </c>
      <c r="G463" s="17">
        <f t="shared" si="115"/>
        <v>29</v>
      </c>
      <c r="H463" s="17">
        <f t="shared" si="116"/>
        <v>29</v>
      </c>
      <c r="I463" t="str">
        <f t="shared" si="117"/>
        <v>No</v>
      </c>
      <c r="J463" s="2">
        <f t="shared" si="118"/>
        <v>44933</v>
      </c>
      <c r="K463" t="s">
        <v>646</v>
      </c>
      <c r="L463" t="s">
        <v>661</v>
      </c>
      <c r="M463" t="s">
        <v>687</v>
      </c>
      <c r="N463" t="str">
        <f t="shared" si="119"/>
        <v>Africa - South Africa - Durban</v>
      </c>
      <c r="O463" t="s">
        <v>706</v>
      </c>
      <c r="P463" t="s">
        <v>707</v>
      </c>
      <c r="Q463" t="s">
        <v>723</v>
      </c>
      <c r="R463" t="s">
        <v>733</v>
      </c>
      <c r="S463" t="s">
        <v>1194</v>
      </c>
      <c r="T463" s="6">
        <v>40.89</v>
      </c>
      <c r="U463" s="8">
        <v>62.82</v>
      </c>
      <c r="V463" s="8">
        <f t="shared" si="120"/>
        <v>62.82</v>
      </c>
      <c r="W463" s="8" t="str">
        <f t="shared" si="121"/>
        <v>Low</v>
      </c>
      <c r="X463" s="15">
        <v>0.129</v>
      </c>
      <c r="Y463" s="15">
        <f t="shared" si="122"/>
        <v>0.129</v>
      </c>
      <c r="Z463" t="str">
        <f t="shared" si="123"/>
        <v>No</v>
      </c>
      <c r="AA463" s="17">
        <v>17</v>
      </c>
      <c r="AB463" s="8">
        <f t="shared" si="124"/>
        <v>930.17574000000002</v>
      </c>
      <c r="AC463" s="8">
        <f t="shared" si="125"/>
        <v>695.13</v>
      </c>
      <c r="AD463" s="8">
        <f t="shared" si="126"/>
        <v>235.04574000000002</v>
      </c>
      <c r="AE463" s="15">
        <f t="shared" si="127"/>
        <v>0.25268960465470752</v>
      </c>
      <c r="AF463" s="34">
        <f>MIN(Y463,'Scenario Modeling'!$B$2)</f>
        <v>0.129</v>
      </c>
      <c r="AG463">
        <f>ROUND(AA463 * (1 + 'Scenario Modeling'!$B$4), 0)</f>
        <v>17</v>
      </c>
      <c r="AH463">
        <f>T463 * (1 + 'Scenario Modeling'!$B$3)</f>
        <v>40.89</v>
      </c>
      <c r="AI463" s="8">
        <f t="shared" si="128"/>
        <v>930.17574000000002</v>
      </c>
      <c r="AJ463" s="8">
        <f t="shared" si="129"/>
        <v>235.04574000000002</v>
      </c>
    </row>
    <row r="464" spans="1:36">
      <c r="A464" t="s">
        <v>476</v>
      </c>
      <c r="B464" s="4">
        <v>45358</v>
      </c>
      <c r="C464" s="28">
        <v>45358</v>
      </c>
      <c r="D464" s="28" t="str">
        <f t="shared" si="114"/>
        <v>Q1-2024</v>
      </c>
      <c r="E464" s="4">
        <v>45385</v>
      </c>
      <c r="F464" s="4">
        <v>45385</v>
      </c>
      <c r="G464" s="17">
        <f t="shared" si="115"/>
        <v>27</v>
      </c>
      <c r="H464" s="17">
        <f t="shared" si="116"/>
        <v>27</v>
      </c>
      <c r="I464" t="str">
        <f t="shared" si="117"/>
        <v>No</v>
      </c>
      <c r="J464" s="2">
        <f t="shared" si="118"/>
        <v>44948</v>
      </c>
      <c r="K464" t="s">
        <v>649</v>
      </c>
      <c r="L464" t="s">
        <v>656</v>
      </c>
      <c r="M464" t="s">
        <v>698</v>
      </c>
      <c r="N464" t="str">
        <f t="shared" si="119"/>
        <v>Europe - Germany - Frankfurt</v>
      </c>
      <c r="O464" t="s">
        <v>701</v>
      </c>
      <c r="P464" t="s">
        <v>711</v>
      </c>
      <c r="Q464" t="s">
        <v>724</v>
      </c>
      <c r="R464" t="s">
        <v>728</v>
      </c>
      <c r="S464" t="s">
        <v>1195</v>
      </c>
      <c r="T464" s="6">
        <v>738.16</v>
      </c>
      <c r="U464" s="8">
        <v>956.49</v>
      </c>
      <c r="V464" s="8">
        <f t="shared" si="120"/>
        <v>956.49</v>
      </c>
      <c r="W464" s="8" t="str">
        <f t="shared" si="121"/>
        <v>Medium</v>
      </c>
      <c r="X464" s="15">
        <v>0.152</v>
      </c>
      <c r="Y464" s="15">
        <f t="shared" si="122"/>
        <v>0.152</v>
      </c>
      <c r="Z464" t="str">
        <f t="shared" si="123"/>
        <v>No</v>
      </c>
      <c r="AA464" s="17">
        <v>5</v>
      </c>
      <c r="AB464" s="8">
        <f t="shared" si="124"/>
        <v>4055.5175999999997</v>
      </c>
      <c r="AC464" s="8">
        <f t="shared" si="125"/>
        <v>3690.7999999999997</v>
      </c>
      <c r="AD464" s="8">
        <f t="shared" si="126"/>
        <v>364.71759999999995</v>
      </c>
      <c r="AE464" s="15">
        <f t="shared" si="127"/>
        <v>8.9931208780847108E-2</v>
      </c>
      <c r="AF464" s="34">
        <f>MIN(Y464,'Scenario Modeling'!$B$2)</f>
        <v>0.152</v>
      </c>
      <c r="AG464">
        <f>ROUND(AA464 * (1 + 'Scenario Modeling'!$B$4), 0)</f>
        <v>5</v>
      </c>
      <c r="AH464">
        <f>T464 * (1 + 'Scenario Modeling'!$B$3)</f>
        <v>738.16</v>
      </c>
      <c r="AI464" s="8">
        <f t="shared" si="128"/>
        <v>4055.5175999999997</v>
      </c>
      <c r="AJ464" s="8">
        <f t="shared" si="129"/>
        <v>364.71759999999995</v>
      </c>
    </row>
    <row r="465" spans="1:36">
      <c r="A465" t="s">
        <v>477</v>
      </c>
      <c r="B465" s="4">
        <v>45757</v>
      </c>
      <c r="C465" s="28">
        <v>45757</v>
      </c>
      <c r="D465" s="28" t="str">
        <f t="shared" si="114"/>
        <v>Q2-2025</v>
      </c>
      <c r="E465" s="4">
        <v>45766</v>
      </c>
      <c r="F465" s="4">
        <v>45766</v>
      </c>
      <c r="G465" s="17">
        <f t="shared" si="115"/>
        <v>9</v>
      </c>
      <c r="H465" s="17">
        <f t="shared" si="116"/>
        <v>9</v>
      </c>
      <c r="I465" t="str">
        <f t="shared" si="117"/>
        <v>No</v>
      </c>
      <c r="J465" s="2">
        <f t="shared" si="118"/>
        <v>44933</v>
      </c>
      <c r="K465" t="s">
        <v>646</v>
      </c>
      <c r="L465" t="s">
        <v>661</v>
      </c>
      <c r="M465" t="s">
        <v>687</v>
      </c>
      <c r="N465" t="str">
        <f t="shared" si="119"/>
        <v>Africa - South Africa - Durban</v>
      </c>
      <c r="O465" t="s">
        <v>706</v>
      </c>
      <c r="P465" t="s">
        <v>710</v>
      </c>
      <c r="Q465" t="s">
        <v>715</v>
      </c>
      <c r="R465" t="s">
        <v>729</v>
      </c>
      <c r="S465" t="s">
        <v>1196</v>
      </c>
      <c r="T465" s="6">
        <v>113.74</v>
      </c>
      <c r="U465" s="8">
        <v>165.7</v>
      </c>
      <c r="V465" s="8">
        <f t="shared" si="120"/>
        <v>165.7</v>
      </c>
      <c r="W465" s="8" t="str">
        <f t="shared" si="121"/>
        <v>Low</v>
      </c>
      <c r="X465" s="15">
        <v>0.124</v>
      </c>
      <c r="Y465" s="15">
        <f t="shared" si="122"/>
        <v>0.124</v>
      </c>
      <c r="Z465" t="str">
        <f t="shared" si="123"/>
        <v>No</v>
      </c>
      <c r="AA465" s="17">
        <v>13</v>
      </c>
      <c r="AB465" s="8">
        <f t="shared" si="124"/>
        <v>1886.9915999999998</v>
      </c>
      <c r="AC465" s="8">
        <f t="shared" si="125"/>
        <v>1478.62</v>
      </c>
      <c r="AD465" s="8">
        <f t="shared" si="126"/>
        <v>408.37159999999994</v>
      </c>
      <c r="AE465" s="15">
        <f t="shared" si="127"/>
        <v>0.21641410592394794</v>
      </c>
      <c r="AF465" s="34">
        <f>MIN(Y465,'Scenario Modeling'!$B$2)</f>
        <v>0.124</v>
      </c>
      <c r="AG465">
        <f>ROUND(AA465 * (1 + 'Scenario Modeling'!$B$4), 0)</f>
        <v>13</v>
      </c>
      <c r="AH465">
        <f>T465 * (1 + 'Scenario Modeling'!$B$3)</f>
        <v>113.74</v>
      </c>
      <c r="AI465" s="8">
        <f t="shared" si="128"/>
        <v>1886.9915999999998</v>
      </c>
      <c r="AJ465" s="8">
        <f t="shared" si="129"/>
        <v>408.37159999999994</v>
      </c>
    </row>
    <row r="466" spans="1:36">
      <c r="A466" t="s">
        <v>478</v>
      </c>
      <c r="B466" s="4">
        <v>45865</v>
      </c>
      <c r="C466" s="28">
        <v>45865</v>
      </c>
      <c r="D466" s="28" t="str">
        <f t="shared" si="114"/>
        <v>Q3-2025</v>
      </c>
      <c r="E466" s="4">
        <v>45884</v>
      </c>
      <c r="F466" s="4">
        <v>45884</v>
      </c>
      <c r="G466" s="17">
        <f t="shared" si="115"/>
        <v>19</v>
      </c>
      <c r="H466" s="17">
        <f t="shared" si="116"/>
        <v>19</v>
      </c>
      <c r="I466" t="str">
        <f t="shared" si="117"/>
        <v>No</v>
      </c>
      <c r="J466" s="2">
        <f t="shared" si="118"/>
        <v>44988</v>
      </c>
      <c r="K466" t="s">
        <v>647</v>
      </c>
      <c r="L466" t="s">
        <v>652</v>
      </c>
      <c r="M466" t="s">
        <v>689</v>
      </c>
      <c r="N466" t="str">
        <f t="shared" si="119"/>
        <v>Asia - Japan - Tokyo</v>
      </c>
      <c r="O466" t="s">
        <v>705</v>
      </c>
      <c r="P466" t="s">
        <v>709</v>
      </c>
      <c r="Q466" t="s">
        <v>713</v>
      </c>
      <c r="R466" t="s">
        <v>727</v>
      </c>
      <c r="S466" t="s">
        <v>1197</v>
      </c>
      <c r="T466" s="6">
        <v>275.43</v>
      </c>
      <c r="U466" s="8">
        <v>608.36</v>
      </c>
      <c r="V466" s="8">
        <f t="shared" si="120"/>
        <v>608.36</v>
      </c>
      <c r="W466" s="8" t="str">
        <f t="shared" si="121"/>
        <v>Low</v>
      </c>
      <c r="X466" s="15">
        <v>0.25700000000000001</v>
      </c>
      <c r="Y466" s="15">
        <f t="shared" si="122"/>
        <v>0.25700000000000001</v>
      </c>
      <c r="Z466" t="str">
        <f t="shared" si="123"/>
        <v>Yes</v>
      </c>
      <c r="AA466" s="17">
        <v>4</v>
      </c>
      <c r="AB466" s="8">
        <f t="shared" si="124"/>
        <v>1808.04592</v>
      </c>
      <c r="AC466" s="8">
        <f t="shared" si="125"/>
        <v>1101.72</v>
      </c>
      <c r="AD466" s="8">
        <f t="shared" si="126"/>
        <v>706.32592</v>
      </c>
      <c r="AE466" s="15">
        <f t="shared" si="127"/>
        <v>0.39065706915231446</v>
      </c>
      <c r="AF466" s="34">
        <f>MIN(Y466,'Scenario Modeling'!$B$2)</f>
        <v>0.25</v>
      </c>
      <c r="AG466">
        <f>ROUND(AA466 * (1 + 'Scenario Modeling'!$B$4), 0)</f>
        <v>4</v>
      </c>
      <c r="AH466">
        <f>T466 * (1 + 'Scenario Modeling'!$B$3)</f>
        <v>275.43</v>
      </c>
      <c r="AI466" s="8">
        <f t="shared" si="128"/>
        <v>1825.08</v>
      </c>
      <c r="AJ466" s="8">
        <f t="shared" si="129"/>
        <v>723.3599999999999</v>
      </c>
    </row>
    <row r="467" spans="1:36">
      <c r="A467" t="s">
        <v>479</v>
      </c>
      <c r="B467" s="4">
        <v>45618</v>
      </c>
      <c r="C467" s="28">
        <v>45618</v>
      </c>
      <c r="D467" s="28" t="str">
        <f t="shared" si="114"/>
        <v>Q4-2024</v>
      </c>
      <c r="E467" s="4">
        <v>45641</v>
      </c>
      <c r="F467" s="4">
        <v>45641</v>
      </c>
      <c r="G467" s="17">
        <f t="shared" si="115"/>
        <v>23</v>
      </c>
      <c r="H467" s="17">
        <f t="shared" si="116"/>
        <v>23</v>
      </c>
      <c r="I467" t="str">
        <f t="shared" si="117"/>
        <v>No</v>
      </c>
      <c r="J467" s="2">
        <f t="shared" si="118"/>
        <v>44946</v>
      </c>
      <c r="K467" t="s">
        <v>646</v>
      </c>
      <c r="L467" t="s">
        <v>650</v>
      </c>
      <c r="M467" t="s">
        <v>675</v>
      </c>
      <c r="N467" t="str">
        <f t="shared" si="119"/>
        <v>Africa - Kenya - Mombasa</v>
      </c>
      <c r="O467" t="s">
        <v>703</v>
      </c>
      <c r="P467" t="s">
        <v>710</v>
      </c>
      <c r="Q467" t="s">
        <v>712</v>
      </c>
      <c r="R467" t="s">
        <v>727</v>
      </c>
      <c r="S467" t="s">
        <v>1198</v>
      </c>
      <c r="T467" s="6">
        <v>1335.76</v>
      </c>
      <c r="U467" s="8">
        <v>2665.91</v>
      </c>
      <c r="V467" s="8">
        <f t="shared" si="120"/>
        <v>2665.91</v>
      </c>
      <c r="W467" s="8" t="str">
        <f t="shared" si="121"/>
        <v>High</v>
      </c>
      <c r="X467" s="15">
        <v>0.21099999999999999</v>
      </c>
      <c r="Y467" s="15">
        <f t="shared" si="122"/>
        <v>0.21099999999999999</v>
      </c>
      <c r="Z467" t="str">
        <f t="shared" si="123"/>
        <v>Yes</v>
      </c>
      <c r="AA467" s="17">
        <v>40</v>
      </c>
      <c r="AB467" s="8">
        <f t="shared" si="124"/>
        <v>84136.119600000005</v>
      </c>
      <c r="AC467" s="8">
        <f t="shared" si="125"/>
        <v>53430.400000000001</v>
      </c>
      <c r="AD467" s="8">
        <f t="shared" si="126"/>
        <v>30705.719600000004</v>
      </c>
      <c r="AE467" s="15">
        <f t="shared" si="127"/>
        <v>0.36495288522909253</v>
      </c>
      <c r="AF467" s="34">
        <f>MIN(Y467,'Scenario Modeling'!$B$2)</f>
        <v>0.21099999999999999</v>
      </c>
      <c r="AG467">
        <f>ROUND(AA467 * (1 + 'Scenario Modeling'!$B$4), 0)</f>
        <v>40</v>
      </c>
      <c r="AH467">
        <f>T467 * (1 + 'Scenario Modeling'!$B$3)</f>
        <v>1335.76</v>
      </c>
      <c r="AI467" s="8">
        <f t="shared" si="128"/>
        <v>84136.119600000005</v>
      </c>
      <c r="AJ467" s="8">
        <f t="shared" si="129"/>
        <v>30705.719600000004</v>
      </c>
    </row>
    <row r="468" spans="1:36">
      <c r="A468" t="s">
        <v>480</v>
      </c>
      <c r="B468" s="4">
        <v>45466</v>
      </c>
      <c r="C468" s="28">
        <v>45466</v>
      </c>
      <c r="D468" s="28" t="str">
        <f t="shared" si="114"/>
        <v>Q2-2024</v>
      </c>
      <c r="E468" s="4">
        <v>45471</v>
      </c>
      <c r="F468" s="4">
        <v>45471</v>
      </c>
      <c r="G468" s="17">
        <f t="shared" si="115"/>
        <v>5</v>
      </c>
      <c r="H468" s="17">
        <f t="shared" si="116"/>
        <v>5</v>
      </c>
      <c r="I468" t="str">
        <f t="shared" si="117"/>
        <v>Yes</v>
      </c>
      <c r="J468" s="2">
        <f t="shared" si="118"/>
        <v>44941</v>
      </c>
      <c r="K468" t="s">
        <v>646</v>
      </c>
      <c r="L468" t="s">
        <v>651</v>
      </c>
      <c r="M468" t="s">
        <v>663</v>
      </c>
      <c r="N468" t="str">
        <f t="shared" si="119"/>
        <v>Africa - Nigeria - Port Harcourt</v>
      </c>
      <c r="O468" t="s">
        <v>703</v>
      </c>
      <c r="P468" t="s">
        <v>711</v>
      </c>
      <c r="Q468" t="s">
        <v>724</v>
      </c>
      <c r="R468" t="s">
        <v>733</v>
      </c>
      <c r="S468" t="s">
        <v>1199</v>
      </c>
      <c r="T468" s="6">
        <v>242.31</v>
      </c>
      <c r="U468" s="8">
        <v>587.95000000000005</v>
      </c>
      <c r="V468" s="8">
        <f t="shared" si="120"/>
        <v>587.95000000000005</v>
      </c>
      <c r="W468" s="8" t="str">
        <f t="shared" si="121"/>
        <v>Low</v>
      </c>
      <c r="X468" s="15">
        <v>0.22900000000000001</v>
      </c>
      <c r="Y468" s="15">
        <f t="shared" si="122"/>
        <v>0.22900000000000001</v>
      </c>
      <c r="Z468" t="str">
        <f t="shared" si="123"/>
        <v>Yes</v>
      </c>
      <c r="AA468" s="17">
        <v>6</v>
      </c>
      <c r="AB468" s="8">
        <f t="shared" si="124"/>
        <v>2719.8567000000003</v>
      </c>
      <c r="AC468" s="8">
        <f t="shared" si="125"/>
        <v>1453.8600000000001</v>
      </c>
      <c r="AD468" s="8">
        <f t="shared" si="126"/>
        <v>1265.9967000000001</v>
      </c>
      <c r="AE468" s="15">
        <f t="shared" si="127"/>
        <v>0.46546448568411714</v>
      </c>
      <c r="AF468" s="34">
        <f>MIN(Y468,'Scenario Modeling'!$B$2)</f>
        <v>0.22900000000000001</v>
      </c>
      <c r="AG468">
        <f>ROUND(AA468 * (1 + 'Scenario Modeling'!$B$4), 0)</f>
        <v>6</v>
      </c>
      <c r="AH468">
        <f>T468 * (1 + 'Scenario Modeling'!$B$3)</f>
        <v>242.31</v>
      </c>
      <c r="AI468" s="8">
        <f t="shared" si="128"/>
        <v>2719.8567000000003</v>
      </c>
      <c r="AJ468" s="8">
        <f t="shared" si="129"/>
        <v>1265.9967000000001</v>
      </c>
    </row>
    <row r="469" spans="1:36">
      <c r="A469" t="s">
        <v>481</v>
      </c>
      <c r="B469" s="4">
        <v>45278</v>
      </c>
      <c r="C469" s="28">
        <v>45278</v>
      </c>
      <c r="D469" s="28" t="str">
        <f t="shared" si="114"/>
        <v>Q4-2023</v>
      </c>
      <c r="E469" s="4">
        <v>45305</v>
      </c>
      <c r="F469" s="4">
        <v>45305</v>
      </c>
      <c r="G469" s="17">
        <f t="shared" si="115"/>
        <v>27</v>
      </c>
      <c r="H469" s="17">
        <f t="shared" si="116"/>
        <v>27</v>
      </c>
      <c r="I469" t="str">
        <f t="shared" si="117"/>
        <v>No</v>
      </c>
      <c r="J469" s="2">
        <f t="shared" si="118"/>
        <v>44955</v>
      </c>
      <c r="K469" t="s">
        <v>647</v>
      </c>
      <c r="L469" t="s">
        <v>654</v>
      </c>
      <c r="M469" t="s">
        <v>691</v>
      </c>
      <c r="N469" t="str">
        <f t="shared" si="119"/>
        <v>Asia - India - Mumbai</v>
      </c>
      <c r="O469" t="s">
        <v>704</v>
      </c>
      <c r="P469" t="s">
        <v>710</v>
      </c>
      <c r="Q469" t="s">
        <v>726</v>
      </c>
      <c r="R469" t="s">
        <v>729</v>
      </c>
      <c r="S469" t="s">
        <v>1200</v>
      </c>
      <c r="T469" s="6">
        <v>1408.3</v>
      </c>
      <c r="U469" s="8">
        <v>2193.13</v>
      </c>
      <c r="V469" s="8">
        <f t="shared" si="120"/>
        <v>2193.13</v>
      </c>
      <c r="W469" s="8" t="str">
        <f t="shared" si="121"/>
        <v>High</v>
      </c>
      <c r="X469" s="15">
        <v>7.0999999999999994E-2</v>
      </c>
      <c r="Y469" s="15">
        <f t="shared" si="122"/>
        <v>7.0999999999999994E-2</v>
      </c>
      <c r="Z469" t="str">
        <f t="shared" si="123"/>
        <v>No</v>
      </c>
      <c r="AA469" s="17">
        <v>7</v>
      </c>
      <c r="AB469" s="8">
        <f t="shared" si="124"/>
        <v>14261.92439</v>
      </c>
      <c r="AC469" s="8">
        <f t="shared" si="125"/>
        <v>9858.1</v>
      </c>
      <c r="AD469" s="8">
        <f t="shared" si="126"/>
        <v>4403.8243899999998</v>
      </c>
      <c r="AE469" s="15">
        <f t="shared" si="127"/>
        <v>0.30878191957656281</v>
      </c>
      <c r="AF469" s="34">
        <f>MIN(Y469,'Scenario Modeling'!$B$2)</f>
        <v>7.0999999999999994E-2</v>
      </c>
      <c r="AG469">
        <f>ROUND(AA469 * (1 + 'Scenario Modeling'!$B$4), 0)</f>
        <v>7</v>
      </c>
      <c r="AH469">
        <f>T469 * (1 + 'Scenario Modeling'!$B$3)</f>
        <v>1408.3</v>
      </c>
      <c r="AI469" s="8">
        <f t="shared" si="128"/>
        <v>14261.92439</v>
      </c>
      <c r="AJ469" s="8">
        <f t="shared" si="129"/>
        <v>4403.8243899999998</v>
      </c>
    </row>
    <row r="470" spans="1:36">
      <c r="A470" t="s">
        <v>482</v>
      </c>
      <c r="B470" s="4">
        <v>45809</v>
      </c>
      <c r="C470" s="28">
        <v>45809</v>
      </c>
      <c r="D470" s="28" t="str">
        <f t="shared" si="114"/>
        <v>Q2-2025</v>
      </c>
      <c r="E470" s="4">
        <v>45813</v>
      </c>
      <c r="F470" s="4">
        <v>45813</v>
      </c>
      <c r="G470" s="17">
        <f t="shared" si="115"/>
        <v>4</v>
      </c>
      <c r="H470" s="17">
        <f t="shared" si="116"/>
        <v>4</v>
      </c>
      <c r="I470" t="str">
        <f t="shared" si="117"/>
        <v>Yes</v>
      </c>
      <c r="J470" s="2">
        <f t="shared" si="118"/>
        <v>44948</v>
      </c>
      <c r="K470" t="s">
        <v>649</v>
      </c>
      <c r="L470" t="s">
        <v>656</v>
      </c>
      <c r="M470" t="s">
        <v>684</v>
      </c>
      <c r="N470" t="str">
        <f t="shared" si="119"/>
        <v>Europe - Germany - Munich</v>
      </c>
      <c r="O470" t="s">
        <v>706</v>
      </c>
      <c r="P470" t="s">
        <v>711</v>
      </c>
      <c r="Q470" t="s">
        <v>724</v>
      </c>
      <c r="R470" t="s">
        <v>727</v>
      </c>
      <c r="S470" t="s">
        <v>1201</v>
      </c>
      <c r="T470" s="6">
        <v>1171.42</v>
      </c>
      <c r="U470" s="8">
        <v>2187.8000000000002</v>
      </c>
      <c r="V470" s="8">
        <f t="shared" si="120"/>
        <v>2187.8000000000002</v>
      </c>
      <c r="W470" s="8" t="str">
        <f t="shared" si="121"/>
        <v>High</v>
      </c>
      <c r="X470" s="15">
        <v>0.23</v>
      </c>
      <c r="Y470" s="15">
        <f t="shared" si="122"/>
        <v>0.23</v>
      </c>
      <c r="Z470" t="str">
        <f t="shared" si="123"/>
        <v>Yes</v>
      </c>
      <c r="AA470" s="17">
        <v>15</v>
      </c>
      <c r="AB470" s="8">
        <f t="shared" si="124"/>
        <v>25269.09</v>
      </c>
      <c r="AC470" s="8">
        <f t="shared" si="125"/>
        <v>17571.300000000003</v>
      </c>
      <c r="AD470" s="8">
        <f t="shared" si="126"/>
        <v>7697.7899999999972</v>
      </c>
      <c r="AE470" s="15">
        <f t="shared" si="127"/>
        <v>0.30463265594447592</v>
      </c>
      <c r="AF470" s="34">
        <f>MIN(Y470,'Scenario Modeling'!$B$2)</f>
        <v>0.23</v>
      </c>
      <c r="AG470">
        <f>ROUND(AA470 * (1 + 'Scenario Modeling'!$B$4), 0)</f>
        <v>15</v>
      </c>
      <c r="AH470">
        <f>T470 * (1 + 'Scenario Modeling'!$B$3)</f>
        <v>1171.42</v>
      </c>
      <c r="AI470" s="8">
        <f t="shared" si="128"/>
        <v>25269.09</v>
      </c>
      <c r="AJ470" s="8">
        <f t="shared" si="129"/>
        <v>7697.7899999999972</v>
      </c>
    </row>
    <row r="471" spans="1:36">
      <c r="A471" t="s">
        <v>483</v>
      </c>
      <c r="B471" s="4">
        <v>45739</v>
      </c>
      <c r="C471" s="28">
        <v>45739</v>
      </c>
      <c r="D471" s="28" t="str">
        <f t="shared" si="114"/>
        <v>Q1-2025</v>
      </c>
      <c r="E471" s="4">
        <v>45749</v>
      </c>
      <c r="F471" s="4">
        <v>45749</v>
      </c>
      <c r="G471" s="17">
        <f t="shared" si="115"/>
        <v>10</v>
      </c>
      <c r="H471" s="17">
        <f t="shared" si="116"/>
        <v>10</v>
      </c>
      <c r="I471" t="str">
        <f t="shared" si="117"/>
        <v>No</v>
      </c>
      <c r="J471" s="2">
        <f t="shared" si="118"/>
        <v>44948</v>
      </c>
      <c r="K471" t="s">
        <v>649</v>
      </c>
      <c r="L471" t="s">
        <v>656</v>
      </c>
      <c r="M471" t="s">
        <v>671</v>
      </c>
      <c r="N471" t="str">
        <f t="shared" si="119"/>
        <v>Europe - Germany - Berlin</v>
      </c>
      <c r="O471" t="s">
        <v>706</v>
      </c>
      <c r="P471" t="s">
        <v>708</v>
      </c>
      <c r="Q471" t="s">
        <v>718</v>
      </c>
      <c r="R471" t="s">
        <v>728</v>
      </c>
      <c r="S471" t="s">
        <v>1202</v>
      </c>
      <c r="T471" s="6">
        <v>663.61</v>
      </c>
      <c r="U471" s="8">
        <v>1002.11</v>
      </c>
      <c r="V471" s="8">
        <f t="shared" si="120"/>
        <v>1002.11</v>
      </c>
      <c r="W471" s="8" t="str">
        <f t="shared" si="121"/>
        <v>Medium</v>
      </c>
      <c r="X471" s="15">
        <v>4.5999999999999999E-2</v>
      </c>
      <c r="Y471" s="15">
        <f t="shared" si="122"/>
        <v>4.5999999999999999E-2</v>
      </c>
      <c r="Z471" t="str">
        <f t="shared" si="123"/>
        <v>No</v>
      </c>
      <c r="AA471" s="17">
        <v>17</v>
      </c>
      <c r="AB471" s="8">
        <f t="shared" si="124"/>
        <v>16252.219979999998</v>
      </c>
      <c r="AC471" s="8">
        <f t="shared" si="125"/>
        <v>11281.37</v>
      </c>
      <c r="AD471" s="8">
        <f t="shared" si="126"/>
        <v>4970.8499799999972</v>
      </c>
      <c r="AE471" s="15">
        <f t="shared" si="127"/>
        <v>0.30585667595670812</v>
      </c>
      <c r="AF471" s="34">
        <f>MIN(Y471,'Scenario Modeling'!$B$2)</f>
        <v>4.5999999999999999E-2</v>
      </c>
      <c r="AG471">
        <f>ROUND(AA471 * (1 + 'Scenario Modeling'!$B$4), 0)</f>
        <v>17</v>
      </c>
      <c r="AH471">
        <f>T471 * (1 + 'Scenario Modeling'!$B$3)</f>
        <v>663.61</v>
      </c>
      <c r="AI471" s="8">
        <f t="shared" si="128"/>
        <v>16252.219979999998</v>
      </c>
      <c r="AJ471" s="8">
        <f t="shared" si="129"/>
        <v>4970.8499799999972</v>
      </c>
    </row>
    <row r="472" spans="1:36">
      <c r="A472" t="s">
        <v>484</v>
      </c>
      <c r="B472" s="4">
        <v>45060</v>
      </c>
      <c r="C472" s="28">
        <v>45060</v>
      </c>
      <c r="D472" s="28" t="str">
        <f t="shared" si="114"/>
        <v>Q2-2023</v>
      </c>
      <c r="E472" s="4">
        <v>45068</v>
      </c>
      <c r="F472" s="4">
        <v>45068</v>
      </c>
      <c r="G472" s="17">
        <f t="shared" si="115"/>
        <v>8</v>
      </c>
      <c r="H472" s="17">
        <f t="shared" si="116"/>
        <v>8</v>
      </c>
      <c r="I472" t="str">
        <f t="shared" si="117"/>
        <v>No</v>
      </c>
      <c r="J472" s="2">
        <f t="shared" si="118"/>
        <v>44946</v>
      </c>
      <c r="K472" t="s">
        <v>646</v>
      </c>
      <c r="L472" t="s">
        <v>650</v>
      </c>
      <c r="M472" t="s">
        <v>675</v>
      </c>
      <c r="N472" t="str">
        <f t="shared" si="119"/>
        <v>Africa - Kenya - Mombasa</v>
      </c>
      <c r="O472" t="s">
        <v>705</v>
      </c>
      <c r="P472" t="s">
        <v>710</v>
      </c>
      <c r="Q472" t="s">
        <v>721</v>
      </c>
      <c r="R472" t="s">
        <v>728</v>
      </c>
      <c r="S472" t="s">
        <v>1203</v>
      </c>
      <c r="T472" s="6">
        <v>432.01</v>
      </c>
      <c r="U472" s="8">
        <v>913.78</v>
      </c>
      <c r="V472" s="8">
        <f t="shared" si="120"/>
        <v>913.78</v>
      </c>
      <c r="W472" s="8" t="str">
        <f t="shared" si="121"/>
        <v>Medium</v>
      </c>
      <c r="X472" s="15">
        <v>4.9000000000000002E-2</v>
      </c>
      <c r="Y472" s="15">
        <f t="shared" si="122"/>
        <v>4.9000000000000002E-2</v>
      </c>
      <c r="Z472" t="str">
        <f t="shared" si="123"/>
        <v>No</v>
      </c>
      <c r="AA472" s="17">
        <v>12</v>
      </c>
      <c r="AB472" s="8">
        <f t="shared" si="124"/>
        <v>10428.057360000001</v>
      </c>
      <c r="AC472" s="8">
        <f t="shared" si="125"/>
        <v>5184.12</v>
      </c>
      <c r="AD472" s="8">
        <f t="shared" si="126"/>
        <v>5243.9373600000008</v>
      </c>
      <c r="AE472" s="15">
        <f t="shared" si="127"/>
        <v>0.50286809699711899</v>
      </c>
      <c r="AF472" s="34">
        <f>MIN(Y472,'Scenario Modeling'!$B$2)</f>
        <v>4.9000000000000002E-2</v>
      </c>
      <c r="AG472">
        <f>ROUND(AA472 * (1 + 'Scenario Modeling'!$B$4), 0)</f>
        <v>12</v>
      </c>
      <c r="AH472">
        <f>T472 * (1 + 'Scenario Modeling'!$B$3)</f>
        <v>432.01</v>
      </c>
      <c r="AI472" s="8">
        <f t="shared" si="128"/>
        <v>10428.057360000001</v>
      </c>
      <c r="AJ472" s="8">
        <f t="shared" si="129"/>
        <v>5243.9373600000008</v>
      </c>
    </row>
    <row r="473" spans="1:36">
      <c r="A473" t="s">
        <v>485</v>
      </c>
      <c r="B473" s="4">
        <v>45167</v>
      </c>
      <c r="C473" s="28">
        <v>45167</v>
      </c>
      <c r="D473" s="28" t="str">
        <f t="shared" si="114"/>
        <v>Q3-2023</v>
      </c>
      <c r="E473" s="4">
        <v>45188</v>
      </c>
      <c r="F473" s="4">
        <v>45188</v>
      </c>
      <c r="G473" s="17">
        <f t="shared" si="115"/>
        <v>21</v>
      </c>
      <c r="H473" s="17">
        <f t="shared" si="116"/>
        <v>21</v>
      </c>
      <c r="I473" t="str">
        <f t="shared" si="117"/>
        <v>No</v>
      </c>
      <c r="J473" s="2">
        <f t="shared" si="118"/>
        <v>44936</v>
      </c>
      <c r="K473" t="s">
        <v>649</v>
      </c>
      <c r="L473" t="s">
        <v>657</v>
      </c>
      <c r="M473" t="s">
        <v>679</v>
      </c>
      <c r="N473" t="str">
        <f t="shared" si="119"/>
        <v>Europe - France - Lyon</v>
      </c>
      <c r="O473" t="s">
        <v>705</v>
      </c>
      <c r="P473" t="s">
        <v>711</v>
      </c>
      <c r="Q473" t="s">
        <v>717</v>
      </c>
      <c r="R473" t="s">
        <v>728</v>
      </c>
      <c r="S473" t="s">
        <v>1204</v>
      </c>
      <c r="T473" s="6">
        <v>784.46</v>
      </c>
      <c r="U473" s="8">
        <v>1843.51</v>
      </c>
      <c r="V473" s="8">
        <f t="shared" si="120"/>
        <v>1843.51</v>
      </c>
      <c r="W473" s="8" t="str">
        <f t="shared" si="121"/>
        <v>High</v>
      </c>
      <c r="X473" s="15">
        <v>0.13800000000000001</v>
      </c>
      <c r="Y473" s="15">
        <f t="shared" si="122"/>
        <v>0.13800000000000001</v>
      </c>
      <c r="Z473" t="str">
        <f t="shared" si="123"/>
        <v>No</v>
      </c>
      <c r="AA473" s="17">
        <v>23</v>
      </c>
      <c r="AB473" s="8">
        <f t="shared" si="124"/>
        <v>36549.429260000004</v>
      </c>
      <c r="AC473" s="8">
        <f t="shared" si="125"/>
        <v>18042.580000000002</v>
      </c>
      <c r="AD473" s="8">
        <f t="shared" si="126"/>
        <v>18506.849260000003</v>
      </c>
      <c r="AE473" s="15">
        <f t="shared" si="127"/>
        <v>0.50635125184441798</v>
      </c>
      <c r="AF473" s="34">
        <f>MIN(Y473,'Scenario Modeling'!$B$2)</f>
        <v>0.13800000000000001</v>
      </c>
      <c r="AG473">
        <f>ROUND(AA473 * (1 + 'Scenario Modeling'!$B$4), 0)</f>
        <v>23</v>
      </c>
      <c r="AH473">
        <f>T473 * (1 + 'Scenario Modeling'!$B$3)</f>
        <v>784.46</v>
      </c>
      <c r="AI473" s="8">
        <f t="shared" si="128"/>
        <v>36549.429260000004</v>
      </c>
      <c r="AJ473" s="8">
        <f t="shared" si="129"/>
        <v>18506.849260000003</v>
      </c>
    </row>
    <row r="474" spans="1:36">
      <c r="A474" t="s">
        <v>486</v>
      </c>
      <c r="B474" s="4">
        <v>45841</v>
      </c>
      <c r="C474" s="28">
        <v>45841</v>
      </c>
      <c r="D474" s="28" t="str">
        <f t="shared" si="114"/>
        <v>Q3-2025</v>
      </c>
      <c r="E474" s="4">
        <v>45861</v>
      </c>
      <c r="F474" s="4">
        <v>45861</v>
      </c>
      <c r="G474" s="17">
        <f t="shared" si="115"/>
        <v>20</v>
      </c>
      <c r="H474" s="17">
        <f t="shared" si="116"/>
        <v>20</v>
      </c>
      <c r="I474" t="str">
        <f t="shared" si="117"/>
        <v>No</v>
      </c>
      <c r="J474" s="2">
        <f t="shared" si="118"/>
        <v>44938</v>
      </c>
      <c r="K474" t="s">
        <v>647</v>
      </c>
      <c r="L474" t="s">
        <v>659</v>
      </c>
      <c r="M474" t="s">
        <v>699</v>
      </c>
      <c r="N474" t="str">
        <f t="shared" si="119"/>
        <v>Asia - China - Beijing</v>
      </c>
      <c r="O474" t="s">
        <v>705</v>
      </c>
      <c r="P474" t="s">
        <v>708</v>
      </c>
      <c r="Q474" t="s">
        <v>724</v>
      </c>
      <c r="R474" t="s">
        <v>727</v>
      </c>
      <c r="S474" t="s">
        <v>1205</v>
      </c>
      <c r="T474" s="6">
        <v>647.36</v>
      </c>
      <c r="U474" s="8">
        <v>1383.6</v>
      </c>
      <c r="V474" s="8">
        <f t="shared" si="120"/>
        <v>1383.6</v>
      </c>
      <c r="W474" s="8" t="str">
        <f t="shared" si="121"/>
        <v>Medium</v>
      </c>
      <c r="X474" s="15">
        <v>7.3999999999999996E-2</v>
      </c>
      <c r="Y474" s="15">
        <f t="shared" si="122"/>
        <v>7.3999999999999996E-2</v>
      </c>
      <c r="Z474" t="str">
        <f t="shared" si="123"/>
        <v>No</v>
      </c>
      <c r="AA474" s="17">
        <v>12</v>
      </c>
      <c r="AB474" s="8">
        <f t="shared" si="124"/>
        <v>15374.563199999999</v>
      </c>
      <c r="AC474" s="8">
        <f t="shared" si="125"/>
        <v>7768.32</v>
      </c>
      <c r="AD474" s="8">
        <f t="shared" si="126"/>
        <v>7606.243199999999</v>
      </c>
      <c r="AE474" s="15">
        <f t="shared" si="127"/>
        <v>0.49472906000997802</v>
      </c>
      <c r="AF474" s="34">
        <f>MIN(Y474,'Scenario Modeling'!$B$2)</f>
        <v>7.3999999999999996E-2</v>
      </c>
      <c r="AG474">
        <f>ROUND(AA474 * (1 + 'Scenario Modeling'!$B$4), 0)</f>
        <v>12</v>
      </c>
      <c r="AH474">
        <f>T474 * (1 + 'Scenario Modeling'!$B$3)</f>
        <v>647.36</v>
      </c>
      <c r="AI474" s="8">
        <f t="shared" si="128"/>
        <v>15374.563199999999</v>
      </c>
      <c r="AJ474" s="8">
        <f t="shared" si="129"/>
        <v>7606.243199999999</v>
      </c>
    </row>
    <row r="475" spans="1:36">
      <c r="A475" t="s">
        <v>487</v>
      </c>
      <c r="B475" s="4">
        <v>45328</v>
      </c>
      <c r="C475" s="28">
        <v>45328</v>
      </c>
      <c r="D475" s="28" t="str">
        <f t="shared" si="114"/>
        <v>Q1-2024</v>
      </c>
      <c r="E475" s="4">
        <v>45350</v>
      </c>
      <c r="F475" s="4">
        <v>45350</v>
      </c>
      <c r="G475" s="17">
        <f t="shared" si="115"/>
        <v>22</v>
      </c>
      <c r="H475" s="17">
        <f t="shared" si="116"/>
        <v>22</v>
      </c>
      <c r="I475" t="str">
        <f t="shared" si="117"/>
        <v>No</v>
      </c>
      <c r="J475" s="2">
        <f t="shared" si="118"/>
        <v>44946</v>
      </c>
      <c r="K475" t="s">
        <v>646</v>
      </c>
      <c r="L475" t="s">
        <v>650</v>
      </c>
      <c r="M475" t="s">
        <v>662</v>
      </c>
      <c r="N475" t="str">
        <f t="shared" si="119"/>
        <v>Africa - Kenya - Kisumu</v>
      </c>
      <c r="O475" t="s">
        <v>703</v>
      </c>
      <c r="P475" t="s">
        <v>708</v>
      </c>
      <c r="Q475" t="s">
        <v>723</v>
      </c>
      <c r="R475" t="s">
        <v>732</v>
      </c>
      <c r="S475" t="s">
        <v>1206</v>
      </c>
      <c r="T475" s="6">
        <v>834.93</v>
      </c>
      <c r="U475" s="8">
        <v>1588.53</v>
      </c>
      <c r="V475" s="8">
        <f t="shared" si="120"/>
        <v>1588.53</v>
      </c>
      <c r="W475" s="8" t="str">
        <f t="shared" si="121"/>
        <v>Medium</v>
      </c>
      <c r="X475" s="15">
        <v>0.126</v>
      </c>
      <c r="Y475" s="15">
        <f t="shared" si="122"/>
        <v>0.126</v>
      </c>
      <c r="Z475" t="str">
        <f t="shared" si="123"/>
        <v>No</v>
      </c>
      <c r="AA475" s="17">
        <v>6</v>
      </c>
      <c r="AB475" s="8">
        <f t="shared" si="124"/>
        <v>8330.2513199999994</v>
      </c>
      <c r="AC475" s="8">
        <f t="shared" si="125"/>
        <v>5009.58</v>
      </c>
      <c r="AD475" s="8">
        <f t="shared" si="126"/>
        <v>3320.6713199999995</v>
      </c>
      <c r="AE475" s="15">
        <f t="shared" si="127"/>
        <v>0.39862798761274343</v>
      </c>
      <c r="AF475" s="34">
        <f>MIN(Y475,'Scenario Modeling'!$B$2)</f>
        <v>0.126</v>
      </c>
      <c r="AG475">
        <f>ROUND(AA475 * (1 + 'Scenario Modeling'!$B$4), 0)</f>
        <v>6</v>
      </c>
      <c r="AH475">
        <f>T475 * (1 + 'Scenario Modeling'!$B$3)</f>
        <v>834.93</v>
      </c>
      <c r="AI475" s="8">
        <f t="shared" si="128"/>
        <v>8330.2513199999994</v>
      </c>
      <c r="AJ475" s="8">
        <f t="shared" si="129"/>
        <v>3320.6713199999995</v>
      </c>
    </row>
    <row r="476" spans="1:36">
      <c r="A476" t="s">
        <v>488</v>
      </c>
      <c r="B476" s="4">
        <v>45882</v>
      </c>
      <c r="C476" s="28">
        <v>45882</v>
      </c>
      <c r="D476" s="28" t="str">
        <f t="shared" si="114"/>
        <v>Q3-2025</v>
      </c>
      <c r="E476" s="4">
        <v>45903</v>
      </c>
      <c r="F476" s="4">
        <v>45903</v>
      </c>
      <c r="G476" s="17">
        <f t="shared" si="115"/>
        <v>21</v>
      </c>
      <c r="H476" s="17">
        <f t="shared" si="116"/>
        <v>21</v>
      </c>
      <c r="I476" t="str">
        <f t="shared" si="117"/>
        <v>No</v>
      </c>
      <c r="J476" s="2">
        <f t="shared" si="118"/>
        <v>44936</v>
      </c>
      <c r="K476" t="s">
        <v>649</v>
      </c>
      <c r="L476" t="s">
        <v>657</v>
      </c>
      <c r="M476" t="s">
        <v>690</v>
      </c>
      <c r="N476" t="str">
        <f t="shared" si="119"/>
        <v>Europe - France - Paris</v>
      </c>
      <c r="O476" t="s">
        <v>702</v>
      </c>
      <c r="P476" t="s">
        <v>707</v>
      </c>
      <c r="Q476" t="s">
        <v>714</v>
      </c>
      <c r="R476" t="s">
        <v>730</v>
      </c>
      <c r="S476" t="s">
        <v>1207</v>
      </c>
      <c r="T476" s="6">
        <v>603.47</v>
      </c>
      <c r="U476" s="8">
        <v>1344.05</v>
      </c>
      <c r="V476" s="8">
        <f t="shared" si="120"/>
        <v>1344.05</v>
      </c>
      <c r="W476" s="8" t="str">
        <f t="shared" si="121"/>
        <v>Medium</v>
      </c>
      <c r="X476" s="15">
        <v>0.20499999999999999</v>
      </c>
      <c r="Y476" s="15">
        <f t="shared" si="122"/>
        <v>0.20499999999999999</v>
      </c>
      <c r="Z476" t="str">
        <f t="shared" si="123"/>
        <v>Yes</v>
      </c>
      <c r="AA476" s="17">
        <v>18</v>
      </c>
      <c r="AB476" s="8">
        <f t="shared" si="124"/>
        <v>19233.355499999998</v>
      </c>
      <c r="AC476" s="8">
        <f t="shared" si="125"/>
        <v>10862.460000000001</v>
      </c>
      <c r="AD476" s="8">
        <f t="shared" si="126"/>
        <v>8370.8954999999969</v>
      </c>
      <c r="AE476" s="15">
        <f t="shared" si="127"/>
        <v>0.43522803392262976</v>
      </c>
      <c r="AF476" s="34">
        <f>MIN(Y476,'Scenario Modeling'!$B$2)</f>
        <v>0.20499999999999999</v>
      </c>
      <c r="AG476">
        <f>ROUND(AA476 * (1 + 'Scenario Modeling'!$B$4), 0)</f>
        <v>18</v>
      </c>
      <c r="AH476">
        <f>T476 * (1 + 'Scenario Modeling'!$B$3)</f>
        <v>603.47</v>
      </c>
      <c r="AI476" s="8">
        <f t="shared" si="128"/>
        <v>19233.355499999998</v>
      </c>
      <c r="AJ476" s="8">
        <f t="shared" si="129"/>
        <v>8370.8954999999969</v>
      </c>
    </row>
    <row r="477" spans="1:36">
      <c r="A477" t="s">
        <v>489</v>
      </c>
      <c r="B477" s="4">
        <v>45069</v>
      </c>
      <c r="C477" s="28">
        <v>45069</v>
      </c>
      <c r="D477" s="28" t="str">
        <f t="shared" si="114"/>
        <v>Q2-2023</v>
      </c>
      <c r="E477" s="4">
        <v>45071</v>
      </c>
      <c r="F477" s="4">
        <v>45071</v>
      </c>
      <c r="G477" s="17">
        <f t="shared" si="115"/>
        <v>2</v>
      </c>
      <c r="H477" s="17">
        <f t="shared" si="116"/>
        <v>2</v>
      </c>
      <c r="I477" t="str">
        <f t="shared" si="117"/>
        <v>Yes</v>
      </c>
      <c r="J477" s="2">
        <f t="shared" si="118"/>
        <v>44955</v>
      </c>
      <c r="K477" t="s">
        <v>648</v>
      </c>
      <c r="L477" t="s">
        <v>655</v>
      </c>
      <c r="M477" t="s">
        <v>692</v>
      </c>
      <c r="N477" t="str">
        <f t="shared" si="119"/>
        <v>Americas - Brazil - Rio de Janeiro</v>
      </c>
      <c r="O477" t="s">
        <v>706</v>
      </c>
      <c r="P477" t="s">
        <v>707</v>
      </c>
      <c r="Q477" t="s">
        <v>724</v>
      </c>
      <c r="R477" t="s">
        <v>728</v>
      </c>
      <c r="S477" t="s">
        <v>1208</v>
      </c>
      <c r="T477" s="6">
        <v>690.49</v>
      </c>
      <c r="U477" s="8">
        <v>1290.29</v>
      </c>
      <c r="V477" s="8">
        <f t="shared" si="120"/>
        <v>1290.29</v>
      </c>
      <c r="W477" s="8" t="str">
        <f t="shared" si="121"/>
        <v>Medium</v>
      </c>
      <c r="X477" s="15">
        <v>4.2000000000000003E-2</v>
      </c>
      <c r="Y477" s="15">
        <f t="shared" si="122"/>
        <v>4.2000000000000003E-2</v>
      </c>
      <c r="Z477" t="str">
        <f t="shared" si="123"/>
        <v>No</v>
      </c>
      <c r="AA477" s="17">
        <v>22</v>
      </c>
      <c r="AB477" s="8">
        <f t="shared" si="124"/>
        <v>27194.152039999997</v>
      </c>
      <c r="AC477" s="8">
        <f t="shared" si="125"/>
        <v>15190.78</v>
      </c>
      <c r="AD477" s="8">
        <f t="shared" si="126"/>
        <v>12003.372039999997</v>
      </c>
      <c r="AE477" s="15">
        <f t="shared" si="127"/>
        <v>0.44139534199647718</v>
      </c>
      <c r="AF477" s="34">
        <f>MIN(Y477,'Scenario Modeling'!$B$2)</f>
        <v>4.2000000000000003E-2</v>
      </c>
      <c r="AG477">
        <f>ROUND(AA477 * (1 + 'Scenario Modeling'!$B$4), 0)</f>
        <v>22</v>
      </c>
      <c r="AH477">
        <f>T477 * (1 + 'Scenario Modeling'!$B$3)</f>
        <v>690.49</v>
      </c>
      <c r="AI477" s="8">
        <f t="shared" si="128"/>
        <v>27194.152039999997</v>
      </c>
      <c r="AJ477" s="8">
        <f t="shared" si="129"/>
        <v>12003.372039999997</v>
      </c>
    </row>
    <row r="478" spans="1:36">
      <c r="A478" t="s">
        <v>490</v>
      </c>
      <c r="B478" s="4">
        <v>45422</v>
      </c>
      <c r="C478" s="28">
        <v>45422</v>
      </c>
      <c r="D478" s="28" t="str">
        <f t="shared" si="114"/>
        <v>Q2-2024</v>
      </c>
      <c r="E478" s="4">
        <v>45428</v>
      </c>
      <c r="F478" s="4">
        <v>45428</v>
      </c>
      <c r="G478" s="17">
        <f t="shared" si="115"/>
        <v>6</v>
      </c>
      <c r="H478" s="17">
        <f t="shared" si="116"/>
        <v>6</v>
      </c>
      <c r="I478" t="str">
        <f t="shared" si="117"/>
        <v>Yes</v>
      </c>
      <c r="J478" s="2">
        <f t="shared" si="118"/>
        <v>44945</v>
      </c>
      <c r="K478" t="s">
        <v>649</v>
      </c>
      <c r="L478" t="s">
        <v>658</v>
      </c>
      <c r="M478" t="s">
        <v>674</v>
      </c>
      <c r="N478" t="str">
        <f t="shared" si="119"/>
        <v>Europe - United Kingdom - Birmingham</v>
      </c>
      <c r="O478" t="s">
        <v>703</v>
      </c>
      <c r="P478" t="s">
        <v>711</v>
      </c>
      <c r="Q478" t="s">
        <v>715</v>
      </c>
      <c r="R478" t="s">
        <v>731</v>
      </c>
      <c r="S478" t="s">
        <v>1209</v>
      </c>
      <c r="T478" s="6">
        <v>210.76</v>
      </c>
      <c r="U478" s="8">
        <v>221.58</v>
      </c>
      <c r="V478" s="8">
        <f t="shared" si="120"/>
        <v>221.58</v>
      </c>
      <c r="W478" s="8" t="str">
        <f t="shared" si="121"/>
        <v>Low</v>
      </c>
      <c r="X478" s="15">
        <v>8.8999999999999996E-2</v>
      </c>
      <c r="Y478" s="15">
        <f t="shared" si="122"/>
        <v>8.8999999999999996E-2</v>
      </c>
      <c r="Z478" t="str">
        <f t="shared" si="123"/>
        <v>No</v>
      </c>
      <c r="AA478" s="17">
        <v>5</v>
      </c>
      <c r="AB478" s="8">
        <f t="shared" si="124"/>
        <v>1009.2969000000002</v>
      </c>
      <c r="AC478" s="8">
        <f t="shared" si="125"/>
        <v>1053.8</v>
      </c>
      <c r="AD478" s="8">
        <f t="shared" si="126"/>
        <v>-44.50309999999979</v>
      </c>
      <c r="AE478" s="15">
        <f t="shared" si="127"/>
        <v>-4.4093170205912434E-2</v>
      </c>
      <c r="AF478" s="34">
        <f>MIN(Y478,'Scenario Modeling'!$B$2)</f>
        <v>8.8999999999999996E-2</v>
      </c>
      <c r="AG478">
        <f>ROUND(AA478 * (1 + 'Scenario Modeling'!$B$4), 0)</f>
        <v>5</v>
      </c>
      <c r="AH478">
        <f>T478 * (1 + 'Scenario Modeling'!$B$3)</f>
        <v>210.76</v>
      </c>
      <c r="AI478" s="8">
        <f t="shared" si="128"/>
        <v>1009.2969000000002</v>
      </c>
      <c r="AJ478" s="8">
        <f t="shared" si="129"/>
        <v>-44.50309999999979</v>
      </c>
    </row>
    <row r="479" spans="1:36">
      <c r="A479" t="s">
        <v>491</v>
      </c>
      <c r="B479" s="4">
        <v>44999</v>
      </c>
      <c r="C479" s="28">
        <v>44999</v>
      </c>
      <c r="D479" s="28" t="str">
        <f t="shared" si="114"/>
        <v>Q1-2023</v>
      </c>
      <c r="E479" s="4">
        <v>45003</v>
      </c>
      <c r="F479" s="4">
        <v>45003</v>
      </c>
      <c r="G479" s="17">
        <f t="shared" si="115"/>
        <v>4</v>
      </c>
      <c r="H479" s="17">
        <f t="shared" si="116"/>
        <v>4</v>
      </c>
      <c r="I479" t="str">
        <f t="shared" si="117"/>
        <v>Yes</v>
      </c>
      <c r="J479" s="2">
        <f t="shared" si="118"/>
        <v>44948</v>
      </c>
      <c r="K479" t="s">
        <v>649</v>
      </c>
      <c r="L479" t="s">
        <v>656</v>
      </c>
      <c r="M479" t="s">
        <v>698</v>
      </c>
      <c r="N479" t="str">
        <f t="shared" si="119"/>
        <v>Europe - Germany - Frankfurt</v>
      </c>
      <c r="O479" t="s">
        <v>706</v>
      </c>
      <c r="P479" t="s">
        <v>711</v>
      </c>
      <c r="Q479" t="s">
        <v>720</v>
      </c>
      <c r="R479" t="s">
        <v>727</v>
      </c>
      <c r="S479" t="s">
        <v>1210</v>
      </c>
      <c r="T479" s="6">
        <v>472.33</v>
      </c>
      <c r="U479" s="8">
        <v>360.34</v>
      </c>
      <c r="V479" s="8">
        <f t="shared" si="120"/>
        <v>360.34</v>
      </c>
      <c r="W479" s="8" t="str">
        <f t="shared" si="121"/>
        <v>Low</v>
      </c>
      <c r="X479" s="15">
        <v>0.16500000000000001</v>
      </c>
      <c r="Y479" s="15">
        <f t="shared" si="122"/>
        <v>0.16500000000000001</v>
      </c>
      <c r="Z479" t="str">
        <f t="shared" si="123"/>
        <v>No</v>
      </c>
      <c r="AA479" s="17">
        <v>14</v>
      </c>
      <c r="AB479" s="8">
        <f t="shared" si="124"/>
        <v>4212.3745999999992</v>
      </c>
      <c r="AC479" s="8">
        <f t="shared" si="125"/>
        <v>6612.62</v>
      </c>
      <c r="AD479" s="8">
        <f t="shared" si="126"/>
        <v>-2400.2454000000007</v>
      </c>
      <c r="AE479" s="15">
        <f t="shared" si="127"/>
        <v>-0.56980815523861561</v>
      </c>
      <c r="AF479" s="34">
        <f>MIN(Y479,'Scenario Modeling'!$B$2)</f>
        <v>0.16500000000000001</v>
      </c>
      <c r="AG479">
        <f>ROUND(AA479 * (1 + 'Scenario Modeling'!$B$4), 0)</f>
        <v>14</v>
      </c>
      <c r="AH479">
        <f>T479 * (1 + 'Scenario Modeling'!$B$3)</f>
        <v>472.33</v>
      </c>
      <c r="AI479" s="8">
        <f t="shared" si="128"/>
        <v>4212.3745999999992</v>
      </c>
      <c r="AJ479" s="8">
        <f t="shared" si="129"/>
        <v>-2400.2454000000007</v>
      </c>
    </row>
    <row r="480" spans="1:36">
      <c r="A480" t="s">
        <v>492</v>
      </c>
      <c r="B480" s="4">
        <v>45123</v>
      </c>
      <c r="C480" s="28">
        <v>45123</v>
      </c>
      <c r="D480" s="28" t="str">
        <f t="shared" si="114"/>
        <v>Q3-2023</v>
      </c>
      <c r="E480" s="4">
        <v>45151</v>
      </c>
      <c r="F480" s="4">
        <v>45151</v>
      </c>
      <c r="G480" s="17">
        <f t="shared" si="115"/>
        <v>28</v>
      </c>
      <c r="H480" s="17">
        <f t="shared" si="116"/>
        <v>28</v>
      </c>
      <c r="I480" t="str">
        <f t="shared" si="117"/>
        <v>No</v>
      </c>
      <c r="J480" s="2">
        <f t="shared" si="118"/>
        <v>44945</v>
      </c>
      <c r="K480" t="s">
        <v>649</v>
      </c>
      <c r="L480" t="s">
        <v>658</v>
      </c>
      <c r="M480" t="s">
        <v>693</v>
      </c>
      <c r="N480" t="str">
        <f t="shared" si="119"/>
        <v>Europe - United Kingdom - Manchester</v>
      </c>
      <c r="O480" t="s">
        <v>703</v>
      </c>
      <c r="P480" t="s">
        <v>708</v>
      </c>
      <c r="Q480" t="s">
        <v>713</v>
      </c>
      <c r="R480" t="s">
        <v>731</v>
      </c>
      <c r="S480" t="s">
        <v>1211</v>
      </c>
      <c r="T480" s="6">
        <v>1039.03</v>
      </c>
      <c r="U480" s="8">
        <v>2545.81</v>
      </c>
      <c r="V480" s="8">
        <f t="shared" si="120"/>
        <v>2545.81</v>
      </c>
      <c r="W480" s="8" t="str">
        <f t="shared" si="121"/>
        <v>High</v>
      </c>
      <c r="X480" s="15">
        <v>0.216</v>
      </c>
      <c r="Y480" s="15">
        <f t="shared" si="122"/>
        <v>0.216</v>
      </c>
      <c r="Z480" t="str">
        <f t="shared" si="123"/>
        <v>Yes</v>
      </c>
      <c r="AA480" s="17">
        <v>21</v>
      </c>
      <c r="AB480" s="8">
        <f t="shared" si="124"/>
        <v>41914.215840000004</v>
      </c>
      <c r="AC480" s="8">
        <f t="shared" si="125"/>
        <v>21819.63</v>
      </c>
      <c r="AD480" s="8">
        <f t="shared" si="126"/>
        <v>20094.585840000003</v>
      </c>
      <c r="AE480" s="15">
        <f t="shared" si="127"/>
        <v>0.47942172929364774</v>
      </c>
      <c r="AF480" s="34">
        <f>MIN(Y480,'Scenario Modeling'!$B$2)</f>
        <v>0.216</v>
      </c>
      <c r="AG480">
        <f>ROUND(AA480 * (1 + 'Scenario Modeling'!$B$4), 0)</f>
        <v>21</v>
      </c>
      <c r="AH480">
        <f>T480 * (1 + 'Scenario Modeling'!$B$3)</f>
        <v>1039.03</v>
      </c>
      <c r="AI480" s="8">
        <f t="shared" si="128"/>
        <v>41914.215840000004</v>
      </c>
      <c r="AJ480" s="8">
        <f t="shared" si="129"/>
        <v>20094.585840000003</v>
      </c>
    </row>
    <row r="481" spans="1:36">
      <c r="A481" t="s">
        <v>493</v>
      </c>
      <c r="B481" s="4">
        <v>45032</v>
      </c>
      <c r="C481" s="28">
        <v>45032</v>
      </c>
      <c r="D481" s="28" t="str">
        <f t="shared" si="114"/>
        <v>Q2-2023</v>
      </c>
      <c r="E481" s="4">
        <v>45035</v>
      </c>
      <c r="F481" s="4">
        <v>45035</v>
      </c>
      <c r="G481" s="17">
        <f t="shared" si="115"/>
        <v>3</v>
      </c>
      <c r="H481" s="17">
        <f t="shared" si="116"/>
        <v>3</v>
      </c>
      <c r="I481" t="str">
        <f t="shared" si="117"/>
        <v>Yes</v>
      </c>
      <c r="J481" s="2">
        <f t="shared" si="118"/>
        <v>44948</v>
      </c>
      <c r="K481" t="s">
        <v>649</v>
      </c>
      <c r="L481" t="s">
        <v>656</v>
      </c>
      <c r="M481" t="s">
        <v>684</v>
      </c>
      <c r="N481" t="str">
        <f t="shared" si="119"/>
        <v>Europe - Germany - Munich</v>
      </c>
      <c r="O481" t="s">
        <v>701</v>
      </c>
      <c r="P481" t="s">
        <v>711</v>
      </c>
      <c r="Q481" t="s">
        <v>717</v>
      </c>
      <c r="R481" t="s">
        <v>733</v>
      </c>
      <c r="S481" t="s">
        <v>1212</v>
      </c>
      <c r="T481" s="6">
        <v>553.61</v>
      </c>
      <c r="U481" s="8">
        <v>699.47</v>
      </c>
      <c r="V481" s="8">
        <f t="shared" si="120"/>
        <v>699.47</v>
      </c>
      <c r="W481" s="8" t="str">
        <f t="shared" si="121"/>
        <v>Low</v>
      </c>
      <c r="X481" s="15">
        <v>0.02</v>
      </c>
      <c r="Y481" s="15">
        <f t="shared" si="122"/>
        <v>0.02</v>
      </c>
      <c r="Z481" t="str">
        <f t="shared" si="123"/>
        <v>No</v>
      </c>
      <c r="AA481" s="17">
        <v>33</v>
      </c>
      <c r="AB481" s="8">
        <f t="shared" si="124"/>
        <v>22620.859800000002</v>
      </c>
      <c r="AC481" s="8">
        <f t="shared" si="125"/>
        <v>18269.13</v>
      </c>
      <c r="AD481" s="8">
        <f t="shared" si="126"/>
        <v>4351.729800000001</v>
      </c>
      <c r="AE481" s="15">
        <f t="shared" si="127"/>
        <v>0.19237685209472014</v>
      </c>
      <c r="AF481" s="34">
        <f>MIN(Y481,'Scenario Modeling'!$B$2)</f>
        <v>0.02</v>
      </c>
      <c r="AG481">
        <f>ROUND(AA481 * (1 + 'Scenario Modeling'!$B$4), 0)</f>
        <v>33</v>
      </c>
      <c r="AH481">
        <f>T481 * (1 + 'Scenario Modeling'!$B$3)</f>
        <v>553.61</v>
      </c>
      <c r="AI481" s="8">
        <f t="shared" si="128"/>
        <v>22620.859800000002</v>
      </c>
      <c r="AJ481" s="8">
        <f t="shared" si="129"/>
        <v>4351.729800000001</v>
      </c>
    </row>
    <row r="482" spans="1:36">
      <c r="A482" t="s">
        <v>494</v>
      </c>
      <c r="B482" s="4">
        <v>45293</v>
      </c>
      <c r="C482" s="28">
        <v>45293</v>
      </c>
      <c r="D482" s="28" t="str">
        <f t="shared" si="114"/>
        <v>Q1-2024</v>
      </c>
      <c r="E482" s="4">
        <v>45306</v>
      </c>
      <c r="F482" s="4">
        <v>45306</v>
      </c>
      <c r="G482" s="17">
        <f t="shared" si="115"/>
        <v>13</v>
      </c>
      <c r="H482" s="17">
        <f t="shared" si="116"/>
        <v>13</v>
      </c>
      <c r="I482" t="str">
        <f t="shared" si="117"/>
        <v>No</v>
      </c>
      <c r="J482" s="2">
        <f t="shared" si="118"/>
        <v>44988</v>
      </c>
      <c r="K482" t="s">
        <v>647</v>
      </c>
      <c r="L482" t="s">
        <v>652</v>
      </c>
      <c r="M482" t="s">
        <v>694</v>
      </c>
      <c r="N482" t="str">
        <f t="shared" si="119"/>
        <v>Asia - Japan - Nagoya</v>
      </c>
      <c r="O482" t="s">
        <v>705</v>
      </c>
      <c r="P482" t="s">
        <v>709</v>
      </c>
      <c r="Q482" t="s">
        <v>715</v>
      </c>
      <c r="R482" t="s">
        <v>729</v>
      </c>
      <c r="S482" t="s">
        <v>1213</v>
      </c>
      <c r="T482" s="6">
        <v>1219.06</v>
      </c>
      <c r="U482" s="8">
        <v>2738.69</v>
      </c>
      <c r="V482" s="8">
        <f t="shared" si="120"/>
        <v>2738.69</v>
      </c>
      <c r="W482" s="8" t="str">
        <f t="shared" si="121"/>
        <v>High</v>
      </c>
      <c r="X482" s="15">
        <v>7.5999999999999998E-2</v>
      </c>
      <c r="Y482" s="15">
        <f t="shared" si="122"/>
        <v>7.5999999999999998E-2</v>
      </c>
      <c r="Z482" t="str">
        <f t="shared" si="123"/>
        <v>No</v>
      </c>
      <c r="AA482" s="17">
        <v>16</v>
      </c>
      <c r="AB482" s="8">
        <f t="shared" si="124"/>
        <v>40488.792960000006</v>
      </c>
      <c r="AC482" s="8">
        <f t="shared" si="125"/>
        <v>19504.96</v>
      </c>
      <c r="AD482" s="8">
        <f t="shared" si="126"/>
        <v>20983.832960000007</v>
      </c>
      <c r="AE482" s="15">
        <f t="shared" si="127"/>
        <v>0.51826274447673737</v>
      </c>
      <c r="AF482" s="34">
        <f>MIN(Y482,'Scenario Modeling'!$B$2)</f>
        <v>7.5999999999999998E-2</v>
      </c>
      <c r="AG482">
        <f>ROUND(AA482 * (1 + 'Scenario Modeling'!$B$4), 0)</f>
        <v>16</v>
      </c>
      <c r="AH482">
        <f>T482 * (1 + 'Scenario Modeling'!$B$3)</f>
        <v>1219.06</v>
      </c>
      <c r="AI482" s="8">
        <f t="shared" si="128"/>
        <v>40488.792960000006</v>
      </c>
      <c r="AJ482" s="8">
        <f t="shared" si="129"/>
        <v>20983.832960000007</v>
      </c>
    </row>
    <row r="483" spans="1:36">
      <c r="A483" t="s">
        <v>495</v>
      </c>
      <c r="B483" s="4">
        <v>45538</v>
      </c>
      <c r="C483" s="28">
        <v>45538</v>
      </c>
      <c r="D483" s="28" t="str">
        <f t="shared" si="114"/>
        <v>Q3-2024</v>
      </c>
      <c r="E483" s="4">
        <v>45542</v>
      </c>
      <c r="F483" s="4">
        <v>45542</v>
      </c>
      <c r="G483" s="17">
        <f t="shared" si="115"/>
        <v>4</v>
      </c>
      <c r="H483" s="17">
        <f t="shared" si="116"/>
        <v>4</v>
      </c>
      <c r="I483" t="str">
        <f t="shared" si="117"/>
        <v>Yes</v>
      </c>
      <c r="J483" s="2">
        <f t="shared" si="118"/>
        <v>44988</v>
      </c>
      <c r="K483" t="s">
        <v>647</v>
      </c>
      <c r="L483" t="s">
        <v>652</v>
      </c>
      <c r="M483" t="s">
        <v>689</v>
      </c>
      <c r="N483" t="str">
        <f t="shared" si="119"/>
        <v>Asia - Japan - Tokyo</v>
      </c>
      <c r="O483" t="s">
        <v>705</v>
      </c>
      <c r="P483" t="s">
        <v>710</v>
      </c>
      <c r="Q483" t="s">
        <v>725</v>
      </c>
      <c r="R483" t="s">
        <v>728</v>
      </c>
      <c r="S483" t="s">
        <v>1214</v>
      </c>
      <c r="T483" s="6">
        <v>43.23</v>
      </c>
      <c r="U483" s="8">
        <v>94.78</v>
      </c>
      <c r="V483" s="8">
        <f t="shared" si="120"/>
        <v>94.78</v>
      </c>
      <c r="W483" s="8" t="str">
        <f t="shared" si="121"/>
        <v>Low</v>
      </c>
      <c r="X483" s="15">
        <v>9.0999999999999998E-2</v>
      </c>
      <c r="Y483" s="15">
        <f t="shared" si="122"/>
        <v>9.0999999999999998E-2</v>
      </c>
      <c r="Z483" t="str">
        <f t="shared" si="123"/>
        <v>No</v>
      </c>
      <c r="AA483" s="17">
        <v>55</v>
      </c>
      <c r="AB483" s="8">
        <f t="shared" si="124"/>
        <v>4738.5261</v>
      </c>
      <c r="AC483" s="8">
        <f t="shared" si="125"/>
        <v>2377.6499999999996</v>
      </c>
      <c r="AD483" s="8">
        <f t="shared" si="126"/>
        <v>2360.8761000000004</v>
      </c>
      <c r="AE483" s="15">
        <f t="shared" si="127"/>
        <v>0.49823005090127082</v>
      </c>
      <c r="AF483" s="34">
        <f>MIN(Y483,'Scenario Modeling'!$B$2)</f>
        <v>9.0999999999999998E-2</v>
      </c>
      <c r="AG483">
        <f>ROUND(AA483 * (1 + 'Scenario Modeling'!$B$4), 0)</f>
        <v>55</v>
      </c>
      <c r="AH483">
        <f>T483 * (1 + 'Scenario Modeling'!$B$3)</f>
        <v>43.23</v>
      </c>
      <c r="AI483" s="8">
        <f t="shared" si="128"/>
        <v>4738.5261</v>
      </c>
      <c r="AJ483" s="8">
        <f t="shared" si="129"/>
        <v>2360.8761000000004</v>
      </c>
    </row>
    <row r="484" spans="1:36">
      <c r="A484" t="s">
        <v>496</v>
      </c>
      <c r="B484" s="4">
        <v>45899</v>
      </c>
      <c r="C484" s="28">
        <v>45899</v>
      </c>
      <c r="D484" s="28" t="str">
        <f t="shared" si="114"/>
        <v>Q3-2025</v>
      </c>
      <c r="E484" s="4">
        <v>45903</v>
      </c>
      <c r="F484" s="4">
        <v>45903</v>
      </c>
      <c r="G484" s="17">
        <f t="shared" si="115"/>
        <v>4</v>
      </c>
      <c r="H484" s="17">
        <f t="shared" si="116"/>
        <v>4</v>
      </c>
      <c r="I484" t="str">
        <f t="shared" si="117"/>
        <v>Yes</v>
      </c>
      <c r="J484" s="2">
        <f t="shared" si="118"/>
        <v>44936</v>
      </c>
      <c r="K484" t="s">
        <v>649</v>
      </c>
      <c r="L484" t="s">
        <v>657</v>
      </c>
      <c r="M484" t="s">
        <v>673</v>
      </c>
      <c r="N484" t="str">
        <f t="shared" si="119"/>
        <v>Europe - France - Marseille</v>
      </c>
      <c r="O484" t="s">
        <v>705</v>
      </c>
      <c r="P484" t="s">
        <v>709</v>
      </c>
      <c r="Q484" t="s">
        <v>713</v>
      </c>
      <c r="R484" t="s">
        <v>731</v>
      </c>
      <c r="S484" t="s">
        <v>1215</v>
      </c>
      <c r="T484" s="6">
        <v>1286.56</v>
      </c>
      <c r="U484" s="8">
        <v>2777.35</v>
      </c>
      <c r="V484" s="8">
        <f t="shared" si="120"/>
        <v>2777.35</v>
      </c>
      <c r="W484" s="8" t="str">
        <f t="shared" si="121"/>
        <v>High</v>
      </c>
      <c r="X484" s="15">
        <v>0.13200000000000001</v>
      </c>
      <c r="Y484" s="15">
        <f t="shared" si="122"/>
        <v>0.13200000000000001</v>
      </c>
      <c r="Z484" t="str">
        <f t="shared" si="123"/>
        <v>No</v>
      </c>
      <c r="AA484" s="17">
        <v>15</v>
      </c>
      <c r="AB484" s="8">
        <f t="shared" si="124"/>
        <v>36161.097000000002</v>
      </c>
      <c r="AC484" s="8">
        <f t="shared" si="125"/>
        <v>19298.399999999998</v>
      </c>
      <c r="AD484" s="8">
        <f t="shared" si="126"/>
        <v>16862.697000000004</v>
      </c>
      <c r="AE484" s="15">
        <f t="shared" si="127"/>
        <v>0.46632150014696744</v>
      </c>
      <c r="AF484" s="34">
        <f>MIN(Y484,'Scenario Modeling'!$B$2)</f>
        <v>0.13200000000000001</v>
      </c>
      <c r="AG484">
        <f>ROUND(AA484 * (1 + 'Scenario Modeling'!$B$4), 0)</f>
        <v>15</v>
      </c>
      <c r="AH484">
        <f>T484 * (1 + 'Scenario Modeling'!$B$3)</f>
        <v>1286.56</v>
      </c>
      <c r="AI484" s="8">
        <f t="shared" si="128"/>
        <v>36161.097000000002</v>
      </c>
      <c r="AJ484" s="8">
        <f t="shared" si="129"/>
        <v>16862.697000000004</v>
      </c>
    </row>
    <row r="485" spans="1:36">
      <c r="A485" t="s">
        <v>497</v>
      </c>
      <c r="B485" s="4">
        <v>45775</v>
      </c>
      <c r="C485" s="28">
        <v>45775</v>
      </c>
      <c r="D485" s="28" t="str">
        <f t="shared" si="114"/>
        <v>Q2-2025</v>
      </c>
      <c r="E485" s="4">
        <v>45796</v>
      </c>
      <c r="F485" s="4">
        <v>45796</v>
      </c>
      <c r="G485" s="17">
        <f t="shared" si="115"/>
        <v>21</v>
      </c>
      <c r="H485" s="17">
        <f t="shared" si="116"/>
        <v>21</v>
      </c>
      <c r="I485" t="str">
        <f t="shared" si="117"/>
        <v>No</v>
      </c>
      <c r="J485" s="2">
        <f t="shared" si="118"/>
        <v>44948</v>
      </c>
      <c r="K485" t="s">
        <v>649</v>
      </c>
      <c r="L485" t="s">
        <v>656</v>
      </c>
      <c r="M485" t="s">
        <v>671</v>
      </c>
      <c r="N485" t="str">
        <f t="shared" si="119"/>
        <v>Europe - Germany - Berlin</v>
      </c>
      <c r="O485" t="s">
        <v>701</v>
      </c>
      <c r="P485" t="s">
        <v>710</v>
      </c>
      <c r="Q485" t="s">
        <v>717</v>
      </c>
      <c r="R485" t="s">
        <v>730</v>
      </c>
      <c r="S485" t="s">
        <v>1216</v>
      </c>
      <c r="T485" s="6">
        <v>350.76</v>
      </c>
      <c r="U485" s="8">
        <v>492.18</v>
      </c>
      <c r="V485" s="8">
        <f t="shared" si="120"/>
        <v>492.18</v>
      </c>
      <c r="W485" s="8" t="str">
        <f t="shared" si="121"/>
        <v>Low</v>
      </c>
      <c r="X485" s="15">
        <v>5.2999999999999999E-2</v>
      </c>
      <c r="Y485" s="15">
        <f t="shared" si="122"/>
        <v>5.2999999999999999E-2</v>
      </c>
      <c r="Z485" t="str">
        <f t="shared" si="123"/>
        <v>No</v>
      </c>
      <c r="AA485" s="17">
        <v>11</v>
      </c>
      <c r="AB485" s="8">
        <f t="shared" si="124"/>
        <v>5127.0390600000001</v>
      </c>
      <c r="AC485" s="8">
        <f t="shared" si="125"/>
        <v>3858.3599999999997</v>
      </c>
      <c r="AD485" s="8">
        <f t="shared" si="126"/>
        <v>1268.6790600000004</v>
      </c>
      <c r="AE485" s="15">
        <f t="shared" si="127"/>
        <v>0.24744868239798437</v>
      </c>
      <c r="AF485" s="34">
        <f>MIN(Y485,'Scenario Modeling'!$B$2)</f>
        <v>5.2999999999999999E-2</v>
      </c>
      <c r="AG485">
        <f>ROUND(AA485 * (1 + 'Scenario Modeling'!$B$4), 0)</f>
        <v>11</v>
      </c>
      <c r="AH485">
        <f>T485 * (1 + 'Scenario Modeling'!$B$3)</f>
        <v>350.76</v>
      </c>
      <c r="AI485" s="8">
        <f t="shared" si="128"/>
        <v>5127.0390600000001</v>
      </c>
      <c r="AJ485" s="8">
        <f t="shared" si="129"/>
        <v>1268.6790600000004</v>
      </c>
    </row>
    <row r="486" spans="1:36">
      <c r="A486" t="s">
        <v>498</v>
      </c>
      <c r="B486" s="4">
        <v>45148</v>
      </c>
      <c r="C486" s="28">
        <v>45148</v>
      </c>
      <c r="D486" s="28" t="str">
        <f t="shared" si="114"/>
        <v>Q3-2023</v>
      </c>
      <c r="E486" s="4">
        <v>45153</v>
      </c>
      <c r="F486" s="4">
        <v>45153</v>
      </c>
      <c r="G486" s="17">
        <f t="shared" si="115"/>
        <v>5</v>
      </c>
      <c r="H486" s="17">
        <f t="shared" si="116"/>
        <v>5</v>
      </c>
      <c r="I486" t="str">
        <f t="shared" si="117"/>
        <v>Yes</v>
      </c>
      <c r="J486" s="2">
        <f t="shared" si="118"/>
        <v>44955</v>
      </c>
      <c r="K486" t="s">
        <v>648</v>
      </c>
      <c r="L486" t="s">
        <v>655</v>
      </c>
      <c r="M486" t="s">
        <v>670</v>
      </c>
      <c r="N486" t="str">
        <f t="shared" si="119"/>
        <v>Americas - Brazil - São Paulo</v>
      </c>
      <c r="O486" t="s">
        <v>702</v>
      </c>
      <c r="P486" t="s">
        <v>711</v>
      </c>
      <c r="Q486" t="s">
        <v>715</v>
      </c>
      <c r="R486" t="s">
        <v>729</v>
      </c>
      <c r="S486" t="s">
        <v>1217</v>
      </c>
      <c r="T486" s="6">
        <v>1307.52</v>
      </c>
      <c r="U486" s="8">
        <v>1921.65</v>
      </c>
      <c r="V486" s="8">
        <f t="shared" si="120"/>
        <v>1921.65</v>
      </c>
      <c r="W486" s="8" t="str">
        <f t="shared" si="121"/>
        <v>High</v>
      </c>
      <c r="X486" s="15">
        <v>0.123</v>
      </c>
      <c r="Y486" s="15">
        <f t="shared" si="122"/>
        <v>0.123</v>
      </c>
      <c r="Z486" t="str">
        <f t="shared" si="123"/>
        <v>No</v>
      </c>
      <c r="AA486" s="17">
        <v>13</v>
      </c>
      <c r="AB486" s="8">
        <f t="shared" si="124"/>
        <v>21908.731650000002</v>
      </c>
      <c r="AC486" s="8">
        <f t="shared" si="125"/>
        <v>16997.759999999998</v>
      </c>
      <c r="AD486" s="8">
        <f t="shared" si="126"/>
        <v>4910.9716500000031</v>
      </c>
      <c r="AE486" s="15">
        <f t="shared" si="127"/>
        <v>0.22415590863289445</v>
      </c>
      <c r="AF486" s="34">
        <f>MIN(Y486,'Scenario Modeling'!$B$2)</f>
        <v>0.123</v>
      </c>
      <c r="AG486">
        <f>ROUND(AA486 * (1 + 'Scenario Modeling'!$B$4), 0)</f>
        <v>13</v>
      </c>
      <c r="AH486">
        <f>T486 * (1 + 'Scenario Modeling'!$B$3)</f>
        <v>1307.52</v>
      </c>
      <c r="AI486" s="8">
        <f t="shared" si="128"/>
        <v>21908.731650000002</v>
      </c>
      <c r="AJ486" s="8">
        <f t="shared" si="129"/>
        <v>4910.9716500000031</v>
      </c>
    </row>
    <row r="487" spans="1:36">
      <c r="A487" t="s">
        <v>499</v>
      </c>
      <c r="B487" s="4">
        <v>45634</v>
      </c>
      <c r="C487" s="28">
        <v>45634</v>
      </c>
      <c r="D487" s="28" t="str">
        <f t="shared" si="114"/>
        <v>Q4-2024</v>
      </c>
      <c r="E487" s="4">
        <v>45634</v>
      </c>
      <c r="F487" s="4">
        <v>45634</v>
      </c>
      <c r="G487" s="17">
        <f t="shared" si="115"/>
        <v>0</v>
      </c>
      <c r="H487" s="17">
        <f t="shared" si="116"/>
        <v>0</v>
      </c>
      <c r="I487" t="str">
        <f t="shared" si="117"/>
        <v>Yes</v>
      </c>
      <c r="J487" s="2">
        <f t="shared" si="118"/>
        <v>44936</v>
      </c>
      <c r="K487" t="s">
        <v>649</v>
      </c>
      <c r="L487" t="s">
        <v>657</v>
      </c>
      <c r="M487" t="s">
        <v>679</v>
      </c>
      <c r="N487" t="str">
        <f t="shared" si="119"/>
        <v>Europe - France - Lyon</v>
      </c>
      <c r="O487" t="s">
        <v>706</v>
      </c>
      <c r="P487" t="s">
        <v>707</v>
      </c>
      <c r="Q487" t="s">
        <v>722</v>
      </c>
      <c r="R487" t="s">
        <v>727</v>
      </c>
      <c r="S487" t="s">
        <v>1218</v>
      </c>
      <c r="T487" s="6">
        <v>257.44</v>
      </c>
      <c r="U487" s="8">
        <v>290.33</v>
      </c>
      <c r="V487" s="8">
        <f t="shared" si="120"/>
        <v>290.33</v>
      </c>
      <c r="W487" s="8" t="str">
        <f t="shared" si="121"/>
        <v>Low</v>
      </c>
      <c r="X487" s="15">
        <v>9.1999999999999998E-2</v>
      </c>
      <c r="Y487" s="15">
        <f t="shared" si="122"/>
        <v>9.1999999999999998E-2</v>
      </c>
      <c r="Z487" t="str">
        <f t="shared" si="123"/>
        <v>No</v>
      </c>
      <c r="AA487" s="17">
        <v>23</v>
      </c>
      <c r="AB487" s="8">
        <f t="shared" si="124"/>
        <v>6063.2517199999993</v>
      </c>
      <c r="AC487" s="8">
        <f t="shared" si="125"/>
        <v>5921.12</v>
      </c>
      <c r="AD487" s="8">
        <f t="shared" si="126"/>
        <v>142.1317199999994</v>
      </c>
      <c r="AE487" s="15">
        <f t="shared" si="127"/>
        <v>2.3441500792581216E-2</v>
      </c>
      <c r="AF487" s="34">
        <f>MIN(Y487,'Scenario Modeling'!$B$2)</f>
        <v>9.1999999999999998E-2</v>
      </c>
      <c r="AG487">
        <f>ROUND(AA487 * (1 + 'Scenario Modeling'!$B$4), 0)</f>
        <v>23</v>
      </c>
      <c r="AH487">
        <f>T487 * (1 + 'Scenario Modeling'!$B$3)</f>
        <v>257.44</v>
      </c>
      <c r="AI487" s="8">
        <f t="shared" si="128"/>
        <v>6063.2517199999993</v>
      </c>
      <c r="AJ487" s="8">
        <f t="shared" si="129"/>
        <v>142.1317199999994</v>
      </c>
    </row>
    <row r="488" spans="1:36">
      <c r="A488" t="s">
        <v>500</v>
      </c>
      <c r="B488" s="4">
        <v>45224</v>
      </c>
      <c r="C488" s="28">
        <v>45224</v>
      </c>
      <c r="D488" s="28" t="str">
        <f t="shared" si="114"/>
        <v>Q4-2023</v>
      </c>
      <c r="E488" s="4">
        <v>45254</v>
      </c>
      <c r="F488" s="4">
        <v>45254</v>
      </c>
      <c r="G488" s="17">
        <f t="shared" si="115"/>
        <v>30</v>
      </c>
      <c r="H488" s="17">
        <f t="shared" si="116"/>
        <v>30</v>
      </c>
      <c r="I488" t="str">
        <f t="shared" si="117"/>
        <v>No</v>
      </c>
      <c r="J488" s="2">
        <f t="shared" si="118"/>
        <v>44936</v>
      </c>
      <c r="K488" t="s">
        <v>649</v>
      </c>
      <c r="L488" t="s">
        <v>657</v>
      </c>
      <c r="M488" t="s">
        <v>690</v>
      </c>
      <c r="N488" t="str">
        <f t="shared" si="119"/>
        <v>Europe - France - Paris</v>
      </c>
      <c r="O488" t="s">
        <v>706</v>
      </c>
      <c r="P488" t="s">
        <v>710</v>
      </c>
      <c r="Q488" t="s">
        <v>712</v>
      </c>
      <c r="R488" t="s">
        <v>730</v>
      </c>
      <c r="S488" t="s">
        <v>1219</v>
      </c>
      <c r="T488" s="6">
        <v>287.85000000000002</v>
      </c>
      <c r="U488" s="8">
        <v>602.91999999999996</v>
      </c>
      <c r="V488" s="8">
        <f t="shared" si="120"/>
        <v>602.91999999999996</v>
      </c>
      <c r="W488" s="8" t="str">
        <f t="shared" si="121"/>
        <v>Low</v>
      </c>
      <c r="X488" s="15">
        <v>0.222</v>
      </c>
      <c r="Y488" s="15">
        <f t="shared" si="122"/>
        <v>0.222</v>
      </c>
      <c r="Z488" t="str">
        <f t="shared" si="123"/>
        <v>Yes</v>
      </c>
      <c r="AA488" s="17">
        <v>11</v>
      </c>
      <c r="AB488" s="8">
        <f t="shared" si="124"/>
        <v>5159.7893599999998</v>
      </c>
      <c r="AC488" s="8">
        <f t="shared" si="125"/>
        <v>3166.3500000000004</v>
      </c>
      <c r="AD488" s="8">
        <f t="shared" si="126"/>
        <v>1993.4393599999994</v>
      </c>
      <c r="AE488" s="15">
        <f t="shared" si="127"/>
        <v>0.38634122847216373</v>
      </c>
      <c r="AF488" s="34">
        <f>MIN(Y488,'Scenario Modeling'!$B$2)</f>
        <v>0.222</v>
      </c>
      <c r="AG488">
        <f>ROUND(AA488 * (1 + 'Scenario Modeling'!$B$4), 0)</f>
        <v>11</v>
      </c>
      <c r="AH488">
        <f>T488 * (1 + 'Scenario Modeling'!$B$3)</f>
        <v>287.85000000000002</v>
      </c>
      <c r="AI488" s="8">
        <f t="shared" si="128"/>
        <v>5159.7893599999998</v>
      </c>
      <c r="AJ488" s="8">
        <f t="shared" si="129"/>
        <v>1993.4393599999994</v>
      </c>
    </row>
    <row r="489" spans="1:36">
      <c r="A489" t="s">
        <v>501</v>
      </c>
      <c r="B489" s="4">
        <v>45613</v>
      </c>
      <c r="C489" s="28">
        <v>45613</v>
      </c>
      <c r="D489" s="28" t="str">
        <f t="shared" si="114"/>
        <v>Q4-2024</v>
      </c>
      <c r="E489" s="4">
        <v>45624</v>
      </c>
      <c r="F489" s="4">
        <v>45624</v>
      </c>
      <c r="G489" s="17">
        <f t="shared" si="115"/>
        <v>11</v>
      </c>
      <c r="H489" s="17">
        <f t="shared" si="116"/>
        <v>11</v>
      </c>
      <c r="I489" t="str">
        <f t="shared" si="117"/>
        <v>No</v>
      </c>
      <c r="J489" s="2">
        <f t="shared" si="118"/>
        <v>44928</v>
      </c>
      <c r="K489" t="s">
        <v>648</v>
      </c>
      <c r="L489" t="s">
        <v>653</v>
      </c>
      <c r="M489" t="s">
        <v>688</v>
      </c>
      <c r="N489" t="str">
        <f t="shared" si="119"/>
        <v>Americas - Canada - Vancouver</v>
      </c>
      <c r="O489" t="s">
        <v>704</v>
      </c>
      <c r="P489" t="s">
        <v>710</v>
      </c>
      <c r="Q489" t="s">
        <v>720</v>
      </c>
      <c r="R489" t="s">
        <v>728</v>
      </c>
      <c r="S489" t="s">
        <v>1220</v>
      </c>
      <c r="T489" s="6">
        <v>1008.16</v>
      </c>
      <c r="U489" s="8">
        <v>2077.5</v>
      </c>
      <c r="V489" s="8">
        <f t="shared" si="120"/>
        <v>2077.5</v>
      </c>
      <c r="W489" s="8" t="str">
        <f t="shared" si="121"/>
        <v>High</v>
      </c>
      <c r="X489" s="15">
        <v>7.3999999999999996E-2</v>
      </c>
      <c r="Y489" s="15">
        <f t="shared" si="122"/>
        <v>7.3999999999999996E-2</v>
      </c>
      <c r="Z489" t="str">
        <f t="shared" si="123"/>
        <v>No</v>
      </c>
      <c r="AA489" s="17">
        <v>15</v>
      </c>
      <c r="AB489" s="8">
        <f t="shared" si="124"/>
        <v>28856.475000000002</v>
      </c>
      <c r="AC489" s="8">
        <f t="shared" si="125"/>
        <v>15122.4</v>
      </c>
      <c r="AD489" s="8">
        <f t="shared" si="126"/>
        <v>13734.075000000003</v>
      </c>
      <c r="AE489" s="15">
        <f t="shared" si="127"/>
        <v>0.47594430712691005</v>
      </c>
      <c r="AF489" s="34">
        <f>MIN(Y489,'Scenario Modeling'!$B$2)</f>
        <v>7.3999999999999996E-2</v>
      </c>
      <c r="AG489">
        <f>ROUND(AA489 * (1 + 'Scenario Modeling'!$B$4), 0)</f>
        <v>15</v>
      </c>
      <c r="AH489">
        <f>T489 * (1 + 'Scenario Modeling'!$B$3)</f>
        <v>1008.16</v>
      </c>
      <c r="AI489" s="8">
        <f t="shared" si="128"/>
        <v>28856.475000000002</v>
      </c>
      <c r="AJ489" s="8">
        <f t="shared" si="129"/>
        <v>13734.075000000003</v>
      </c>
    </row>
    <row r="490" spans="1:36">
      <c r="A490" t="s">
        <v>502</v>
      </c>
      <c r="B490" s="4">
        <v>45424</v>
      </c>
      <c r="C490" s="28">
        <v>45424</v>
      </c>
      <c r="D490" s="28" t="str">
        <f t="shared" si="114"/>
        <v>Q2-2024</v>
      </c>
      <c r="E490" s="4">
        <v>45436</v>
      </c>
      <c r="F490" s="4">
        <v>45436</v>
      </c>
      <c r="G490" s="17">
        <f t="shared" si="115"/>
        <v>12</v>
      </c>
      <c r="H490" s="17">
        <f t="shared" si="116"/>
        <v>12</v>
      </c>
      <c r="I490" t="str">
        <f t="shared" si="117"/>
        <v>No</v>
      </c>
      <c r="J490" s="2">
        <f t="shared" si="118"/>
        <v>44945</v>
      </c>
      <c r="K490" t="s">
        <v>649</v>
      </c>
      <c r="L490" t="s">
        <v>658</v>
      </c>
      <c r="M490" t="s">
        <v>693</v>
      </c>
      <c r="N490" t="str">
        <f t="shared" si="119"/>
        <v>Europe - United Kingdom - Manchester</v>
      </c>
      <c r="O490" t="s">
        <v>702</v>
      </c>
      <c r="P490" t="s">
        <v>709</v>
      </c>
      <c r="Q490" t="s">
        <v>723</v>
      </c>
      <c r="R490" t="s">
        <v>728</v>
      </c>
      <c r="S490" t="s">
        <v>1221</v>
      </c>
      <c r="T490" s="6">
        <v>111.02</v>
      </c>
      <c r="U490" s="8">
        <v>172.88</v>
      </c>
      <c r="V490" s="8">
        <f t="shared" si="120"/>
        <v>172.88</v>
      </c>
      <c r="W490" s="8" t="str">
        <f t="shared" si="121"/>
        <v>Low</v>
      </c>
      <c r="X490" s="15">
        <v>0.19700000000000001</v>
      </c>
      <c r="Y490" s="15">
        <f t="shared" si="122"/>
        <v>0.19700000000000001</v>
      </c>
      <c r="Z490" t="str">
        <f t="shared" si="123"/>
        <v>No</v>
      </c>
      <c r="AA490" s="17">
        <v>29</v>
      </c>
      <c r="AB490" s="8">
        <f t="shared" si="124"/>
        <v>4025.8565599999993</v>
      </c>
      <c r="AC490" s="8">
        <f t="shared" si="125"/>
        <v>3219.58</v>
      </c>
      <c r="AD490" s="8">
        <f t="shared" si="126"/>
        <v>806.27655999999934</v>
      </c>
      <c r="AE490" s="15">
        <f t="shared" si="127"/>
        <v>0.20027453735212053</v>
      </c>
      <c r="AF490" s="34">
        <f>MIN(Y490,'Scenario Modeling'!$B$2)</f>
        <v>0.19700000000000001</v>
      </c>
      <c r="AG490">
        <f>ROUND(AA490 * (1 + 'Scenario Modeling'!$B$4), 0)</f>
        <v>29</v>
      </c>
      <c r="AH490">
        <f>T490 * (1 + 'Scenario Modeling'!$B$3)</f>
        <v>111.02</v>
      </c>
      <c r="AI490" s="8">
        <f t="shared" si="128"/>
        <v>4025.8565599999993</v>
      </c>
      <c r="AJ490" s="8">
        <f t="shared" si="129"/>
        <v>806.27655999999934</v>
      </c>
    </row>
    <row r="491" spans="1:36">
      <c r="A491" t="s">
        <v>503</v>
      </c>
      <c r="B491" s="4">
        <v>45792</v>
      </c>
      <c r="C491" s="28">
        <v>45792</v>
      </c>
      <c r="D491" s="28" t="str">
        <f t="shared" si="114"/>
        <v>Q2-2025</v>
      </c>
      <c r="E491" s="4">
        <v>45813</v>
      </c>
      <c r="F491" s="4">
        <v>45813</v>
      </c>
      <c r="G491" s="17">
        <f t="shared" si="115"/>
        <v>21</v>
      </c>
      <c r="H491" s="17">
        <f t="shared" si="116"/>
        <v>21</v>
      </c>
      <c r="I491" t="str">
        <f t="shared" si="117"/>
        <v>No</v>
      </c>
      <c r="J491" s="2">
        <f t="shared" si="118"/>
        <v>44988</v>
      </c>
      <c r="K491" t="s">
        <v>647</v>
      </c>
      <c r="L491" t="s">
        <v>652</v>
      </c>
      <c r="M491" t="s">
        <v>666</v>
      </c>
      <c r="N491" t="str">
        <f t="shared" si="119"/>
        <v>Asia - Japan - Osaka</v>
      </c>
      <c r="O491" t="s">
        <v>706</v>
      </c>
      <c r="P491" t="s">
        <v>711</v>
      </c>
      <c r="Q491" t="s">
        <v>722</v>
      </c>
      <c r="R491" t="s">
        <v>730</v>
      </c>
      <c r="S491" t="s">
        <v>1222</v>
      </c>
      <c r="T491" s="6">
        <v>1466.5</v>
      </c>
      <c r="U491" s="8">
        <v>2778.74</v>
      </c>
      <c r="V491" s="8">
        <f t="shared" si="120"/>
        <v>2778.74</v>
      </c>
      <c r="W491" s="8" t="str">
        <f t="shared" si="121"/>
        <v>High</v>
      </c>
      <c r="X491" s="15">
        <v>0.13500000000000001</v>
      </c>
      <c r="Y491" s="15">
        <f t="shared" si="122"/>
        <v>0.13500000000000001</v>
      </c>
      <c r="Z491" t="str">
        <f t="shared" si="123"/>
        <v>No</v>
      </c>
      <c r="AA491" s="17">
        <v>4</v>
      </c>
      <c r="AB491" s="8">
        <f t="shared" si="124"/>
        <v>9614.4403999999995</v>
      </c>
      <c r="AC491" s="8">
        <f t="shared" si="125"/>
        <v>5866</v>
      </c>
      <c r="AD491" s="8">
        <f t="shared" si="126"/>
        <v>3748.4403999999995</v>
      </c>
      <c r="AE491" s="15">
        <f t="shared" si="127"/>
        <v>0.38987608680792279</v>
      </c>
      <c r="AF491" s="34">
        <f>MIN(Y491,'Scenario Modeling'!$B$2)</f>
        <v>0.13500000000000001</v>
      </c>
      <c r="AG491">
        <f>ROUND(AA491 * (1 + 'Scenario Modeling'!$B$4), 0)</f>
        <v>4</v>
      </c>
      <c r="AH491">
        <f>T491 * (1 + 'Scenario Modeling'!$B$3)</f>
        <v>1466.5</v>
      </c>
      <c r="AI491" s="8">
        <f t="shared" si="128"/>
        <v>9614.4403999999995</v>
      </c>
      <c r="AJ491" s="8">
        <f t="shared" si="129"/>
        <v>3748.4403999999995</v>
      </c>
    </row>
    <row r="492" spans="1:36">
      <c r="A492" t="s">
        <v>504</v>
      </c>
      <c r="B492" s="4">
        <v>45403</v>
      </c>
      <c r="C492" s="28">
        <v>45403</v>
      </c>
      <c r="D492" s="28" t="str">
        <f t="shared" si="114"/>
        <v>Q2-2024</v>
      </c>
      <c r="E492" s="4">
        <v>45431</v>
      </c>
      <c r="F492" s="4">
        <v>45431</v>
      </c>
      <c r="G492" s="17">
        <f t="shared" si="115"/>
        <v>28</v>
      </c>
      <c r="H492" s="17">
        <f t="shared" si="116"/>
        <v>28</v>
      </c>
      <c r="I492" t="str">
        <f t="shared" si="117"/>
        <v>No</v>
      </c>
      <c r="J492" s="2">
        <f t="shared" si="118"/>
        <v>44941</v>
      </c>
      <c r="K492" t="s">
        <v>646</v>
      </c>
      <c r="L492" t="s">
        <v>651</v>
      </c>
      <c r="M492" t="s">
        <v>665</v>
      </c>
      <c r="N492" t="str">
        <f t="shared" si="119"/>
        <v>Africa - Nigeria - Lagos</v>
      </c>
      <c r="O492" t="s">
        <v>701</v>
      </c>
      <c r="P492" t="s">
        <v>710</v>
      </c>
      <c r="Q492" t="s">
        <v>720</v>
      </c>
      <c r="R492" t="s">
        <v>733</v>
      </c>
      <c r="S492" t="s">
        <v>1223</v>
      </c>
      <c r="T492" s="6">
        <v>187.22</v>
      </c>
      <c r="U492" s="8">
        <v>309.47000000000003</v>
      </c>
      <c r="V492" s="8">
        <f t="shared" si="120"/>
        <v>309.47000000000003</v>
      </c>
      <c r="W492" s="8" t="str">
        <f t="shared" si="121"/>
        <v>Low</v>
      </c>
      <c r="X492" s="15">
        <v>0</v>
      </c>
      <c r="Y492" s="15">
        <f t="shared" si="122"/>
        <v>0</v>
      </c>
      <c r="Z492" t="str">
        <f t="shared" si="123"/>
        <v>No</v>
      </c>
      <c r="AA492" s="17">
        <v>5</v>
      </c>
      <c r="AB492" s="8">
        <f t="shared" si="124"/>
        <v>1547.3500000000001</v>
      </c>
      <c r="AC492" s="8">
        <f t="shared" si="125"/>
        <v>936.1</v>
      </c>
      <c r="AD492" s="8">
        <f t="shared" si="126"/>
        <v>611.25000000000011</v>
      </c>
      <c r="AE492" s="15">
        <f t="shared" si="127"/>
        <v>0.39503021294471197</v>
      </c>
      <c r="AF492" s="34">
        <f>MIN(Y492,'Scenario Modeling'!$B$2)</f>
        <v>0</v>
      </c>
      <c r="AG492">
        <f>ROUND(AA492 * (1 + 'Scenario Modeling'!$B$4), 0)</f>
        <v>5</v>
      </c>
      <c r="AH492">
        <f>T492 * (1 + 'Scenario Modeling'!$B$3)</f>
        <v>187.22</v>
      </c>
      <c r="AI492" s="8">
        <f t="shared" si="128"/>
        <v>1547.3500000000001</v>
      </c>
      <c r="AJ492" s="8">
        <f t="shared" si="129"/>
        <v>611.25000000000011</v>
      </c>
    </row>
    <row r="493" spans="1:36">
      <c r="A493" t="s">
        <v>505</v>
      </c>
      <c r="B493" s="4">
        <v>45523</v>
      </c>
      <c r="C493" s="28">
        <v>45523</v>
      </c>
      <c r="D493" s="28" t="str">
        <f t="shared" si="114"/>
        <v>Q3-2024</v>
      </c>
      <c r="E493" s="4">
        <v>45542</v>
      </c>
      <c r="F493" s="4">
        <v>45542</v>
      </c>
      <c r="G493" s="17">
        <f t="shared" si="115"/>
        <v>19</v>
      </c>
      <c r="H493" s="17">
        <f t="shared" si="116"/>
        <v>19</v>
      </c>
      <c r="I493" t="str">
        <f t="shared" si="117"/>
        <v>No</v>
      </c>
      <c r="J493" s="2">
        <f t="shared" si="118"/>
        <v>44936</v>
      </c>
      <c r="K493" t="s">
        <v>649</v>
      </c>
      <c r="L493" t="s">
        <v>657</v>
      </c>
      <c r="M493" t="s">
        <v>679</v>
      </c>
      <c r="N493" t="str">
        <f t="shared" si="119"/>
        <v>Europe - France - Lyon</v>
      </c>
      <c r="O493" t="s">
        <v>701</v>
      </c>
      <c r="P493" t="s">
        <v>711</v>
      </c>
      <c r="Q493" t="s">
        <v>713</v>
      </c>
      <c r="R493" t="s">
        <v>727</v>
      </c>
      <c r="S493" t="s">
        <v>1224</v>
      </c>
      <c r="T493" s="6">
        <v>297.58999999999997</v>
      </c>
      <c r="U493" s="8">
        <v>666.41</v>
      </c>
      <c r="V493" s="8">
        <f t="shared" si="120"/>
        <v>666.41</v>
      </c>
      <c r="W493" s="8" t="str">
        <f t="shared" si="121"/>
        <v>Low</v>
      </c>
      <c r="X493" s="15">
        <v>0</v>
      </c>
      <c r="Y493" s="15">
        <f t="shared" si="122"/>
        <v>0</v>
      </c>
      <c r="Z493" t="str">
        <f t="shared" si="123"/>
        <v>No</v>
      </c>
      <c r="AA493" s="17">
        <v>10</v>
      </c>
      <c r="AB493" s="8">
        <f t="shared" si="124"/>
        <v>6664.0999999999995</v>
      </c>
      <c r="AC493" s="8">
        <f t="shared" si="125"/>
        <v>2975.8999999999996</v>
      </c>
      <c r="AD493" s="8">
        <f t="shared" si="126"/>
        <v>3688.2</v>
      </c>
      <c r="AE493" s="15">
        <f t="shared" si="127"/>
        <v>0.55344307558409989</v>
      </c>
      <c r="AF493" s="34">
        <f>MIN(Y493,'Scenario Modeling'!$B$2)</f>
        <v>0</v>
      </c>
      <c r="AG493">
        <f>ROUND(AA493 * (1 + 'Scenario Modeling'!$B$4), 0)</f>
        <v>10</v>
      </c>
      <c r="AH493">
        <f>T493 * (1 + 'Scenario Modeling'!$B$3)</f>
        <v>297.58999999999997</v>
      </c>
      <c r="AI493" s="8">
        <f t="shared" si="128"/>
        <v>6664.0999999999995</v>
      </c>
      <c r="AJ493" s="8">
        <f t="shared" si="129"/>
        <v>3688.2</v>
      </c>
    </row>
    <row r="494" spans="1:36">
      <c r="A494" t="s">
        <v>506</v>
      </c>
      <c r="B494" s="4">
        <v>45861</v>
      </c>
      <c r="C494" s="28">
        <v>45861</v>
      </c>
      <c r="D494" s="28" t="str">
        <f t="shared" si="114"/>
        <v>Q3-2025</v>
      </c>
      <c r="E494" s="4">
        <v>45888</v>
      </c>
      <c r="F494" s="4">
        <v>45888</v>
      </c>
      <c r="G494" s="17">
        <f t="shared" si="115"/>
        <v>27</v>
      </c>
      <c r="H494" s="17">
        <f t="shared" si="116"/>
        <v>27</v>
      </c>
      <c r="I494" t="str">
        <f t="shared" si="117"/>
        <v>No</v>
      </c>
      <c r="J494" s="2">
        <f t="shared" si="118"/>
        <v>44988</v>
      </c>
      <c r="K494" t="s">
        <v>647</v>
      </c>
      <c r="L494" t="s">
        <v>652</v>
      </c>
      <c r="M494" t="s">
        <v>694</v>
      </c>
      <c r="N494" t="str">
        <f t="shared" si="119"/>
        <v>Asia - Japan - Nagoya</v>
      </c>
      <c r="O494" t="s">
        <v>704</v>
      </c>
      <c r="P494" t="s">
        <v>709</v>
      </c>
      <c r="Q494" t="s">
        <v>717</v>
      </c>
      <c r="R494" t="s">
        <v>733</v>
      </c>
      <c r="S494" t="s">
        <v>1225</v>
      </c>
      <c r="T494" s="6">
        <v>896.09</v>
      </c>
      <c r="U494" s="8">
        <v>744.27</v>
      </c>
      <c r="V494" s="8">
        <f t="shared" si="120"/>
        <v>744.27</v>
      </c>
      <c r="W494" s="8" t="str">
        <f t="shared" si="121"/>
        <v>Low</v>
      </c>
      <c r="X494" s="15">
        <v>8.3000000000000004E-2</v>
      </c>
      <c r="Y494" s="15">
        <f t="shared" si="122"/>
        <v>8.3000000000000004E-2</v>
      </c>
      <c r="Z494" t="str">
        <f t="shared" si="123"/>
        <v>No</v>
      </c>
      <c r="AA494" s="17">
        <v>11</v>
      </c>
      <c r="AB494" s="8">
        <f t="shared" si="124"/>
        <v>7507.4514899999995</v>
      </c>
      <c r="AC494" s="8">
        <f t="shared" si="125"/>
        <v>9856.99</v>
      </c>
      <c r="AD494" s="8">
        <f t="shared" si="126"/>
        <v>-2349.5385100000003</v>
      </c>
      <c r="AE494" s="15">
        <f t="shared" si="127"/>
        <v>-0.31296086469950679</v>
      </c>
      <c r="AF494" s="34">
        <f>MIN(Y494,'Scenario Modeling'!$B$2)</f>
        <v>8.3000000000000004E-2</v>
      </c>
      <c r="AG494">
        <f>ROUND(AA494 * (1 + 'Scenario Modeling'!$B$4), 0)</f>
        <v>11</v>
      </c>
      <c r="AH494">
        <f>T494 * (1 + 'Scenario Modeling'!$B$3)</f>
        <v>896.09</v>
      </c>
      <c r="AI494" s="8">
        <f t="shared" si="128"/>
        <v>7507.4514899999995</v>
      </c>
      <c r="AJ494" s="8">
        <f t="shared" si="129"/>
        <v>-2349.5385100000003</v>
      </c>
    </row>
    <row r="495" spans="1:36">
      <c r="A495" t="s">
        <v>507</v>
      </c>
      <c r="B495" s="4">
        <v>45352</v>
      </c>
      <c r="C495" s="28">
        <v>45352</v>
      </c>
      <c r="D495" s="28" t="str">
        <f t="shared" si="114"/>
        <v>Q1-2024</v>
      </c>
      <c r="E495" s="4">
        <v>45351</v>
      </c>
      <c r="F495" s="4">
        <f>B495+13</f>
        <v>45365</v>
      </c>
      <c r="G495" s="17">
        <f t="shared" si="115"/>
        <v>-1</v>
      </c>
      <c r="H495" s="17">
        <f t="shared" si="116"/>
        <v>13</v>
      </c>
      <c r="I495" t="str">
        <f t="shared" si="117"/>
        <v>No</v>
      </c>
      <c r="J495" s="2">
        <f t="shared" si="118"/>
        <v>44955</v>
      </c>
      <c r="K495" t="s">
        <v>648</v>
      </c>
      <c r="L495" t="s">
        <v>655</v>
      </c>
      <c r="M495" t="s">
        <v>670</v>
      </c>
      <c r="N495" t="str">
        <f t="shared" si="119"/>
        <v>Americas - Brazil - São Paulo</v>
      </c>
      <c r="O495" t="s">
        <v>703</v>
      </c>
      <c r="P495" t="s">
        <v>711</v>
      </c>
      <c r="Q495" t="s">
        <v>714</v>
      </c>
      <c r="R495" t="s">
        <v>730</v>
      </c>
      <c r="S495" t="s">
        <v>1226</v>
      </c>
      <c r="T495" s="6">
        <v>5.34</v>
      </c>
      <c r="U495" s="8">
        <v>12.69</v>
      </c>
      <c r="V495" s="8">
        <f t="shared" si="120"/>
        <v>12.69</v>
      </c>
      <c r="W495" s="8" t="str">
        <f t="shared" si="121"/>
        <v>Low</v>
      </c>
      <c r="X495" s="15">
        <v>0.13200000000000001</v>
      </c>
      <c r="Y495" s="15">
        <f t="shared" si="122"/>
        <v>0.13200000000000001</v>
      </c>
      <c r="Z495" t="str">
        <f t="shared" si="123"/>
        <v>No</v>
      </c>
      <c r="AA495" s="17">
        <v>10</v>
      </c>
      <c r="AB495" s="8">
        <f t="shared" si="124"/>
        <v>110.14919999999999</v>
      </c>
      <c r="AC495" s="8">
        <f t="shared" si="125"/>
        <v>53.4</v>
      </c>
      <c r="AD495" s="8">
        <f t="shared" si="126"/>
        <v>56.749199999999995</v>
      </c>
      <c r="AE495" s="15">
        <f t="shared" si="127"/>
        <v>0.51520301554618642</v>
      </c>
      <c r="AF495" s="34">
        <f>MIN(Y495,'Scenario Modeling'!$B$2)</f>
        <v>0.13200000000000001</v>
      </c>
      <c r="AG495">
        <f>ROUND(AA495 * (1 + 'Scenario Modeling'!$B$4), 0)</f>
        <v>10</v>
      </c>
      <c r="AH495">
        <f>T495 * (1 + 'Scenario Modeling'!$B$3)</f>
        <v>5.34</v>
      </c>
      <c r="AI495" s="8">
        <f t="shared" si="128"/>
        <v>110.14919999999999</v>
      </c>
      <c r="AJ495" s="8">
        <f t="shared" si="129"/>
        <v>56.749199999999995</v>
      </c>
    </row>
    <row r="496" spans="1:36">
      <c r="A496" t="s">
        <v>508</v>
      </c>
      <c r="B496" s="4">
        <v>45439</v>
      </c>
      <c r="C496" s="28">
        <v>45439</v>
      </c>
      <c r="D496" s="28" t="str">
        <f t="shared" si="114"/>
        <v>Q2-2024</v>
      </c>
      <c r="E496" s="4">
        <v>45460</v>
      </c>
      <c r="F496" s="4">
        <v>45460</v>
      </c>
      <c r="G496" s="17">
        <f t="shared" si="115"/>
        <v>21</v>
      </c>
      <c r="H496" s="17">
        <f t="shared" si="116"/>
        <v>21</v>
      </c>
      <c r="I496" t="str">
        <f t="shared" si="117"/>
        <v>No</v>
      </c>
      <c r="J496" s="2">
        <f t="shared" si="118"/>
        <v>44955</v>
      </c>
      <c r="K496" t="s">
        <v>647</v>
      </c>
      <c r="L496" t="s">
        <v>654</v>
      </c>
      <c r="M496" t="s">
        <v>680</v>
      </c>
      <c r="N496" t="str">
        <f t="shared" si="119"/>
        <v>Asia - India - Delhi</v>
      </c>
      <c r="O496" t="s">
        <v>705</v>
      </c>
      <c r="P496" t="s">
        <v>708</v>
      </c>
      <c r="Q496" t="s">
        <v>722</v>
      </c>
      <c r="R496" t="s">
        <v>733</v>
      </c>
      <c r="S496" t="s">
        <v>1227</v>
      </c>
      <c r="T496" s="6">
        <v>465.02</v>
      </c>
      <c r="U496" s="8">
        <v>651.55999999999995</v>
      </c>
      <c r="V496" s="8">
        <f t="shared" si="120"/>
        <v>651.55999999999995</v>
      </c>
      <c r="W496" s="8" t="str">
        <f t="shared" si="121"/>
        <v>Low</v>
      </c>
      <c r="X496" s="15">
        <v>4.2000000000000003E-2</v>
      </c>
      <c r="Y496" s="15">
        <f t="shared" si="122"/>
        <v>4.2000000000000003E-2</v>
      </c>
      <c r="Z496" t="str">
        <f t="shared" si="123"/>
        <v>No</v>
      </c>
      <c r="AA496" s="17">
        <v>19</v>
      </c>
      <c r="AB496" s="8">
        <f t="shared" si="124"/>
        <v>11859.695119999998</v>
      </c>
      <c r="AC496" s="8">
        <f t="shared" si="125"/>
        <v>8835.3799999999992</v>
      </c>
      <c r="AD496" s="8">
        <f t="shared" si="126"/>
        <v>3024.3151199999993</v>
      </c>
      <c r="AE496" s="15">
        <f t="shared" si="127"/>
        <v>0.25500783025187918</v>
      </c>
      <c r="AF496" s="34">
        <f>MIN(Y496,'Scenario Modeling'!$B$2)</f>
        <v>4.2000000000000003E-2</v>
      </c>
      <c r="AG496">
        <f>ROUND(AA496 * (1 + 'Scenario Modeling'!$B$4), 0)</f>
        <v>19</v>
      </c>
      <c r="AH496">
        <f>T496 * (1 + 'Scenario Modeling'!$B$3)</f>
        <v>465.02</v>
      </c>
      <c r="AI496" s="8">
        <f t="shared" si="128"/>
        <v>11859.695119999998</v>
      </c>
      <c r="AJ496" s="8">
        <f t="shared" si="129"/>
        <v>3024.3151199999993</v>
      </c>
    </row>
    <row r="497" spans="1:36">
      <c r="A497" t="s">
        <v>509</v>
      </c>
      <c r="B497" s="4">
        <v>45508</v>
      </c>
      <c r="C497" s="28">
        <v>45508</v>
      </c>
      <c r="D497" s="28" t="str">
        <f t="shared" si="114"/>
        <v>Q3-2024</v>
      </c>
      <c r="E497" s="4">
        <v>45521</v>
      </c>
      <c r="F497" s="4">
        <v>45521</v>
      </c>
      <c r="G497" s="17">
        <f t="shared" si="115"/>
        <v>13</v>
      </c>
      <c r="H497" s="17">
        <f t="shared" si="116"/>
        <v>13</v>
      </c>
      <c r="I497" t="str">
        <f t="shared" si="117"/>
        <v>No</v>
      </c>
      <c r="J497" s="2">
        <f t="shared" si="118"/>
        <v>44939</v>
      </c>
      <c r="K497" t="s">
        <v>648</v>
      </c>
      <c r="L497" t="s">
        <v>660</v>
      </c>
      <c r="M497" t="s">
        <v>697</v>
      </c>
      <c r="N497" t="str">
        <f t="shared" si="119"/>
        <v>Americas - USA - Austin</v>
      </c>
      <c r="O497" t="s">
        <v>704</v>
      </c>
      <c r="P497" t="s">
        <v>707</v>
      </c>
      <c r="Q497" t="s">
        <v>726</v>
      </c>
      <c r="R497" t="s">
        <v>732</v>
      </c>
      <c r="S497" t="s">
        <v>1228</v>
      </c>
      <c r="T497" s="6">
        <v>352.79</v>
      </c>
      <c r="U497" s="8">
        <v>754.22</v>
      </c>
      <c r="V497" s="8">
        <f t="shared" si="120"/>
        <v>754.22</v>
      </c>
      <c r="W497" s="8" t="str">
        <f t="shared" si="121"/>
        <v>Low</v>
      </c>
      <c r="X497" s="15">
        <v>0.113</v>
      </c>
      <c r="Y497" s="15">
        <f t="shared" si="122"/>
        <v>0.113</v>
      </c>
      <c r="Z497" t="str">
        <f t="shared" si="123"/>
        <v>No</v>
      </c>
      <c r="AA497" s="17">
        <v>7</v>
      </c>
      <c r="AB497" s="8">
        <f t="shared" si="124"/>
        <v>4682.9519799999998</v>
      </c>
      <c r="AC497" s="8">
        <f t="shared" si="125"/>
        <v>2469.5300000000002</v>
      </c>
      <c r="AD497" s="8">
        <f t="shared" si="126"/>
        <v>2213.4219799999996</v>
      </c>
      <c r="AE497" s="15">
        <f t="shared" si="127"/>
        <v>0.47265528014233443</v>
      </c>
      <c r="AF497" s="34">
        <f>MIN(Y497,'Scenario Modeling'!$B$2)</f>
        <v>0.113</v>
      </c>
      <c r="AG497">
        <f>ROUND(AA497 * (1 + 'Scenario Modeling'!$B$4), 0)</f>
        <v>7</v>
      </c>
      <c r="AH497">
        <f>T497 * (1 + 'Scenario Modeling'!$B$3)</f>
        <v>352.79</v>
      </c>
      <c r="AI497" s="8">
        <f t="shared" si="128"/>
        <v>4682.9519799999998</v>
      </c>
      <c r="AJ497" s="8">
        <f t="shared" si="129"/>
        <v>2213.4219799999996</v>
      </c>
    </row>
    <row r="498" spans="1:36">
      <c r="A498" t="s">
        <v>510</v>
      </c>
      <c r="B498" s="4">
        <v>45097</v>
      </c>
      <c r="C498" s="28">
        <v>45097</v>
      </c>
      <c r="D498" s="28" t="str">
        <f t="shared" si="114"/>
        <v>Q2-2023</v>
      </c>
      <c r="E498" s="4">
        <v>45111</v>
      </c>
      <c r="F498" s="4">
        <v>45111</v>
      </c>
      <c r="G498" s="17">
        <f t="shared" si="115"/>
        <v>14</v>
      </c>
      <c r="H498" s="17">
        <f t="shared" si="116"/>
        <v>14</v>
      </c>
      <c r="I498" t="str">
        <f t="shared" si="117"/>
        <v>No</v>
      </c>
      <c r="J498" s="2">
        <f t="shared" si="118"/>
        <v>44955</v>
      </c>
      <c r="K498" t="s">
        <v>648</v>
      </c>
      <c r="L498" t="s">
        <v>655</v>
      </c>
      <c r="M498" t="s">
        <v>672</v>
      </c>
      <c r="N498" t="str">
        <f t="shared" si="119"/>
        <v>Americas - Brazil - Brasília</v>
      </c>
      <c r="O498" t="s">
        <v>703</v>
      </c>
      <c r="P498" t="s">
        <v>711</v>
      </c>
      <c r="Q498" t="s">
        <v>712</v>
      </c>
      <c r="R498" t="s">
        <v>729</v>
      </c>
      <c r="S498" t="s">
        <v>1229</v>
      </c>
      <c r="T498" s="6">
        <v>1292.8599999999999</v>
      </c>
      <c r="U498" s="8">
        <v>2981.01</v>
      </c>
      <c r="V498" s="8">
        <f t="shared" si="120"/>
        <v>2981.01</v>
      </c>
      <c r="W498" s="8" t="str">
        <f t="shared" si="121"/>
        <v>High</v>
      </c>
      <c r="X498" s="15">
        <v>0.14199999999999999</v>
      </c>
      <c r="Y498" s="15">
        <f t="shared" si="122"/>
        <v>0.14199999999999999</v>
      </c>
      <c r="Z498" t="str">
        <f t="shared" si="123"/>
        <v>No</v>
      </c>
      <c r="AA498" s="17">
        <v>12</v>
      </c>
      <c r="AB498" s="8">
        <f t="shared" si="124"/>
        <v>30692.47896</v>
      </c>
      <c r="AC498" s="8">
        <f t="shared" si="125"/>
        <v>15514.32</v>
      </c>
      <c r="AD498" s="8">
        <f t="shared" si="126"/>
        <v>15178.158960000001</v>
      </c>
      <c r="AE498" s="15">
        <f t="shared" si="127"/>
        <v>0.49452372288927687</v>
      </c>
      <c r="AF498" s="34">
        <f>MIN(Y498,'Scenario Modeling'!$B$2)</f>
        <v>0.14199999999999999</v>
      </c>
      <c r="AG498">
        <f>ROUND(AA498 * (1 + 'Scenario Modeling'!$B$4), 0)</f>
        <v>12</v>
      </c>
      <c r="AH498">
        <f>T498 * (1 + 'Scenario Modeling'!$B$3)</f>
        <v>1292.8599999999999</v>
      </c>
      <c r="AI498" s="8">
        <f t="shared" si="128"/>
        <v>30692.47896</v>
      </c>
      <c r="AJ498" s="8">
        <f t="shared" si="129"/>
        <v>15178.158960000001</v>
      </c>
    </row>
    <row r="499" spans="1:36">
      <c r="A499" t="s">
        <v>511</v>
      </c>
      <c r="B499" s="4">
        <v>45544</v>
      </c>
      <c r="C499" s="28">
        <v>45544</v>
      </c>
      <c r="D499" s="28" t="str">
        <f t="shared" si="114"/>
        <v>Q3-2024</v>
      </c>
      <c r="E499" s="4">
        <v>45548</v>
      </c>
      <c r="F499" s="4">
        <v>45548</v>
      </c>
      <c r="G499" s="17">
        <f t="shared" si="115"/>
        <v>4</v>
      </c>
      <c r="H499" s="17">
        <f t="shared" si="116"/>
        <v>4</v>
      </c>
      <c r="I499" t="str">
        <f t="shared" si="117"/>
        <v>Yes</v>
      </c>
      <c r="J499" s="2">
        <f t="shared" si="118"/>
        <v>44945</v>
      </c>
      <c r="K499" t="s">
        <v>649</v>
      </c>
      <c r="L499" t="s">
        <v>658</v>
      </c>
      <c r="M499" t="s">
        <v>683</v>
      </c>
      <c r="N499" t="str">
        <f t="shared" si="119"/>
        <v>Europe - United Kingdom - London</v>
      </c>
      <c r="O499" t="s">
        <v>704</v>
      </c>
      <c r="P499" t="s">
        <v>709</v>
      </c>
      <c r="Q499" t="s">
        <v>721</v>
      </c>
      <c r="R499" t="s">
        <v>729</v>
      </c>
      <c r="S499" t="s">
        <v>1230</v>
      </c>
      <c r="T499" s="6">
        <v>1133.08</v>
      </c>
      <c r="U499" s="8">
        <v>976.17</v>
      </c>
      <c r="V499" s="8">
        <f t="shared" si="120"/>
        <v>976.17</v>
      </c>
      <c r="W499" s="8" t="str">
        <f t="shared" si="121"/>
        <v>Medium</v>
      </c>
      <c r="X499" s="15">
        <v>4.2000000000000003E-2</v>
      </c>
      <c r="Y499" s="15">
        <f t="shared" si="122"/>
        <v>4.2000000000000003E-2</v>
      </c>
      <c r="Z499" t="str">
        <f t="shared" si="123"/>
        <v>No</v>
      </c>
      <c r="AA499" s="17">
        <v>27</v>
      </c>
      <c r="AB499" s="8">
        <f t="shared" si="124"/>
        <v>25249.613219999999</v>
      </c>
      <c r="AC499" s="8">
        <f t="shared" si="125"/>
        <v>30593.159999999996</v>
      </c>
      <c r="AD499" s="8">
        <f t="shared" si="126"/>
        <v>-5343.5467799999969</v>
      </c>
      <c r="AE499" s="15">
        <f t="shared" si="127"/>
        <v>-0.21162885678452373</v>
      </c>
      <c r="AF499" s="34">
        <f>MIN(Y499,'Scenario Modeling'!$B$2)</f>
        <v>4.2000000000000003E-2</v>
      </c>
      <c r="AG499">
        <f>ROUND(AA499 * (1 + 'Scenario Modeling'!$B$4), 0)</f>
        <v>27</v>
      </c>
      <c r="AH499">
        <f>T499 * (1 + 'Scenario Modeling'!$B$3)</f>
        <v>1133.08</v>
      </c>
      <c r="AI499" s="8">
        <f t="shared" si="128"/>
        <v>25249.613219999999</v>
      </c>
      <c r="AJ499" s="8">
        <f t="shared" si="129"/>
        <v>-5343.5467799999969</v>
      </c>
    </row>
    <row r="500" spans="1:36">
      <c r="A500" t="s">
        <v>512</v>
      </c>
      <c r="B500" s="4">
        <v>45224</v>
      </c>
      <c r="C500" s="28">
        <v>45224</v>
      </c>
      <c r="D500" s="28" t="str">
        <f t="shared" si="114"/>
        <v>Q4-2023</v>
      </c>
      <c r="E500" s="4">
        <v>45227</v>
      </c>
      <c r="F500" s="4">
        <v>45227</v>
      </c>
      <c r="G500" s="17">
        <f t="shared" si="115"/>
        <v>3</v>
      </c>
      <c r="H500" s="17">
        <f t="shared" si="116"/>
        <v>3</v>
      </c>
      <c r="I500" t="str">
        <f t="shared" si="117"/>
        <v>Yes</v>
      </c>
      <c r="J500" s="2">
        <f t="shared" si="118"/>
        <v>44955</v>
      </c>
      <c r="K500" t="s">
        <v>648</v>
      </c>
      <c r="L500" t="s">
        <v>655</v>
      </c>
      <c r="M500" t="s">
        <v>672</v>
      </c>
      <c r="N500" t="str">
        <f t="shared" si="119"/>
        <v>Americas - Brazil - Brasília</v>
      </c>
      <c r="O500" t="s">
        <v>701</v>
      </c>
      <c r="P500" t="s">
        <v>710</v>
      </c>
      <c r="Q500" t="s">
        <v>716</v>
      </c>
      <c r="R500" t="s">
        <v>733</v>
      </c>
      <c r="S500" t="s">
        <v>1231</v>
      </c>
      <c r="T500" s="6">
        <v>509.31</v>
      </c>
      <c r="U500" s="8">
        <v>1145.9000000000001</v>
      </c>
      <c r="V500" s="8">
        <f t="shared" si="120"/>
        <v>1145.9000000000001</v>
      </c>
      <c r="W500" s="8" t="str">
        <f t="shared" si="121"/>
        <v>Medium</v>
      </c>
      <c r="X500" s="15">
        <v>5.7000000000000002E-2</v>
      </c>
      <c r="Y500" s="15">
        <f t="shared" si="122"/>
        <v>5.7000000000000002E-2</v>
      </c>
      <c r="Z500" t="str">
        <f t="shared" si="123"/>
        <v>No</v>
      </c>
      <c r="AA500" s="17">
        <v>8</v>
      </c>
      <c r="AB500" s="8">
        <f t="shared" si="124"/>
        <v>8644.6696000000011</v>
      </c>
      <c r="AC500" s="8">
        <f t="shared" si="125"/>
        <v>4074.48</v>
      </c>
      <c r="AD500" s="8">
        <f t="shared" si="126"/>
        <v>4570.1896000000015</v>
      </c>
      <c r="AE500" s="15">
        <f t="shared" si="127"/>
        <v>0.52867140231709964</v>
      </c>
      <c r="AF500" s="34">
        <f>MIN(Y500,'Scenario Modeling'!$B$2)</f>
        <v>5.7000000000000002E-2</v>
      </c>
      <c r="AG500">
        <f>ROUND(AA500 * (1 + 'Scenario Modeling'!$B$4), 0)</f>
        <v>8</v>
      </c>
      <c r="AH500">
        <f>T500 * (1 + 'Scenario Modeling'!$B$3)</f>
        <v>509.31</v>
      </c>
      <c r="AI500" s="8">
        <f t="shared" si="128"/>
        <v>8644.6696000000011</v>
      </c>
      <c r="AJ500" s="8">
        <f t="shared" si="129"/>
        <v>4570.1896000000015</v>
      </c>
    </row>
    <row r="501" spans="1:36">
      <c r="A501" t="s">
        <v>513</v>
      </c>
      <c r="B501" s="4">
        <v>45908</v>
      </c>
      <c r="C501" s="28">
        <v>45908</v>
      </c>
      <c r="D501" s="28" t="str">
        <f t="shared" si="114"/>
        <v>Q3-2025</v>
      </c>
      <c r="E501" s="4">
        <v>45935</v>
      </c>
      <c r="F501" s="4">
        <v>45935</v>
      </c>
      <c r="G501" s="17">
        <f t="shared" si="115"/>
        <v>27</v>
      </c>
      <c r="H501" s="17">
        <f t="shared" si="116"/>
        <v>27</v>
      </c>
      <c r="I501" t="str">
        <f t="shared" si="117"/>
        <v>No</v>
      </c>
      <c r="J501" s="2">
        <f t="shared" si="118"/>
        <v>44955</v>
      </c>
      <c r="K501" t="s">
        <v>648</v>
      </c>
      <c r="L501" t="s">
        <v>655</v>
      </c>
      <c r="M501" t="s">
        <v>692</v>
      </c>
      <c r="N501" t="str">
        <f t="shared" si="119"/>
        <v>Americas - Brazil - Rio de Janeiro</v>
      </c>
      <c r="O501" t="s">
        <v>702</v>
      </c>
      <c r="P501" t="s">
        <v>708</v>
      </c>
      <c r="Q501" t="s">
        <v>712</v>
      </c>
      <c r="R501" t="s">
        <v>732</v>
      </c>
      <c r="S501" t="s">
        <v>1232</v>
      </c>
      <c r="T501" s="6">
        <v>660.78</v>
      </c>
      <c r="U501" s="8">
        <v>1630.39</v>
      </c>
      <c r="V501" s="8">
        <f t="shared" si="120"/>
        <v>1630.39</v>
      </c>
      <c r="W501" s="8" t="str">
        <f t="shared" si="121"/>
        <v>Medium</v>
      </c>
      <c r="X501" s="15">
        <v>0.218</v>
      </c>
      <c r="Y501" s="15">
        <f t="shared" si="122"/>
        <v>0.218</v>
      </c>
      <c r="Z501" t="str">
        <f t="shared" si="123"/>
        <v>Yes</v>
      </c>
      <c r="AA501" s="17">
        <v>13</v>
      </c>
      <c r="AB501" s="8">
        <f t="shared" si="124"/>
        <v>16574.544740000001</v>
      </c>
      <c r="AC501" s="8">
        <f t="shared" si="125"/>
        <v>8590.14</v>
      </c>
      <c r="AD501" s="8">
        <f t="shared" si="126"/>
        <v>7984.4047400000018</v>
      </c>
      <c r="AE501" s="15">
        <f t="shared" si="127"/>
        <v>0.48172694123724097</v>
      </c>
      <c r="AF501" s="34">
        <f>MIN(Y501,'Scenario Modeling'!$B$2)</f>
        <v>0.218</v>
      </c>
      <c r="AG501">
        <f>ROUND(AA501 * (1 + 'Scenario Modeling'!$B$4), 0)</f>
        <v>13</v>
      </c>
      <c r="AH501">
        <f>T501 * (1 + 'Scenario Modeling'!$B$3)</f>
        <v>660.78</v>
      </c>
      <c r="AI501" s="8">
        <f t="shared" si="128"/>
        <v>16574.544740000001</v>
      </c>
      <c r="AJ501" s="8">
        <f t="shared" si="129"/>
        <v>7984.4047400000018</v>
      </c>
    </row>
    <row r="502" spans="1:36">
      <c r="A502" t="s">
        <v>514</v>
      </c>
      <c r="B502" s="4">
        <v>45048</v>
      </c>
      <c r="C502" s="28">
        <v>45048</v>
      </c>
      <c r="D502" s="28" t="str">
        <f t="shared" si="114"/>
        <v>Q2-2023</v>
      </c>
      <c r="E502" s="4">
        <v>45062</v>
      </c>
      <c r="F502" s="4">
        <v>45062</v>
      </c>
      <c r="G502" s="17">
        <f t="shared" si="115"/>
        <v>14</v>
      </c>
      <c r="H502" s="17">
        <f t="shared" si="116"/>
        <v>14</v>
      </c>
      <c r="I502" t="str">
        <f t="shared" si="117"/>
        <v>No</v>
      </c>
      <c r="J502" s="2">
        <f t="shared" si="118"/>
        <v>44955</v>
      </c>
      <c r="K502" t="s">
        <v>647</v>
      </c>
      <c r="L502" t="s">
        <v>654</v>
      </c>
      <c r="M502" t="s">
        <v>668</v>
      </c>
      <c r="N502" t="str">
        <f t="shared" si="119"/>
        <v>Asia - India - Bengaluru</v>
      </c>
      <c r="O502" t="s">
        <v>703</v>
      </c>
      <c r="P502" t="s">
        <v>707</v>
      </c>
      <c r="Q502" t="s">
        <v>716</v>
      </c>
      <c r="R502" t="s">
        <v>732</v>
      </c>
      <c r="S502" t="s">
        <v>1233</v>
      </c>
      <c r="T502" s="6">
        <v>475.37</v>
      </c>
      <c r="U502" s="8">
        <v>963.73</v>
      </c>
      <c r="V502" s="8">
        <f t="shared" si="120"/>
        <v>963.73</v>
      </c>
      <c r="W502" s="8" t="str">
        <f t="shared" si="121"/>
        <v>Medium</v>
      </c>
      <c r="X502" s="15">
        <v>4.1000000000000002E-2</v>
      </c>
      <c r="Y502" s="15">
        <f t="shared" si="122"/>
        <v>4.1000000000000002E-2</v>
      </c>
      <c r="Z502" t="str">
        <f t="shared" si="123"/>
        <v>No</v>
      </c>
      <c r="AA502" s="17">
        <v>22</v>
      </c>
      <c r="AB502" s="8">
        <f t="shared" si="124"/>
        <v>20332.775539999999</v>
      </c>
      <c r="AC502" s="8">
        <f t="shared" si="125"/>
        <v>10458.14</v>
      </c>
      <c r="AD502" s="8">
        <f t="shared" si="126"/>
        <v>9874.6355399999993</v>
      </c>
      <c r="AE502" s="15">
        <f t="shared" si="127"/>
        <v>0.48565113604750881</v>
      </c>
      <c r="AF502" s="34">
        <f>MIN(Y502,'Scenario Modeling'!$B$2)</f>
        <v>4.1000000000000002E-2</v>
      </c>
      <c r="AG502">
        <f>ROUND(AA502 * (1 + 'Scenario Modeling'!$B$4), 0)</f>
        <v>22</v>
      </c>
      <c r="AH502">
        <f>T502 * (1 + 'Scenario Modeling'!$B$3)</f>
        <v>475.37</v>
      </c>
      <c r="AI502" s="8">
        <f t="shared" si="128"/>
        <v>20332.775539999999</v>
      </c>
      <c r="AJ502" s="8">
        <f t="shared" si="129"/>
        <v>9874.6355399999993</v>
      </c>
    </row>
    <row r="503" spans="1:36">
      <c r="A503" t="s">
        <v>515</v>
      </c>
      <c r="B503" s="4">
        <v>45408</v>
      </c>
      <c r="C503" s="28">
        <v>45408</v>
      </c>
      <c r="D503" s="28" t="str">
        <f t="shared" si="114"/>
        <v>Q2-2024</v>
      </c>
      <c r="E503" s="4">
        <v>45406</v>
      </c>
      <c r="F503" s="4">
        <f>B503+14</f>
        <v>45422</v>
      </c>
      <c r="G503" s="17">
        <f t="shared" si="115"/>
        <v>-2</v>
      </c>
      <c r="H503" s="17">
        <f t="shared" si="116"/>
        <v>14</v>
      </c>
      <c r="I503" t="str">
        <f t="shared" si="117"/>
        <v>No</v>
      </c>
      <c r="J503" s="2">
        <f t="shared" si="118"/>
        <v>44945</v>
      </c>
      <c r="K503" t="s">
        <v>649</v>
      </c>
      <c r="L503" t="s">
        <v>658</v>
      </c>
      <c r="M503" t="s">
        <v>683</v>
      </c>
      <c r="N503" t="str">
        <f t="shared" si="119"/>
        <v>Europe - United Kingdom - London</v>
      </c>
      <c r="O503" t="s">
        <v>703</v>
      </c>
      <c r="P503" t="s">
        <v>710</v>
      </c>
      <c r="Q503" t="s">
        <v>725</v>
      </c>
      <c r="R503" t="s">
        <v>730</v>
      </c>
      <c r="S503" t="s">
        <v>1234</v>
      </c>
      <c r="T503" s="6">
        <v>1232.77</v>
      </c>
      <c r="U503" s="8">
        <v>891.73</v>
      </c>
      <c r="V503" s="8">
        <f t="shared" si="120"/>
        <v>891.73</v>
      </c>
      <c r="W503" s="8" t="str">
        <f t="shared" si="121"/>
        <v>Medium</v>
      </c>
      <c r="X503" s="15">
        <v>0.16700000000000001</v>
      </c>
      <c r="Y503" s="15">
        <f t="shared" si="122"/>
        <v>0.16700000000000001</v>
      </c>
      <c r="Z503" t="str">
        <f t="shared" si="123"/>
        <v>No</v>
      </c>
      <c r="AA503" s="17">
        <v>10</v>
      </c>
      <c r="AB503" s="8">
        <f t="shared" si="124"/>
        <v>7428.1108999999988</v>
      </c>
      <c r="AC503" s="8">
        <f t="shared" si="125"/>
        <v>12327.7</v>
      </c>
      <c r="AD503" s="8">
        <f t="shared" si="126"/>
        <v>-4899.589100000002</v>
      </c>
      <c r="AE503" s="15">
        <f t="shared" si="127"/>
        <v>-0.65960096260813805</v>
      </c>
      <c r="AF503" s="34">
        <f>MIN(Y503,'Scenario Modeling'!$B$2)</f>
        <v>0.16700000000000001</v>
      </c>
      <c r="AG503">
        <f>ROUND(AA503 * (1 + 'Scenario Modeling'!$B$4), 0)</f>
        <v>10</v>
      </c>
      <c r="AH503">
        <f>T503 * (1 + 'Scenario Modeling'!$B$3)</f>
        <v>1232.77</v>
      </c>
      <c r="AI503" s="8">
        <f t="shared" si="128"/>
        <v>7428.1108999999988</v>
      </c>
      <c r="AJ503" s="8">
        <f t="shared" si="129"/>
        <v>-4899.589100000002</v>
      </c>
    </row>
    <row r="504" spans="1:36">
      <c r="A504" t="s">
        <v>516</v>
      </c>
      <c r="B504" s="4">
        <v>44980</v>
      </c>
      <c r="C504" s="28">
        <v>44980</v>
      </c>
      <c r="D504" s="28" t="str">
        <f t="shared" si="114"/>
        <v>Q1-2023</v>
      </c>
      <c r="E504" s="4">
        <v>45003</v>
      </c>
      <c r="F504" s="4">
        <v>45003</v>
      </c>
      <c r="G504" s="17">
        <f t="shared" si="115"/>
        <v>23</v>
      </c>
      <c r="H504" s="17">
        <f t="shared" si="116"/>
        <v>23</v>
      </c>
      <c r="I504" t="str">
        <f t="shared" si="117"/>
        <v>No</v>
      </c>
      <c r="J504" s="2">
        <f t="shared" si="118"/>
        <v>44938</v>
      </c>
      <c r="K504" t="s">
        <v>647</v>
      </c>
      <c r="L504" t="s">
        <v>659</v>
      </c>
      <c r="M504" t="s">
        <v>699</v>
      </c>
      <c r="N504" t="str">
        <f t="shared" si="119"/>
        <v>Asia - China - Beijing</v>
      </c>
      <c r="O504" t="s">
        <v>702</v>
      </c>
      <c r="P504" t="s">
        <v>710</v>
      </c>
      <c r="Q504" t="s">
        <v>723</v>
      </c>
      <c r="R504" t="s">
        <v>728</v>
      </c>
      <c r="S504" t="s">
        <v>1235</v>
      </c>
      <c r="T504" s="6">
        <v>770.11</v>
      </c>
      <c r="U504" s="8">
        <v>1667.82</v>
      </c>
      <c r="V504" s="8">
        <f t="shared" si="120"/>
        <v>1667.82</v>
      </c>
      <c r="W504" s="8" t="str">
        <f t="shared" si="121"/>
        <v>High</v>
      </c>
      <c r="X504" s="15">
        <v>6.9000000000000006E-2</v>
      </c>
      <c r="Y504" s="15">
        <f t="shared" si="122"/>
        <v>6.9000000000000006E-2</v>
      </c>
      <c r="Z504" t="str">
        <f t="shared" si="123"/>
        <v>No</v>
      </c>
      <c r="AA504" s="17">
        <v>7</v>
      </c>
      <c r="AB504" s="8">
        <f t="shared" si="124"/>
        <v>10869.182940000001</v>
      </c>
      <c r="AC504" s="8">
        <f t="shared" si="125"/>
        <v>5390.77</v>
      </c>
      <c r="AD504" s="8">
        <f t="shared" si="126"/>
        <v>5478.4129400000002</v>
      </c>
      <c r="AE504" s="15">
        <f t="shared" si="127"/>
        <v>0.50403171703355287</v>
      </c>
      <c r="AF504" s="34">
        <f>MIN(Y504,'Scenario Modeling'!$B$2)</f>
        <v>6.9000000000000006E-2</v>
      </c>
      <c r="AG504">
        <f>ROUND(AA504 * (1 + 'Scenario Modeling'!$B$4), 0)</f>
        <v>7</v>
      </c>
      <c r="AH504">
        <f>T504 * (1 + 'Scenario Modeling'!$B$3)</f>
        <v>770.11</v>
      </c>
      <c r="AI504" s="8">
        <f t="shared" si="128"/>
        <v>10869.182940000001</v>
      </c>
      <c r="AJ504" s="8">
        <f t="shared" si="129"/>
        <v>5478.4129400000002</v>
      </c>
    </row>
    <row r="505" spans="1:36">
      <c r="A505" t="s">
        <v>517</v>
      </c>
      <c r="B505" s="4">
        <v>45740</v>
      </c>
      <c r="C505" s="28">
        <v>45740</v>
      </c>
      <c r="D505" s="28" t="str">
        <f t="shared" si="114"/>
        <v>Q1-2025</v>
      </c>
      <c r="E505" s="4">
        <v>45741</v>
      </c>
      <c r="F505" s="4">
        <v>45741</v>
      </c>
      <c r="G505" s="17">
        <f t="shared" si="115"/>
        <v>1</v>
      </c>
      <c r="H505" s="17">
        <f t="shared" si="116"/>
        <v>1</v>
      </c>
      <c r="I505" t="str">
        <f t="shared" si="117"/>
        <v>Yes</v>
      </c>
      <c r="J505" s="2">
        <f t="shared" si="118"/>
        <v>44938</v>
      </c>
      <c r="K505" t="s">
        <v>647</v>
      </c>
      <c r="L505" t="s">
        <v>659</v>
      </c>
      <c r="M505" t="s">
        <v>699</v>
      </c>
      <c r="N505" t="str">
        <f t="shared" si="119"/>
        <v>Asia - China - Beijing</v>
      </c>
      <c r="O505" t="s">
        <v>703</v>
      </c>
      <c r="P505" t="s">
        <v>708</v>
      </c>
      <c r="Q505" t="s">
        <v>715</v>
      </c>
      <c r="R505" t="s">
        <v>729</v>
      </c>
      <c r="S505" t="s">
        <v>1236</v>
      </c>
      <c r="T505" s="6">
        <v>1133.03</v>
      </c>
      <c r="U505" s="8">
        <v>1921.51</v>
      </c>
      <c r="V505" s="8">
        <f t="shared" si="120"/>
        <v>1921.51</v>
      </c>
      <c r="W505" s="8" t="str">
        <f t="shared" si="121"/>
        <v>High</v>
      </c>
      <c r="X505" s="15">
        <v>0.10100000000000001</v>
      </c>
      <c r="Y505" s="15">
        <f t="shared" si="122"/>
        <v>0.10100000000000001</v>
      </c>
      <c r="Z505" t="str">
        <f t="shared" si="123"/>
        <v>No</v>
      </c>
      <c r="AA505" s="17">
        <v>5</v>
      </c>
      <c r="AB505" s="8">
        <f t="shared" si="124"/>
        <v>8637.1874499999994</v>
      </c>
      <c r="AC505" s="8">
        <f t="shared" si="125"/>
        <v>5665.15</v>
      </c>
      <c r="AD505" s="8">
        <f t="shared" si="126"/>
        <v>2972.0374499999998</v>
      </c>
      <c r="AE505" s="15">
        <f t="shared" si="127"/>
        <v>0.3440978289755654</v>
      </c>
      <c r="AF505" s="34">
        <f>MIN(Y505,'Scenario Modeling'!$B$2)</f>
        <v>0.10100000000000001</v>
      </c>
      <c r="AG505">
        <f>ROUND(AA505 * (1 + 'Scenario Modeling'!$B$4), 0)</f>
        <v>5</v>
      </c>
      <c r="AH505">
        <f>T505 * (1 + 'Scenario Modeling'!$B$3)</f>
        <v>1133.03</v>
      </c>
      <c r="AI505" s="8">
        <f t="shared" si="128"/>
        <v>8637.1874499999994</v>
      </c>
      <c r="AJ505" s="8">
        <f t="shared" si="129"/>
        <v>2972.0374499999998</v>
      </c>
    </row>
    <row r="506" spans="1:36">
      <c r="A506" t="s">
        <v>518</v>
      </c>
      <c r="B506" s="4">
        <v>45726</v>
      </c>
      <c r="C506" s="28">
        <v>45726</v>
      </c>
      <c r="D506" s="28" t="str">
        <f t="shared" si="114"/>
        <v>Q1-2025</v>
      </c>
      <c r="E506" s="4">
        <v>45743</v>
      </c>
      <c r="F506" s="4">
        <v>45743</v>
      </c>
      <c r="G506" s="17">
        <f t="shared" si="115"/>
        <v>17</v>
      </c>
      <c r="H506" s="17">
        <f t="shared" si="116"/>
        <v>17</v>
      </c>
      <c r="I506" t="str">
        <f t="shared" si="117"/>
        <v>No</v>
      </c>
      <c r="J506" s="2">
        <f t="shared" si="118"/>
        <v>44955</v>
      </c>
      <c r="K506" t="s">
        <v>648</v>
      </c>
      <c r="L506" t="s">
        <v>655</v>
      </c>
      <c r="M506" t="s">
        <v>692</v>
      </c>
      <c r="N506" t="str">
        <f t="shared" si="119"/>
        <v>Americas - Brazil - Rio de Janeiro</v>
      </c>
      <c r="O506" t="s">
        <v>706</v>
      </c>
      <c r="P506" t="s">
        <v>711</v>
      </c>
      <c r="Q506" t="s">
        <v>721</v>
      </c>
      <c r="R506" t="s">
        <v>729</v>
      </c>
      <c r="S506" t="s">
        <v>1237</v>
      </c>
      <c r="T506" s="6">
        <v>996.73</v>
      </c>
      <c r="U506" s="8">
        <v>1217.43</v>
      </c>
      <c r="V506" s="8">
        <f t="shared" si="120"/>
        <v>1217.43</v>
      </c>
      <c r="W506" s="8" t="str">
        <f t="shared" si="121"/>
        <v>Medium</v>
      </c>
      <c r="X506" s="15">
        <v>7.0000000000000007E-2</v>
      </c>
      <c r="Y506" s="15">
        <f t="shared" si="122"/>
        <v>7.0000000000000007E-2</v>
      </c>
      <c r="Z506" t="str">
        <f t="shared" si="123"/>
        <v>No</v>
      </c>
      <c r="AA506" s="17">
        <v>9</v>
      </c>
      <c r="AB506" s="8">
        <f t="shared" si="124"/>
        <v>10189.8891</v>
      </c>
      <c r="AC506" s="8">
        <f t="shared" si="125"/>
        <v>8970.57</v>
      </c>
      <c r="AD506" s="8">
        <f t="shared" si="126"/>
        <v>1219.3191000000006</v>
      </c>
      <c r="AE506" s="15">
        <f t="shared" si="127"/>
        <v>0.11965970267527255</v>
      </c>
      <c r="AF506" s="34">
        <f>MIN(Y506,'Scenario Modeling'!$B$2)</f>
        <v>7.0000000000000007E-2</v>
      </c>
      <c r="AG506">
        <f>ROUND(AA506 * (1 + 'Scenario Modeling'!$B$4), 0)</f>
        <v>9</v>
      </c>
      <c r="AH506">
        <f>T506 * (1 + 'Scenario Modeling'!$B$3)</f>
        <v>996.73</v>
      </c>
      <c r="AI506" s="8">
        <f t="shared" si="128"/>
        <v>10189.8891</v>
      </c>
      <c r="AJ506" s="8">
        <f t="shared" si="129"/>
        <v>1219.3191000000006</v>
      </c>
    </row>
    <row r="507" spans="1:36">
      <c r="A507" t="s">
        <v>519</v>
      </c>
      <c r="B507" s="4">
        <v>45387</v>
      </c>
      <c r="C507" s="28">
        <v>45387</v>
      </c>
      <c r="D507" s="28" t="str">
        <f t="shared" si="114"/>
        <v>Q2-2024</v>
      </c>
      <c r="E507" s="4">
        <v>45391</v>
      </c>
      <c r="F507" s="4">
        <v>45391</v>
      </c>
      <c r="G507" s="17">
        <f t="shared" si="115"/>
        <v>4</v>
      </c>
      <c r="H507" s="17">
        <f t="shared" si="116"/>
        <v>4</v>
      </c>
      <c r="I507" t="str">
        <f t="shared" si="117"/>
        <v>Yes</v>
      </c>
      <c r="J507" s="2">
        <f t="shared" si="118"/>
        <v>44941</v>
      </c>
      <c r="K507" t="s">
        <v>646</v>
      </c>
      <c r="L507" t="s">
        <v>651</v>
      </c>
      <c r="M507" t="s">
        <v>665</v>
      </c>
      <c r="N507" t="str">
        <f t="shared" si="119"/>
        <v>Africa - Nigeria - Lagos</v>
      </c>
      <c r="O507" t="s">
        <v>703</v>
      </c>
      <c r="P507" t="s">
        <v>711</v>
      </c>
      <c r="Q507" t="s">
        <v>723</v>
      </c>
      <c r="R507" t="s">
        <v>727</v>
      </c>
      <c r="S507" t="s">
        <v>1238</v>
      </c>
      <c r="T507" s="6">
        <v>395.07</v>
      </c>
      <c r="U507" s="8">
        <v>970.27</v>
      </c>
      <c r="V507" s="8">
        <f t="shared" si="120"/>
        <v>970.27</v>
      </c>
      <c r="W507" s="8" t="str">
        <f t="shared" si="121"/>
        <v>Medium</v>
      </c>
      <c r="X507" s="15">
        <v>0.123</v>
      </c>
      <c r="Y507" s="15">
        <f t="shared" si="122"/>
        <v>0.123</v>
      </c>
      <c r="Z507" t="str">
        <f t="shared" si="123"/>
        <v>No</v>
      </c>
      <c r="AA507" s="17">
        <v>38</v>
      </c>
      <c r="AB507" s="8">
        <f t="shared" si="124"/>
        <v>32335.21802</v>
      </c>
      <c r="AC507" s="8">
        <f t="shared" si="125"/>
        <v>15012.66</v>
      </c>
      <c r="AD507" s="8">
        <f t="shared" si="126"/>
        <v>17322.55802</v>
      </c>
      <c r="AE507" s="15">
        <f t="shared" si="127"/>
        <v>0.53571799049833657</v>
      </c>
      <c r="AF507" s="34">
        <f>MIN(Y507,'Scenario Modeling'!$B$2)</f>
        <v>0.123</v>
      </c>
      <c r="AG507">
        <f>ROUND(AA507 * (1 + 'Scenario Modeling'!$B$4), 0)</f>
        <v>38</v>
      </c>
      <c r="AH507">
        <f>T507 * (1 + 'Scenario Modeling'!$B$3)</f>
        <v>395.07</v>
      </c>
      <c r="AI507" s="8">
        <f t="shared" si="128"/>
        <v>32335.21802</v>
      </c>
      <c r="AJ507" s="8">
        <f t="shared" si="129"/>
        <v>17322.55802</v>
      </c>
    </row>
    <row r="508" spans="1:36">
      <c r="A508" t="s">
        <v>520</v>
      </c>
      <c r="B508" s="4">
        <v>45774</v>
      </c>
      <c r="C508" s="28">
        <v>45774</v>
      </c>
      <c r="D508" s="28" t="str">
        <f t="shared" si="114"/>
        <v>Q2-2025</v>
      </c>
      <c r="E508" s="4">
        <v>45794</v>
      </c>
      <c r="F508" s="4">
        <v>45794</v>
      </c>
      <c r="G508" s="17">
        <f t="shared" si="115"/>
        <v>20</v>
      </c>
      <c r="H508" s="17">
        <f t="shared" si="116"/>
        <v>20</v>
      </c>
      <c r="I508" t="str">
        <f t="shared" si="117"/>
        <v>No</v>
      </c>
      <c r="J508" s="2">
        <f t="shared" si="118"/>
        <v>44939</v>
      </c>
      <c r="K508" t="s">
        <v>648</v>
      </c>
      <c r="L508" t="s">
        <v>660</v>
      </c>
      <c r="M508" t="s">
        <v>697</v>
      </c>
      <c r="N508" t="str">
        <f t="shared" si="119"/>
        <v>Americas - USA - Austin</v>
      </c>
      <c r="O508" t="s">
        <v>701</v>
      </c>
      <c r="P508" t="s">
        <v>711</v>
      </c>
      <c r="Q508" t="s">
        <v>725</v>
      </c>
      <c r="R508" t="s">
        <v>730</v>
      </c>
      <c r="S508" t="s">
        <v>1239</v>
      </c>
      <c r="T508" s="6">
        <v>932.26</v>
      </c>
      <c r="U508" s="8">
        <v>1624.67</v>
      </c>
      <c r="V508" s="8">
        <f t="shared" si="120"/>
        <v>1624.67</v>
      </c>
      <c r="W508" s="8" t="str">
        <f t="shared" si="121"/>
        <v>Medium</v>
      </c>
      <c r="X508" s="15">
        <v>0.23499999999999999</v>
      </c>
      <c r="Y508" s="15">
        <f t="shared" si="122"/>
        <v>0.23499999999999999</v>
      </c>
      <c r="Z508" t="str">
        <f t="shared" si="123"/>
        <v>Yes</v>
      </c>
      <c r="AA508" s="17">
        <v>28</v>
      </c>
      <c r="AB508" s="8">
        <f t="shared" si="124"/>
        <v>34800.431400000001</v>
      </c>
      <c r="AC508" s="8">
        <f t="shared" si="125"/>
        <v>26103.279999999999</v>
      </c>
      <c r="AD508" s="8">
        <f t="shared" si="126"/>
        <v>8697.1514000000025</v>
      </c>
      <c r="AE508" s="15">
        <f t="shared" si="127"/>
        <v>0.24991504559337163</v>
      </c>
      <c r="AF508" s="34">
        <f>MIN(Y508,'Scenario Modeling'!$B$2)</f>
        <v>0.23499999999999999</v>
      </c>
      <c r="AG508">
        <f>ROUND(AA508 * (1 + 'Scenario Modeling'!$B$4), 0)</f>
        <v>28</v>
      </c>
      <c r="AH508">
        <f>T508 * (1 + 'Scenario Modeling'!$B$3)</f>
        <v>932.26</v>
      </c>
      <c r="AI508" s="8">
        <f t="shared" si="128"/>
        <v>34800.431400000001</v>
      </c>
      <c r="AJ508" s="8">
        <f t="shared" si="129"/>
        <v>8697.1514000000025</v>
      </c>
    </row>
    <row r="509" spans="1:36">
      <c r="A509" t="s">
        <v>521</v>
      </c>
      <c r="B509" s="4">
        <v>45589</v>
      </c>
      <c r="C509" s="28">
        <v>45589</v>
      </c>
      <c r="D509" s="28" t="str">
        <f t="shared" si="114"/>
        <v>Q4-2024</v>
      </c>
      <c r="E509" s="4">
        <v>45593</v>
      </c>
      <c r="F509" s="4">
        <v>45593</v>
      </c>
      <c r="G509" s="17">
        <f t="shared" si="115"/>
        <v>4</v>
      </c>
      <c r="H509" s="17">
        <f t="shared" si="116"/>
        <v>4</v>
      </c>
      <c r="I509" t="str">
        <f t="shared" si="117"/>
        <v>Yes</v>
      </c>
      <c r="J509" s="2">
        <f t="shared" si="118"/>
        <v>44938</v>
      </c>
      <c r="K509" t="s">
        <v>647</v>
      </c>
      <c r="L509" t="s">
        <v>659</v>
      </c>
      <c r="M509" t="s">
        <v>685</v>
      </c>
      <c r="N509" t="str">
        <f t="shared" si="119"/>
        <v>Asia - China - Shanghai</v>
      </c>
      <c r="O509" t="s">
        <v>705</v>
      </c>
      <c r="P509" t="s">
        <v>710</v>
      </c>
      <c r="Q509" t="s">
        <v>714</v>
      </c>
      <c r="R509" t="s">
        <v>729</v>
      </c>
      <c r="S509" t="s">
        <v>1240</v>
      </c>
      <c r="T509" s="6">
        <v>1331.77</v>
      </c>
      <c r="U509" s="8">
        <v>2606.11</v>
      </c>
      <c r="V509" s="8">
        <f t="shared" si="120"/>
        <v>2606.11</v>
      </c>
      <c r="W509" s="8" t="str">
        <f t="shared" si="121"/>
        <v>High</v>
      </c>
      <c r="X509" s="15">
        <v>0.02</v>
      </c>
      <c r="Y509" s="15">
        <f t="shared" si="122"/>
        <v>0.02</v>
      </c>
      <c r="Z509" t="str">
        <f t="shared" si="123"/>
        <v>No</v>
      </c>
      <c r="AA509" s="17">
        <v>6</v>
      </c>
      <c r="AB509" s="8">
        <f t="shared" si="124"/>
        <v>15323.926799999999</v>
      </c>
      <c r="AC509" s="8">
        <f t="shared" si="125"/>
        <v>7990.62</v>
      </c>
      <c r="AD509" s="8">
        <f t="shared" si="126"/>
        <v>7333.3067999999994</v>
      </c>
      <c r="AE509" s="15">
        <f t="shared" si="127"/>
        <v>0.47855271665745619</v>
      </c>
      <c r="AF509" s="34">
        <f>MIN(Y509,'Scenario Modeling'!$B$2)</f>
        <v>0.02</v>
      </c>
      <c r="AG509">
        <f>ROUND(AA509 * (1 + 'Scenario Modeling'!$B$4), 0)</f>
        <v>6</v>
      </c>
      <c r="AH509">
        <f>T509 * (1 + 'Scenario Modeling'!$B$3)</f>
        <v>1331.77</v>
      </c>
      <c r="AI509" s="8">
        <f t="shared" si="128"/>
        <v>15323.926799999999</v>
      </c>
      <c r="AJ509" s="8">
        <f t="shared" si="129"/>
        <v>7333.3067999999994</v>
      </c>
    </row>
    <row r="510" spans="1:36">
      <c r="A510" t="s">
        <v>522</v>
      </c>
      <c r="B510" s="4">
        <v>45029</v>
      </c>
      <c r="C510" s="28">
        <v>45029</v>
      </c>
      <c r="D510" s="28" t="str">
        <f t="shared" si="114"/>
        <v>Q2-2023</v>
      </c>
      <c r="E510" s="4">
        <v>45036</v>
      </c>
      <c r="F510" s="4">
        <v>45036</v>
      </c>
      <c r="G510" s="17">
        <f t="shared" si="115"/>
        <v>7</v>
      </c>
      <c r="H510" s="17">
        <f t="shared" si="116"/>
        <v>7</v>
      </c>
      <c r="I510" t="str">
        <f t="shared" si="117"/>
        <v>Yes</v>
      </c>
      <c r="J510" s="2">
        <f t="shared" si="118"/>
        <v>44936</v>
      </c>
      <c r="K510" t="s">
        <v>649</v>
      </c>
      <c r="L510" t="s">
        <v>657</v>
      </c>
      <c r="M510" t="s">
        <v>679</v>
      </c>
      <c r="N510" t="str">
        <f t="shared" si="119"/>
        <v>Europe - France - Lyon</v>
      </c>
      <c r="O510" t="s">
        <v>705</v>
      </c>
      <c r="P510" t="s">
        <v>708</v>
      </c>
      <c r="Q510" t="s">
        <v>720</v>
      </c>
      <c r="R510" t="s">
        <v>731</v>
      </c>
      <c r="S510" t="s">
        <v>1241</v>
      </c>
      <c r="T510" s="6">
        <v>227.02</v>
      </c>
      <c r="U510" s="8">
        <v>434.72</v>
      </c>
      <c r="V510" s="8">
        <f t="shared" si="120"/>
        <v>434.72</v>
      </c>
      <c r="W510" s="8" t="str">
        <f t="shared" si="121"/>
        <v>Low</v>
      </c>
      <c r="X510" s="15">
        <v>9.8000000000000004E-2</v>
      </c>
      <c r="Y510" s="15">
        <f t="shared" si="122"/>
        <v>9.8000000000000004E-2</v>
      </c>
      <c r="Z510" t="str">
        <f t="shared" si="123"/>
        <v>No</v>
      </c>
      <c r="AA510" s="17">
        <v>10</v>
      </c>
      <c r="AB510" s="8">
        <f t="shared" si="124"/>
        <v>3921.1744000000008</v>
      </c>
      <c r="AC510" s="8">
        <f t="shared" si="125"/>
        <v>2270.2000000000003</v>
      </c>
      <c r="AD510" s="8">
        <f t="shared" si="126"/>
        <v>1650.9744000000005</v>
      </c>
      <c r="AE510" s="15">
        <f t="shared" si="127"/>
        <v>0.42104079838938052</v>
      </c>
      <c r="AF510" s="34">
        <f>MIN(Y510,'Scenario Modeling'!$B$2)</f>
        <v>9.8000000000000004E-2</v>
      </c>
      <c r="AG510">
        <f>ROUND(AA510 * (1 + 'Scenario Modeling'!$B$4), 0)</f>
        <v>10</v>
      </c>
      <c r="AH510">
        <f>T510 * (1 + 'Scenario Modeling'!$B$3)</f>
        <v>227.02</v>
      </c>
      <c r="AI510" s="8">
        <f t="shared" si="128"/>
        <v>3921.1744000000008</v>
      </c>
      <c r="AJ510" s="8">
        <f t="shared" si="129"/>
        <v>1650.9744000000005</v>
      </c>
    </row>
    <row r="511" spans="1:36">
      <c r="A511" t="s">
        <v>523</v>
      </c>
      <c r="B511" s="4">
        <v>45608</v>
      </c>
      <c r="C511" s="28">
        <v>45608</v>
      </c>
      <c r="D511" s="28" t="str">
        <f t="shared" si="114"/>
        <v>Q4-2024</v>
      </c>
      <c r="E511" s="4">
        <v>45617</v>
      </c>
      <c r="F511" s="4">
        <v>45617</v>
      </c>
      <c r="G511" s="17">
        <f t="shared" si="115"/>
        <v>9</v>
      </c>
      <c r="H511" s="17">
        <f t="shared" si="116"/>
        <v>9</v>
      </c>
      <c r="I511" t="str">
        <f t="shared" si="117"/>
        <v>No</v>
      </c>
      <c r="J511" s="2">
        <f t="shared" si="118"/>
        <v>44955</v>
      </c>
      <c r="K511" t="s">
        <v>647</v>
      </c>
      <c r="L511" t="s">
        <v>654</v>
      </c>
      <c r="M511" t="s">
        <v>691</v>
      </c>
      <c r="N511" t="str">
        <f t="shared" si="119"/>
        <v>Asia - India - Mumbai</v>
      </c>
      <c r="O511" t="s">
        <v>701</v>
      </c>
      <c r="P511" t="s">
        <v>711</v>
      </c>
      <c r="Q511" t="s">
        <v>722</v>
      </c>
      <c r="R511" t="s">
        <v>731</v>
      </c>
      <c r="S511" t="s">
        <v>1242</v>
      </c>
      <c r="T511" s="6">
        <v>903.41</v>
      </c>
      <c r="U511" s="8">
        <v>1860.41</v>
      </c>
      <c r="V511" s="8">
        <f t="shared" si="120"/>
        <v>1860.41</v>
      </c>
      <c r="W511" s="8" t="str">
        <f t="shared" si="121"/>
        <v>High</v>
      </c>
      <c r="X511" s="15">
        <v>0.108</v>
      </c>
      <c r="Y511" s="15">
        <f t="shared" si="122"/>
        <v>0.108</v>
      </c>
      <c r="Z511" t="str">
        <f t="shared" si="123"/>
        <v>No</v>
      </c>
      <c r="AA511" s="17">
        <v>5</v>
      </c>
      <c r="AB511" s="8">
        <f t="shared" si="124"/>
        <v>8297.4286000000011</v>
      </c>
      <c r="AC511" s="8">
        <f t="shared" si="125"/>
        <v>4517.05</v>
      </c>
      <c r="AD511" s="8">
        <f t="shared" si="126"/>
        <v>3780.3786000000009</v>
      </c>
      <c r="AE511" s="15">
        <f t="shared" si="127"/>
        <v>0.455608451996803</v>
      </c>
      <c r="AF511" s="34">
        <f>MIN(Y511,'Scenario Modeling'!$B$2)</f>
        <v>0.108</v>
      </c>
      <c r="AG511">
        <f>ROUND(AA511 * (1 + 'Scenario Modeling'!$B$4), 0)</f>
        <v>5</v>
      </c>
      <c r="AH511">
        <f>T511 * (1 + 'Scenario Modeling'!$B$3)</f>
        <v>903.41</v>
      </c>
      <c r="AI511" s="8">
        <f t="shared" si="128"/>
        <v>8297.4286000000011</v>
      </c>
      <c r="AJ511" s="8">
        <f t="shared" si="129"/>
        <v>3780.3786000000009</v>
      </c>
    </row>
    <row r="512" spans="1:36">
      <c r="A512" t="s">
        <v>524</v>
      </c>
      <c r="B512" s="4">
        <v>45056</v>
      </c>
      <c r="C512" s="28">
        <v>45056</v>
      </c>
      <c r="D512" s="28" t="str">
        <f t="shared" si="114"/>
        <v>Q2-2023</v>
      </c>
      <c r="E512" s="4">
        <v>45060</v>
      </c>
      <c r="F512" s="4">
        <v>45060</v>
      </c>
      <c r="G512" s="17">
        <f t="shared" si="115"/>
        <v>4</v>
      </c>
      <c r="H512" s="17">
        <f t="shared" si="116"/>
        <v>4</v>
      </c>
      <c r="I512" t="str">
        <f t="shared" si="117"/>
        <v>Yes</v>
      </c>
      <c r="J512" s="2">
        <f t="shared" si="118"/>
        <v>44955</v>
      </c>
      <c r="K512" t="s">
        <v>647</v>
      </c>
      <c r="L512" t="s">
        <v>654</v>
      </c>
      <c r="M512" t="s">
        <v>680</v>
      </c>
      <c r="N512" t="str">
        <f t="shared" si="119"/>
        <v>Asia - India - Delhi</v>
      </c>
      <c r="O512" t="s">
        <v>703</v>
      </c>
      <c r="P512" t="s">
        <v>710</v>
      </c>
      <c r="Q512" t="s">
        <v>712</v>
      </c>
      <c r="R512" t="s">
        <v>732</v>
      </c>
      <c r="S512" t="s">
        <v>1243</v>
      </c>
      <c r="T512" s="6">
        <v>622.6</v>
      </c>
      <c r="U512" s="8">
        <v>833.69</v>
      </c>
      <c r="V512" s="8">
        <f t="shared" si="120"/>
        <v>833.69</v>
      </c>
      <c r="W512" s="8" t="str">
        <f t="shared" si="121"/>
        <v>Medium</v>
      </c>
      <c r="X512" s="15">
        <v>0.20899999999999999</v>
      </c>
      <c r="Y512" s="15">
        <f t="shared" si="122"/>
        <v>0.20899999999999999</v>
      </c>
      <c r="Z512" t="str">
        <f t="shared" si="123"/>
        <v>Yes</v>
      </c>
      <c r="AA512" s="17">
        <v>14</v>
      </c>
      <c r="AB512" s="8">
        <f t="shared" si="124"/>
        <v>9232.2830599999998</v>
      </c>
      <c r="AC512" s="8">
        <f t="shared" si="125"/>
        <v>8716.4</v>
      </c>
      <c r="AD512" s="8">
        <f t="shared" si="126"/>
        <v>515.88306000000011</v>
      </c>
      <c r="AE512" s="15">
        <f t="shared" si="127"/>
        <v>5.5878167582959715E-2</v>
      </c>
      <c r="AF512" s="34">
        <f>MIN(Y512,'Scenario Modeling'!$B$2)</f>
        <v>0.20899999999999999</v>
      </c>
      <c r="AG512">
        <f>ROUND(AA512 * (1 + 'Scenario Modeling'!$B$4), 0)</f>
        <v>14</v>
      </c>
      <c r="AH512">
        <f>T512 * (1 + 'Scenario Modeling'!$B$3)</f>
        <v>622.6</v>
      </c>
      <c r="AI512" s="8">
        <f t="shared" si="128"/>
        <v>9232.2830599999998</v>
      </c>
      <c r="AJ512" s="8">
        <f t="shared" si="129"/>
        <v>515.88306000000011</v>
      </c>
    </row>
    <row r="513" spans="1:36">
      <c r="A513" t="s">
        <v>525</v>
      </c>
      <c r="B513" s="4">
        <v>45353</v>
      </c>
      <c r="C513" s="28">
        <v>45353</v>
      </c>
      <c r="D513" s="28" t="str">
        <f t="shared" si="114"/>
        <v>Q1-2024</v>
      </c>
      <c r="E513" s="4">
        <v>45374</v>
      </c>
      <c r="F513" s="4">
        <v>45374</v>
      </c>
      <c r="G513" s="17">
        <f t="shared" si="115"/>
        <v>21</v>
      </c>
      <c r="H513" s="17">
        <f t="shared" si="116"/>
        <v>21</v>
      </c>
      <c r="I513" t="str">
        <f t="shared" si="117"/>
        <v>No</v>
      </c>
      <c r="J513" s="2">
        <f t="shared" si="118"/>
        <v>44939</v>
      </c>
      <c r="K513" t="s">
        <v>648</v>
      </c>
      <c r="L513" t="s">
        <v>660</v>
      </c>
      <c r="M513" t="s">
        <v>677</v>
      </c>
      <c r="N513" t="str">
        <f t="shared" si="119"/>
        <v>Americas - USA - Chicago</v>
      </c>
      <c r="O513" t="s">
        <v>705</v>
      </c>
      <c r="P513" t="s">
        <v>708</v>
      </c>
      <c r="Q513" t="s">
        <v>721</v>
      </c>
      <c r="R513" t="s">
        <v>727</v>
      </c>
      <c r="S513" t="s">
        <v>1244</v>
      </c>
      <c r="T513" s="6">
        <v>225.01</v>
      </c>
      <c r="U513" s="8">
        <v>333.48</v>
      </c>
      <c r="V513" s="8">
        <f t="shared" si="120"/>
        <v>333.48</v>
      </c>
      <c r="W513" s="8" t="str">
        <f t="shared" si="121"/>
        <v>Low</v>
      </c>
      <c r="X513" s="15">
        <v>0.11899999999999999</v>
      </c>
      <c r="Y513" s="15">
        <f t="shared" si="122"/>
        <v>0.11899999999999999</v>
      </c>
      <c r="Z513" t="str">
        <f t="shared" si="123"/>
        <v>No</v>
      </c>
      <c r="AA513" s="17">
        <v>12</v>
      </c>
      <c r="AB513" s="8">
        <f t="shared" si="124"/>
        <v>3525.5505600000001</v>
      </c>
      <c r="AC513" s="8">
        <f t="shared" si="125"/>
        <v>2700.12</v>
      </c>
      <c r="AD513" s="8">
        <f t="shared" si="126"/>
        <v>825.43056000000024</v>
      </c>
      <c r="AE513" s="15">
        <f t="shared" si="127"/>
        <v>0.23412813004729685</v>
      </c>
      <c r="AF513" s="34">
        <f>MIN(Y513,'Scenario Modeling'!$B$2)</f>
        <v>0.11899999999999999</v>
      </c>
      <c r="AG513">
        <f>ROUND(AA513 * (1 + 'Scenario Modeling'!$B$4), 0)</f>
        <v>12</v>
      </c>
      <c r="AH513">
        <f>T513 * (1 + 'Scenario Modeling'!$B$3)</f>
        <v>225.01</v>
      </c>
      <c r="AI513" s="8">
        <f t="shared" si="128"/>
        <v>3525.5505600000001</v>
      </c>
      <c r="AJ513" s="8">
        <f t="shared" si="129"/>
        <v>825.43056000000024</v>
      </c>
    </row>
    <row r="514" spans="1:36">
      <c r="A514" t="s">
        <v>526</v>
      </c>
      <c r="B514" s="4">
        <v>45575</v>
      </c>
      <c r="C514" s="28">
        <v>45575</v>
      </c>
      <c r="D514" s="28" t="str">
        <f t="shared" si="114"/>
        <v>Q4-2024</v>
      </c>
      <c r="E514" s="4">
        <v>45576</v>
      </c>
      <c r="F514" s="4">
        <v>45576</v>
      </c>
      <c r="G514" s="17">
        <f t="shared" si="115"/>
        <v>1</v>
      </c>
      <c r="H514" s="17">
        <f t="shared" si="116"/>
        <v>1</v>
      </c>
      <c r="I514" t="str">
        <f t="shared" si="117"/>
        <v>Yes</v>
      </c>
      <c r="J514" s="2">
        <f t="shared" si="118"/>
        <v>44945</v>
      </c>
      <c r="K514" t="s">
        <v>649</v>
      </c>
      <c r="L514" t="s">
        <v>658</v>
      </c>
      <c r="M514" t="s">
        <v>693</v>
      </c>
      <c r="N514" t="str">
        <f t="shared" si="119"/>
        <v>Europe - United Kingdom - Manchester</v>
      </c>
      <c r="O514" t="s">
        <v>703</v>
      </c>
      <c r="P514" t="s">
        <v>710</v>
      </c>
      <c r="Q514" t="s">
        <v>716</v>
      </c>
      <c r="R514" t="s">
        <v>727</v>
      </c>
      <c r="S514" t="s">
        <v>1245</v>
      </c>
      <c r="T514" s="6">
        <v>1389.46</v>
      </c>
      <c r="U514" s="8">
        <v>1784.7</v>
      </c>
      <c r="V514" s="8">
        <f t="shared" si="120"/>
        <v>1784.7</v>
      </c>
      <c r="W514" s="8" t="str">
        <f t="shared" si="121"/>
        <v>High</v>
      </c>
      <c r="X514" s="15">
        <v>0.14599999999999999</v>
      </c>
      <c r="Y514" s="15">
        <f t="shared" si="122"/>
        <v>0.14599999999999999</v>
      </c>
      <c r="Z514" t="str">
        <f t="shared" si="123"/>
        <v>No</v>
      </c>
      <c r="AA514" s="17">
        <v>33</v>
      </c>
      <c r="AB514" s="8">
        <f t="shared" si="124"/>
        <v>50296.415399999998</v>
      </c>
      <c r="AC514" s="8">
        <f t="shared" si="125"/>
        <v>45852.18</v>
      </c>
      <c r="AD514" s="8">
        <f t="shared" si="126"/>
        <v>4444.2353999999978</v>
      </c>
      <c r="AE514" s="15">
        <f t="shared" si="127"/>
        <v>8.8360877503011831E-2</v>
      </c>
      <c r="AF514" s="34">
        <f>MIN(Y514,'Scenario Modeling'!$B$2)</f>
        <v>0.14599999999999999</v>
      </c>
      <c r="AG514">
        <f>ROUND(AA514 * (1 + 'Scenario Modeling'!$B$4), 0)</f>
        <v>33</v>
      </c>
      <c r="AH514">
        <f>T514 * (1 + 'Scenario Modeling'!$B$3)</f>
        <v>1389.46</v>
      </c>
      <c r="AI514" s="8">
        <f t="shared" si="128"/>
        <v>50296.415399999998</v>
      </c>
      <c r="AJ514" s="8">
        <f t="shared" si="129"/>
        <v>4444.2353999999978</v>
      </c>
    </row>
    <row r="515" spans="1:36">
      <c r="A515" t="s">
        <v>527</v>
      </c>
      <c r="B515" s="4">
        <v>45078</v>
      </c>
      <c r="C515" s="28">
        <v>45078</v>
      </c>
      <c r="D515" s="28" t="str">
        <f t="shared" ref="D515:D578" si="130">"Q"&amp;ROUNDUP(MONTH(B515)/3,0)&amp;"-"&amp;YEAR(B515)</f>
        <v>Q2-2023</v>
      </c>
      <c r="E515" s="4">
        <v>45085</v>
      </c>
      <c r="F515" s="4">
        <v>45085</v>
      </c>
      <c r="G515" s="17">
        <f t="shared" ref="G515:G578" si="131">E515-B515</f>
        <v>7</v>
      </c>
      <c r="H515" s="17">
        <f t="shared" ref="H515:H578" si="132">F515-B515</f>
        <v>7</v>
      </c>
      <c r="I515" t="str">
        <f t="shared" ref="I515:I578" si="133">IF(H515&lt;=7, "Yes", "No")</f>
        <v>Yes</v>
      </c>
      <c r="J515" s="2">
        <f t="shared" ref="J515:J578" si="134">_xlfn.MINIFS($B$2:$B$633, $L$2:$L$633, L515)</f>
        <v>44948</v>
      </c>
      <c r="K515" t="s">
        <v>649</v>
      </c>
      <c r="L515" t="s">
        <v>656</v>
      </c>
      <c r="M515" t="s">
        <v>698</v>
      </c>
      <c r="N515" t="str">
        <f t="shared" ref="N515:N578" si="135">_xlfn.TEXTJOIN(" - ", TRUE, K515:M515)</f>
        <v>Europe - Germany - Frankfurt</v>
      </c>
      <c r="O515" t="s">
        <v>704</v>
      </c>
      <c r="P515" t="s">
        <v>708</v>
      </c>
      <c r="Q515" t="s">
        <v>720</v>
      </c>
      <c r="R515" t="s">
        <v>730</v>
      </c>
      <c r="S515" t="s">
        <v>1246</v>
      </c>
      <c r="T515" s="6">
        <v>804.17</v>
      </c>
      <c r="U515" s="8">
        <v>1072.29</v>
      </c>
      <c r="V515" s="8">
        <f t="shared" ref="V515:V578" si="136">ABS(U515)</f>
        <v>1072.29</v>
      </c>
      <c r="W515" s="8" t="str">
        <f t="shared" ref="W515:W578" si="137">IF(V515 &lt;= _xlfn.PERCENTILE.INC($V$2:$V$633, 0.33), "Low", IF(V515 &lt;= _xlfn.PERCENTILE.INC($V$2:$V$633, 0.67), "Medium", "High"))</f>
        <v>Medium</v>
      </c>
      <c r="X515" s="15">
        <v>3.2000000000000001E-2</v>
      </c>
      <c r="Y515" s="15">
        <f t="shared" ref="Y515:Y578" si="138">IF(X515&gt;30%,AVERAGEIF($X$2:$X$633,"&lt;30%"),X515)</f>
        <v>3.2000000000000001E-2</v>
      </c>
      <c r="Z515" t="str">
        <f t="shared" ref="Z515:Z578" si="139">IF(Y515&gt;0.2, "Yes", "No")</f>
        <v>No</v>
      </c>
      <c r="AA515" s="17">
        <v>5</v>
      </c>
      <c r="AB515" s="8">
        <f t="shared" ref="AB515:AB578" si="140">U515*AA515*(1-Y515)</f>
        <v>5189.8836000000001</v>
      </c>
      <c r="AC515" s="8">
        <f t="shared" ref="AC515:AC578" si="141">T515*AA515</f>
        <v>4020.85</v>
      </c>
      <c r="AD515" s="8">
        <f t="shared" ref="AD515:AD578" si="142">AB515-AC515</f>
        <v>1169.0336000000002</v>
      </c>
      <c r="AE515" s="15">
        <f t="shared" ref="AE515:AE578" si="143" xml:space="preserve"> IF(AB515=0, 0, AD515 / AB515)</f>
        <v>0.2252523736755869</v>
      </c>
      <c r="AF515" s="34">
        <f>MIN(Y515,'Scenario Modeling'!$B$2)</f>
        <v>3.2000000000000001E-2</v>
      </c>
      <c r="AG515">
        <f>ROUND(AA515 * (1 + 'Scenario Modeling'!$B$4), 0)</f>
        <v>5</v>
      </c>
      <c r="AH515">
        <f>T515 * (1 + 'Scenario Modeling'!$B$3)</f>
        <v>804.17</v>
      </c>
      <c r="AI515" s="8">
        <f t="shared" ref="AI515:AI578" si="144">V515 * AG515 * (1 - AF515)</f>
        <v>5189.8836000000001</v>
      </c>
      <c r="AJ515" s="8">
        <f t="shared" ref="AJ515:AJ578" si="145">AI515 - (AH515 * AG515)</f>
        <v>1169.0336000000002</v>
      </c>
    </row>
    <row r="516" spans="1:36">
      <c r="A516" t="s">
        <v>528</v>
      </c>
      <c r="B516" s="4">
        <v>45661</v>
      </c>
      <c r="C516" s="28">
        <v>45661</v>
      </c>
      <c r="D516" s="28" t="str">
        <f t="shared" si="130"/>
        <v>Q1-2025</v>
      </c>
      <c r="E516" s="4">
        <v>45662</v>
      </c>
      <c r="F516" s="4">
        <v>45662</v>
      </c>
      <c r="G516" s="17">
        <f t="shared" si="131"/>
        <v>1</v>
      </c>
      <c r="H516" s="17">
        <f t="shared" si="132"/>
        <v>1</v>
      </c>
      <c r="I516" t="str">
        <f t="shared" si="133"/>
        <v>Yes</v>
      </c>
      <c r="J516" s="2">
        <f t="shared" si="134"/>
        <v>44955</v>
      </c>
      <c r="K516" t="s">
        <v>647</v>
      </c>
      <c r="L516" t="s">
        <v>654</v>
      </c>
      <c r="M516" t="s">
        <v>680</v>
      </c>
      <c r="N516" t="str">
        <f t="shared" si="135"/>
        <v>Asia - India - Delhi</v>
      </c>
      <c r="O516" t="s">
        <v>702</v>
      </c>
      <c r="P516" t="s">
        <v>707</v>
      </c>
      <c r="Q516" t="s">
        <v>714</v>
      </c>
      <c r="R516" t="s">
        <v>727</v>
      </c>
      <c r="S516" t="s">
        <v>1247</v>
      </c>
      <c r="T516" s="6">
        <v>1428.33</v>
      </c>
      <c r="U516" s="8">
        <v>3028.05</v>
      </c>
      <c r="V516" s="8">
        <f t="shared" si="136"/>
        <v>3028.05</v>
      </c>
      <c r="W516" s="8" t="str">
        <f t="shared" si="137"/>
        <v>High</v>
      </c>
      <c r="X516" s="15">
        <v>0</v>
      </c>
      <c r="Y516" s="15">
        <f t="shared" si="138"/>
        <v>0</v>
      </c>
      <c r="Z516" t="str">
        <f t="shared" si="139"/>
        <v>No</v>
      </c>
      <c r="AA516" s="17">
        <v>11</v>
      </c>
      <c r="AB516" s="8">
        <f t="shared" si="140"/>
        <v>33308.550000000003</v>
      </c>
      <c r="AC516" s="8">
        <f t="shared" si="141"/>
        <v>15711.63</v>
      </c>
      <c r="AD516" s="8">
        <f t="shared" si="142"/>
        <v>17596.920000000006</v>
      </c>
      <c r="AE516" s="15">
        <f t="shared" si="143"/>
        <v>0.52830039134096207</v>
      </c>
      <c r="AF516" s="34">
        <f>MIN(Y516,'Scenario Modeling'!$B$2)</f>
        <v>0</v>
      </c>
      <c r="AG516">
        <f>ROUND(AA516 * (1 + 'Scenario Modeling'!$B$4), 0)</f>
        <v>11</v>
      </c>
      <c r="AH516">
        <f>T516 * (1 + 'Scenario Modeling'!$B$3)</f>
        <v>1428.33</v>
      </c>
      <c r="AI516" s="8">
        <f t="shared" si="144"/>
        <v>33308.550000000003</v>
      </c>
      <c r="AJ516" s="8">
        <f t="shared" si="145"/>
        <v>17596.920000000006</v>
      </c>
    </row>
    <row r="517" spans="1:36">
      <c r="A517" t="s">
        <v>529</v>
      </c>
      <c r="B517" s="4">
        <v>45874</v>
      </c>
      <c r="C517" s="28">
        <v>45874</v>
      </c>
      <c r="D517" s="28" t="str">
        <f t="shared" si="130"/>
        <v>Q3-2025</v>
      </c>
      <c r="E517" s="4">
        <v>45897</v>
      </c>
      <c r="F517" s="4">
        <v>45897</v>
      </c>
      <c r="G517" s="17">
        <f t="shared" si="131"/>
        <v>23</v>
      </c>
      <c r="H517" s="17">
        <f t="shared" si="132"/>
        <v>23</v>
      </c>
      <c r="I517" t="str">
        <f t="shared" si="133"/>
        <v>No</v>
      </c>
      <c r="J517" s="2">
        <f t="shared" si="134"/>
        <v>44955</v>
      </c>
      <c r="K517" t="s">
        <v>647</v>
      </c>
      <c r="L517" t="s">
        <v>654</v>
      </c>
      <c r="M517" t="s">
        <v>691</v>
      </c>
      <c r="N517" t="str">
        <f t="shared" si="135"/>
        <v>Asia - India - Mumbai</v>
      </c>
      <c r="O517" t="s">
        <v>703</v>
      </c>
      <c r="P517" t="s">
        <v>710</v>
      </c>
      <c r="Q517" t="s">
        <v>725</v>
      </c>
      <c r="R517" t="s">
        <v>731</v>
      </c>
      <c r="S517" t="s">
        <v>1248</v>
      </c>
      <c r="T517" s="6">
        <v>638.54</v>
      </c>
      <c r="U517" s="8">
        <v>987.24</v>
      </c>
      <c r="V517" s="8">
        <f t="shared" si="136"/>
        <v>987.24</v>
      </c>
      <c r="W517" s="8" t="str">
        <f t="shared" si="137"/>
        <v>Medium</v>
      </c>
      <c r="X517" s="15">
        <v>0</v>
      </c>
      <c r="Y517" s="15">
        <f t="shared" si="138"/>
        <v>0</v>
      </c>
      <c r="Z517" t="str">
        <f t="shared" si="139"/>
        <v>No</v>
      </c>
      <c r="AA517" s="17">
        <v>11</v>
      </c>
      <c r="AB517" s="8">
        <f t="shared" si="140"/>
        <v>10859.64</v>
      </c>
      <c r="AC517" s="8">
        <f t="shared" si="141"/>
        <v>7023.94</v>
      </c>
      <c r="AD517" s="8">
        <f t="shared" si="142"/>
        <v>3835.7</v>
      </c>
      <c r="AE517" s="15">
        <f t="shared" si="143"/>
        <v>0.35320692030306716</v>
      </c>
      <c r="AF517" s="34">
        <f>MIN(Y517,'Scenario Modeling'!$B$2)</f>
        <v>0</v>
      </c>
      <c r="AG517">
        <f>ROUND(AA517 * (1 + 'Scenario Modeling'!$B$4), 0)</f>
        <v>11</v>
      </c>
      <c r="AH517">
        <f>T517 * (1 + 'Scenario Modeling'!$B$3)</f>
        <v>638.54</v>
      </c>
      <c r="AI517" s="8">
        <f t="shared" si="144"/>
        <v>10859.64</v>
      </c>
      <c r="AJ517" s="8">
        <f t="shared" si="145"/>
        <v>3835.7</v>
      </c>
    </row>
    <row r="518" spans="1:36">
      <c r="A518" t="s">
        <v>530</v>
      </c>
      <c r="B518" s="4">
        <v>45199</v>
      </c>
      <c r="C518" s="28">
        <v>45199</v>
      </c>
      <c r="D518" s="28" t="str">
        <f t="shared" si="130"/>
        <v>Q3-2023</v>
      </c>
      <c r="E518" s="4">
        <v>45229</v>
      </c>
      <c r="F518" s="4">
        <v>45229</v>
      </c>
      <c r="G518" s="17">
        <f t="shared" si="131"/>
        <v>30</v>
      </c>
      <c r="H518" s="17">
        <f t="shared" si="132"/>
        <v>30</v>
      </c>
      <c r="I518" t="str">
        <f t="shared" si="133"/>
        <v>No</v>
      </c>
      <c r="J518" s="2">
        <f t="shared" si="134"/>
        <v>44988</v>
      </c>
      <c r="K518" t="s">
        <v>647</v>
      </c>
      <c r="L518" t="s">
        <v>652</v>
      </c>
      <c r="M518" t="s">
        <v>689</v>
      </c>
      <c r="N518" t="str">
        <f t="shared" si="135"/>
        <v>Asia - Japan - Tokyo</v>
      </c>
      <c r="O518" t="s">
        <v>706</v>
      </c>
      <c r="P518" t="s">
        <v>708</v>
      </c>
      <c r="Q518" t="s">
        <v>726</v>
      </c>
      <c r="R518" t="s">
        <v>728</v>
      </c>
      <c r="S518" t="s">
        <v>1249</v>
      </c>
      <c r="T518" s="6">
        <v>649.13</v>
      </c>
      <c r="U518" s="8">
        <v>975.43</v>
      </c>
      <c r="V518" s="8">
        <f t="shared" si="136"/>
        <v>975.43</v>
      </c>
      <c r="W518" s="8" t="str">
        <f t="shared" si="137"/>
        <v>Medium</v>
      </c>
      <c r="X518" s="15">
        <v>0.157</v>
      </c>
      <c r="Y518" s="15">
        <f t="shared" si="138"/>
        <v>0.157</v>
      </c>
      <c r="Z518" t="str">
        <f t="shared" si="139"/>
        <v>No</v>
      </c>
      <c r="AA518" s="17">
        <v>27</v>
      </c>
      <c r="AB518" s="8">
        <f t="shared" si="140"/>
        <v>22201.762229999997</v>
      </c>
      <c r="AC518" s="8">
        <f t="shared" si="141"/>
        <v>17526.509999999998</v>
      </c>
      <c r="AD518" s="8">
        <f t="shared" si="142"/>
        <v>4675.2522299999982</v>
      </c>
      <c r="AE518" s="15">
        <f t="shared" si="143"/>
        <v>0.21058023149543473</v>
      </c>
      <c r="AF518" s="34">
        <f>MIN(Y518,'Scenario Modeling'!$B$2)</f>
        <v>0.157</v>
      </c>
      <c r="AG518">
        <f>ROUND(AA518 * (1 + 'Scenario Modeling'!$B$4), 0)</f>
        <v>27</v>
      </c>
      <c r="AH518">
        <f>T518 * (1 + 'Scenario Modeling'!$B$3)</f>
        <v>649.13</v>
      </c>
      <c r="AI518" s="8">
        <f t="shared" si="144"/>
        <v>22201.762229999997</v>
      </c>
      <c r="AJ518" s="8">
        <f t="shared" si="145"/>
        <v>4675.2522299999982</v>
      </c>
    </row>
    <row r="519" spans="1:36">
      <c r="A519" t="s">
        <v>531</v>
      </c>
      <c r="B519" s="4">
        <v>45794</v>
      </c>
      <c r="C519" s="28">
        <v>45794</v>
      </c>
      <c r="D519" s="28" t="str">
        <f t="shared" si="130"/>
        <v>Q2-2025</v>
      </c>
      <c r="E519" s="4">
        <v>45807</v>
      </c>
      <c r="F519" s="4">
        <v>45807</v>
      </c>
      <c r="G519" s="17">
        <f t="shared" si="131"/>
        <v>13</v>
      </c>
      <c r="H519" s="17">
        <f t="shared" si="132"/>
        <v>13</v>
      </c>
      <c r="I519" t="str">
        <f t="shared" si="133"/>
        <v>No</v>
      </c>
      <c r="J519" s="2">
        <f t="shared" si="134"/>
        <v>44941</v>
      </c>
      <c r="K519" t="s">
        <v>646</v>
      </c>
      <c r="L519" t="s">
        <v>651</v>
      </c>
      <c r="M519" t="s">
        <v>665</v>
      </c>
      <c r="N519" t="str">
        <f t="shared" si="135"/>
        <v>Africa - Nigeria - Lagos</v>
      </c>
      <c r="O519" t="s">
        <v>704</v>
      </c>
      <c r="P519" t="s">
        <v>710</v>
      </c>
      <c r="Q519" t="s">
        <v>721</v>
      </c>
      <c r="R519" t="s">
        <v>733</v>
      </c>
      <c r="S519" t="s">
        <v>1250</v>
      </c>
      <c r="T519" s="6">
        <v>66.400000000000006</v>
      </c>
      <c r="U519" s="8">
        <v>141.43</v>
      </c>
      <c r="V519" s="8">
        <f t="shared" si="136"/>
        <v>141.43</v>
      </c>
      <c r="W519" s="8" t="str">
        <f t="shared" si="137"/>
        <v>Low</v>
      </c>
      <c r="X519" s="15">
        <v>0.107</v>
      </c>
      <c r="Y519" s="15">
        <f t="shared" si="138"/>
        <v>0.107</v>
      </c>
      <c r="Z519" t="str">
        <f t="shared" si="139"/>
        <v>No</v>
      </c>
      <c r="AA519" s="17">
        <v>8</v>
      </c>
      <c r="AB519" s="8">
        <f t="shared" si="140"/>
        <v>1010.3759200000001</v>
      </c>
      <c r="AC519" s="8">
        <f t="shared" si="141"/>
        <v>531.20000000000005</v>
      </c>
      <c r="AD519" s="8">
        <f t="shared" si="142"/>
        <v>479.17592000000002</v>
      </c>
      <c r="AE519" s="15">
        <f t="shared" si="143"/>
        <v>0.47425508715607551</v>
      </c>
      <c r="AF519" s="34">
        <f>MIN(Y519,'Scenario Modeling'!$B$2)</f>
        <v>0.107</v>
      </c>
      <c r="AG519">
        <f>ROUND(AA519 * (1 + 'Scenario Modeling'!$B$4), 0)</f>
        <v>8</v>
      </c>
      <c r="AH519">
        <f>T519 * (1 + 'Scenario Modeling'!$B$3)</f>
        <v>66.400000000000006</v>
      </c>
      <c r="AI519" s="8">
        <f t="shared" si="144"/>
        <v>1010.3759200000001</v>
      </c>
      <c r="AJ519" s="8">
        <f t="shared" si="145"/>
        <v>479.17592000000002</v>
      </c>
    </row>
    <row r="520" spans="1:36">
      <c r="A520" t="s">
        <v>532</v>
      </c>
      <c r="B520" s="4">
        <v>45413</v>
      </c>
      <c r="C520" s="28">
        <v>45413</v>
      </c>
      <c r="D520" s="28" t="str">
        <f t="shared" si="130"/>
        <v>Q2-2024</v>
      </c>
      <c r="E520" s="4">
        <v>45438</v>
      </c>
      <c r="F520" s="4">
        <v>45438</v>
      </c>
      <c r="G520" s="17">
        <f t="shared" si="131"/>
        <v>25</v>
      </c>
      <c r="H520" s="17">
        <f t="shared" si="132"/>
        <v>25</v>
      </c>
      <c r="I520" t="str">
        <f t="shared" si="133"/>
        <v>No</v>
      </c>
      <c r="J520" s="2">
        <f t="shared" si="134"/>
        <v>44948</v>
      </c>
      <c r="K520" t="s">
        <v>649</v>
      </c>
      <c r="L520" t="s">
        <v>656</v>
      </c>
      <c r="M520" t="s">
        <v>671</v>
      </c>
      <c r="N520" t="str">
        <f t="shared" si="135"/>
        <v>Europe - Germany - Berlin</v>
      </c>
      <c r="O520" t="s">
        <v>703</v>
      </c>
      <c r="P520" t="s">
        <v>707</v>
      </c>
      <c r="Q520" t="s">
        <v>717</v>
      </c>
      <c r="R520" t="s">
        <v>729</v>
      </c>
      <c r="S520" t="s">
        <v>1251</v>
      </c>
      <c r="T520" s="6">
        <v>930.71</v>
      </c>
      <c r="U520" s="8">
        <v>1625.42</v>
      </c>
      <c r="V520" s="8">
        <f t="shared" si="136"/>
        <v>1625.42</v>
      </c>
      <c r="W520" s="8" t="str">
        <f t="shared" si="137"/>
        <v>Medium</v>
      </c>
      <c r="X520" s="15">
        <v>0.13800000000000001</v>
      </c>
      <c r="Y520" s="15">
        <f t="shared" si="138"/>
        <v>0.13800000000000001</v>
      </c>
      <c r="Z520" t="str">
        <f t="shared" si="139"/>
        <v>No</v>
      </c>
      <c r="AA520" s="17">
        <v>7</v>
      </c>
      <c r="AB520" s="8">
        <f t="shared" si="140"/>
        <v>9807.7842799999999</v>
      </c>
      <c r="AC520" s="8">
        <f t="shared" si="141"/>
        <v>6514.97</v>
      </c>
      <c r="AD520" s="8">
        <f t="shared" si="142"/>
        <v>3292.8142799999996</v>
      </c>
      <c r="AE520" s="15">
        <f t="shared" si="143"/>
        <v>0.33573477821231196</v>
      </c>
      <c r="AF520" s="34">
        <f>MIN(Y520,'Scenario Modeling'!$B$2)</f>
        <v>0.13800000000000001</v>
      </c>
      <c r="AG520">
        <f>ROUND(AA520 * (1 + 'Scenario Modeling'!$B$4), 0)</f>
        <v>7</v>
      </c>
      <c r="AH520">
        <f>T520 * (1 + 'Scenario Modeling'!$B$3)</f>
        <v>930.71</v>
      </c>
      <c r="AI520" s="8">
        <f t="shared" si="144"/>
        <v>9807.7842799999999</v>
      </c>
      <c r="AJ520" s="8">
        <f t="shared" si="145"/>
        <v>3292.8142799999996</v>
      </c>
    </row>
    <row r="521" spans="1:36">
      <c r="A521" t="s">
        <v>533</v>
      </c>
      <c r="B521" s="4">
        <v>45047</v>
      </c>
      <c r="C521" s="28">
        <v>45047</v>
      </c>
      <c r="D521" s="28" t="str">
        <f t="shared" si="130"/>
        <v>Q2-2023</v>
      </c>
      <c r="E521" s="4">
        <v>45064</v>
      </c>
      <c r="F521" s="4">
        <v>45064</v>
      </c>
      <c r="G521" s="17">
        <f t="shared" si="131"/>
        <v>17</v>
      </c>
      <c r="H521" s="17">
        <f t="shared" si="132"/>
        <v>17</v>
      </c>
      <c r="I521" t="str">
        <f t="shared" si="133"/>
        <v>No</v>
      </c>
      <c r="J521" s="2">
        <f t="shared" si="134"/>
        <v>44941</v>
      </c>
      <c r="K521" t="s">
        <v>646</v>
      </c>
      <c r="L521" t="s">
        <v>651</v>
      </c>
      <c r="M521" t="s">
        <v>663</v>
      </c>
      <c r="N521" t="str">
        <f t="shared" si="135"/>
        <v>Africa - Nigeria - Port Harcourt</v>
      </c>
      <c r="O521" t="s">
        <v>701</v>
      </c>
      <c r="P521" t="s">
        <v>711</v>
      </c>
      <c r="Q521" t="s">
        <v>721</v>
      </c>
      <c r="R521" t="s">
        <v>727</v>
      </c>
      <c r="S521" t="s">
        <v>1252</v>
      </c>
      <c r="T521" s="6">
        <v>327.97</v>
      </c>
      <c r="U521" s="8">
        <v>299.94</v>
      </c>
      <c r="V521" s="8">
        <f t="shared" si="136"/>
        <v>299.94</v>
      </c>
      <c r="W521" s="8" t="str">
        <f t="shared" si="137"/>
        <v>Low</v>
      </c>
      <c r="X521" s="15">
        <v>4.9000000000000002E-2</v>
      </c>
      <c r="Y521" s="15">
        <f t="shared" si="138"/>
        <v>4.9000000000000002E-2</v>
      </c>
      <c r="Z521" t="str">
        <f t="shared" si="139"/>
        <v>No</v>
      </c>
      <c r="AA521" s="17">
        <v>3</v>
      </c>
      <c r="AB521" s="8">
        <f t="shared" si="140"/>
        <v>855.72881999999993</v>
      </c>
      <c r="AC521" s="8">
        <f t="shared" si="141"/>
        <v>983.91000000000008</v>
      </c>
      <c r="AD521" s="8">
        <f t="shared" si="142"/>
        <v>-128.18118000000015</v>
      </c>
      <c r="AE521" s="15">
        <f t="shared" si="143"/>
        <v>-0.14979182306843442</v>
      </c>
      <c r="AF521" s="34">
        <f>MIN(Y521,'Scenario Modeling'!$B$2)</f>
        <v>4.9000000000000002E-2</v>
      </c>
      <c r="AG521">
        <f>ROUND(AA521 * (1 + 'Scenario Modeling'!$B$4), 0)</f>
        <v>3</v>
      </c>
      <c r="AH521">
        <f>T521 * (1 + 'Scenario Modeling'!$B$3)</f>
        <v>327.97</v>
      </c>
      <c r="AI521" s="8">
        <f t="shared" si="144"/>
        <v>855.72881999999993</v>
      </c>
      <c r="AJ521" s="8">
        <f t="shared" si="145"/>
        <v>-128.18118000000015</v>
      </c>
    </row>
    <row r="522" spans="1:36">
      <c r="A522" t="s">
        <v>534</v>
      </c>
      <c r="B522" s="4">
        <v>45482</v>
      </c>
      <c r="C522" s="28">
        <v>45482</v>
      </c>
      <c r="D522" s="28" t="str">
        <f t="shared" si="130"/>
        <v>Q3-2024</v>
      </c>
      <c r="E522" s="4">
        <v>45512</v>
      </c>
      <c r="F522" s="4">
        <v>45512</v>
      </c>
      <c r="G522" s="17">
        <f t="shared" si="131"/>
        <v>30</v>
      </c>
      <c r="H522" s="17">
        <f t="shared" si="132"/>
        <v>30</v>
      </c>
      <c r="I522" t="str">
        <f t="shared" si="133"/>
        <v>No</v>
      </c>
      <c r="J522" s="2">
        <f t="shared" si="134"/>
        <v>44936</v>
      </c>
      <c r="K522" t="s">
        <v>649</v>
      </c>
      <c r="L522" t="s">
        <v>657</v>
      </c>
      <c r="M522" t="s">
        <v>673</v>
      </c>
      <c r="N522" t="str">
        <f t="shared" si="135"/>
        <v>Europe - France - Marseille</v>
      </c>
      <c r="O522" t="s">
        <v>701</v>
      </c>
      <c r="P522" t="s">
        <v>711</v>
      </c>
      <c r="Q522" t="s">
        <v>713</v>
      </c>
      <c r="R522" t="s">
        <v>727</v>
      </c>
      <c r="S522" t="s">
        <v>1253</v>
      </c>
      <c r="T522" s="6">
        <v>1062.3800000000001</v>
      </c>
      <c r="U522" s="8">
        <v>1503.96</v>
      </c>
      <c r="V522" s="8">
        <f t="shared" si="136"/>
        <v>1503.96</v>
      </c>
      <c r="W522" s="8" t="str">
        <f t="shared" si="137"/>
        <v>Medium</v>
      </c>
      <c r="X522" s="15">
        <v>0.18</v>
      </c>
      <c r="Y522" s="15">
        <f t="shared" si="138"/>
        <v>0.18</v>
      </c>
      <c r="Z522" t="str">
        <f t="shared" si="139"/>
        <v>No</v>
      </c>
      <c r="AA522" s="17">
        <v>6</v>
      </c>
      <c r="AB522" s="8">
        <f t="shared" si="140"/>
        <v>7399.4832000000006</v>
      </c>
      <c r="AC522" s="8">
        <f t="shared" si="141"/>
        <v>6374.2800000000007</v>
      </c>
      <c r="AD522" s="8">
        <f t="shared" si="142"/>
        <v>1025.2031999999999</v>
      </c>
      <c r="AE522" s="15">
        <f t="shared" si="143"/>
        <v>0.13855064905073369</v>
      </c>
      <c r="AF522" s="34">
        <f>MIN(Y522,'Scenario Modeling'!$B$2)</f>
        <v>0.18</v>
      </c>
      <c r="AG522">
        <f>ROUND(AA522 * (1 + 'Scenario Modeling'!$B$4), 0)</f>
        <v>6</v>
      </c>
      <c r="AH522">
        <f>T522 * (1 + 'Scenario Modeling'!$B$3)</f>
        <v>1062.3800000000001</v>
      </c>
      <c r="AI522" s="8">
        <f t="shared" si="144"/>
        <v>7399.4832000000006</v>
      </c>
      <c r="AJ522" s="8">
        <f t="shared" si="145"/>
        <v>1025.2031999999999</v>
      </c>
    </row>
    <row r="523" spans="1:36">
      <c r="A523" t="s">
        <v>535</v>
      </c>
      <c r="B523" s="4">
        <v>45056</v>
      </c>
      <c r="C523" s="28">
        <v>45056</v>
      </c>
      <c r="D523" s="28" t="str">
        <f t="shared" si="130"/>
        <v>Q2-2023</v>
      </c>
      <c r="E523" s="4">
        <v>45073</v>
      </c>
      <c r="F523" s="4">
        <v>45073</v>
      </c>
      <c r="G523" s="17">
        <f t="shared" si="131"/>
        <v>17</v>
      </c>
      <c r="H523" s="17">
        <f t="shared" si="132"/>
        <v>17</v>
      </c>
      <c r="I523" t="str">
        <f t="shared" si="133"/>
        <v>No</v>
      </c>
      <c r="J523" s="2">
        <f t="shared" si="134"/>
        <v>44955</v>
      </c>
      <c r="K523" t="s">
        <v>647</v>
      </c>
      <c r="L523" t="s">
        <v>654</v>
      </c>
      <c r="M523" t="s">
        <v>691</v>
      </c>
      <c r="N523" t="str">
        <f t="shared" si="135"/>
        <v>Asia - India - Mumbai</v>
      </c>
      <c r="O523" t="s">
        <v>704</v>
      </c>
      <c r="P523" t="s">
        <v>707</v>
      </c>
      <c r="Q523" t="s">
        <v>724</v>
      </c>
      <c r="R523" t="s">
        <v>731</v>
      </c>
      <c r="S523" t="s">
        <v>1254</v>
      </c>
      <c r="T523" s="6">
        <v>1286.1600000000001</v>
      </c>
      <c r="U523" s="8">
        <v>3101.11</v>
      </c>
      <c r="V523" s="8">
        <f t="shared" si="136"/>
        <v>3101.11</v>
      </c>
      <c r="W523" s="8" t="str">
        <f t="shared" si="137"/>
        <v>High</v>
      </c>
      <c r="X523" s="15">
        <v>0.1</v>
      </c>
      <c r="Y523" s="15">
        <f t="shared" si="138"/>
        <v>0.1</v>
      </c>
      <c r="Z523" t="str">
        <f t="shared" si="139"/>
        <v>No</v>
      </c>
      <c r="AA523" s="17">
        <v>23</v>
      </c>
      <c r="AB523" s="8">
        <f t="shared" si="140"/>
        <v>64192.976999999999</v>
      </c>
      <c r="AC523" s="8">
        <f t="shared" si="141"/>
        <v>29581.68</v>
      </c>
      <c r="AD523" s="8">
        <f t="shared" si="142"/>
        <v>34611.296999999999</v>
      </c>
      <c r="AE523" s="15">
        <f t="shared" si="143"/>
        <v>0.53917575749758417</v>
      </c>
      <c r="AF523" s="34">
        <f>MIN(Y523,'Scenario Modeling'!$B$2)</f>
        <v>0.1</v>
      </c>
      <c r="AG523">
        <f>ROUND(AA523 * (1 + 'Scenario Modeling'!$B$4), 0)</f>
        <v>23</v>
      </c>
      <c r="AH523">
        <f>T523 * (1 + 'Scenario Modeling'!$B$3)</f>
        <v>1286.1600000000001</v>
      </c>
      <c r="AI523" s="8">
        <f t="shared" si="144"/>
        <v>64192.976999999999</v>
      </c>
      <c r="AJ523" s="8">
        <f t="shared" si="145"/>
        <v>34611.296999999999</v>
      </c>
    </row>
    <row r="524" spans="1:36">
      <c r="A524" t="s">
        <v>536</v>
      </c>
      <c r="B524" s="4">
        <v>45482</v>
      </c>
      <c r="C524" s="28">
        <v>45482</v>
      </c>
      <c r="D524" s="28" t="str">
        <f t="shared" si="130"/>
        <v>Q3-2024</v>
      </c>
      <c r="E524" s="4">
        <v>45485</v>
      </c>
      <c r="F524" s="4">
        <v>45485</v>
      </c>
      <c r="G524" s="17">
        <f t="shared" si="131"/>
        <v>3</v>
      </c>
      <c r="H524" s="17">
        <f t="shared" si="132"/>
        <v>3</v>
      </c>
      <c r="I524" t="str">
        <f t="shared" si="133"/>
        <v>Yes</v>
      </c>
      <c r="J524" s="2">
        <f t="shared" si="134"/>
        <v>44938</v>
      </c>
      <c r="K524" t="s">
        <v>647</v>
      </c>
      <c r="L524" t="s">
        <v>659</v>
      </c>
      <c r="M524" t="s">
        <v>685</v>
      </c>
      <c r="N524" t="str">
        <f t="shared" si="135"/>
        <v>Asia - China - Shanghai</v>
      </c>
      <c r="O524" t="s">
        <v>705</v>
      </c>
      <c r="P524" t="s">
        <v>707</v>
      </c>
      <c r="Q524" t="s">
        <v>726</v>
      </c>
      <c r="R524" t="s">
        <v>733</v>
      </c>
      <c r="S524" t="s">
        <v>1255</v>
      </c>
      <c r="T524" s="6">
        <v>748.39</v>
      </c>
      <c r="U524" s="8">
        <v>979.42</v>
      </c>
      <c r="V524" s="8">
        <f t="shared" si="136"/>
        <v>979.42</v>
      </c>
      <c r="W524" s="8" t="str">
        <f t="shared" si="137"/>
        <v>Medium</v>
      </c>
      <c r="X524" s="15">
        <v>0</v>
      </c>
      <c r="Y524" s="15">
        <f t="shared" si="138"/>
        <v>0</v>
      </c>
      <c r="Z524" t="str">
        <f t="shared" si="139"/>
        <v>No</v>
      </c>
      <c r="AA524" s="17">
        <v>23</v>
      </c>
      <c r="AB524" s="8">
        <f t="shared" si="140"/>
        <v>22526.66</v>
      </c>
      <c r="AC524" s="8">
        <f t="shared" si="141"/>
        <v>17212.97</v>
      </c>
      <c r="AD524" s="8">
        <f t="shared" si="142"/>
        <v>5313.6899999999987</v>
      </c>
      <c r="AE524" s="15">
        <f t="shared" si="143"/>
        <v>0.23588450307324738</v>
      </c>
      <c r="AF524" s="34">
        <f>MIN(Y524,'Scenario Modeling'!$B$2)</f>
        <v>0</v>
      </c>
      <c r="AG524">
        <f>ROUND(AA524 * (1 + 'Scenario Modeling'!$B$4), 0)</f>
        <v>23</v>
      </c>
      <c r="AH524">
        <f>T524 * (1 + 'Scenario Modeling'!$B$3)</f>
        <v>748.39</v>
      </c>
      <c r="AI524" s="8">
        <f t="shared" si="144"/>
        <v>22526.66</v>
      </c>
      <c r="AJ524" s="8">
        <f t="shared" si="145"/>
        <v>5313.6899999999987</v>
      </c>
    </row>
    <row r="525" spans="1:36">
      <c r="A525" t="s">
        <v>537</v>
      </c>
      <c r="B525" s="4">
        <v>45406</v>
      </c>
      <c r="C525" s="28">
        <v>45406</v>
      </c>
      <c r="D525" s="28" t="str">
        <f t="shared" si="130"/>
        <v>Q2-2024</v>
      </c>
      <c r="E525" s="4">
        <v>45422</v>
      </c>
      <c r="F525" s="4">
        <v>45422</v>
      </c>
      <c r="G525" s="17">
        <f t="shared" si="131"/>
        <v>16</v>
      </c>
      <c r="H525" s="17">
        <f t="shared" si="132"/>
        <v>16</v>
      </c>
      <c r="I525" t="str">
        <f t="shared" si="133"/>
        <v>No</v>
      </c>
      <c r="J525" s="2">
        <f t="shared" si="134"/>
        <v>44946</v>
      </c>
      <c r="K525" t="s">
        <v>646</v>
      </c>
      <c r="L525" t="s">
        <v>650</v>
      </c>
      <c r="M525" t="s">
        <v>662</v>
      </c>
      <c r="N525" t="str">
        <f t="shared" si="135"/>
        <v>Africa - Kenya - Kisumu</v>
      </c>
      <c r="O525" t="s">
        <v>703</v>
      </c>
      <c r="P525" t="s">
        <v>708</v>
      </c>
      <c r="Q525" t="s">
        <v>725</v>
      </c>
      <c r="R525" t="s">
        <v>732</v>
      </c>
      <c r="S525" t="s">
        <v>1256</v>
      </c>
      <c r="T525" s="6">
        <v>513.30999999999995</v>
      </c>
      <c r="U525" s="8">
        <v>1186.26</v>
      </c>
      <c r="V525" s="8">
        <f t="shared" si="136"/>
        <v>1186.26</v>
      </c>
      <c r="W525" s="8" t="str">
        <f t="shared" si="137"/>
        <v>Medium</v>
      </c>
      <c r="X525" s="15">
        <v>9.4E-2</v>
      </c>
      <c r="Y525" s="15">
        <f t="shared" si="138"/>
        <v>9.4E-2</v>
      </c>
      <c r="Z525" t="str">
        <f t="shared" si="139"/>
        <v>No</v>
      </c>
      <c r="AA525" s="17">
        <v>15</v>
      </c>
      <c r="AB525" s="8">
        <f t="shared" si="140"/>
        <v>16121.273400000002</v>
      </c>
      <c r="AC525" s="8">
        <f t="shared" si="141"/>
        <v>7699.65</v>
      </c>
      <c r="AD525" s="8">
        <f t="shared" si="142"/>
        <v>8421.6234000000022</v>
      </c>
      <c r="AE525" s="15">
        <f t="shared" si="143"/>
        <v>0.52239194702820446</v>
      </c>
      <c r="AF525" s="34">
        <f>MIN(Y525,'Scenario Modeling'!$B$2)</f>
        <v>9.4E-2</v>
      </c>
      <c r="AG525">
        <f>ROUND(AA525 * (1 + 'Scenario Modeling'!$B$4), 0)</f>
        <v>15</v>
      </c>
      <c r="AH525">
        <f>T525 * (1 + 'Scenario Modeling'!$B$3)</f>
        <v>513.30999999999995</v>
      </c>
      <c r="AI525" s="8">
        <f t="shared" si="144"/>
        <v>16121.273400000002</v>
      </c>
      <c r="AJ525" s="8">
        <f t="shared" si="145"/>
        <v>8421.6234000000022</v>
      </c>
    </row>
    <row r="526" spans="1:36">
      <c r="A526" t="s">
        <v>538</v>
      </c>
      <c r="B526" s="4">
        <v>45304</v>
      </c>
      <c r="C526" s="28">
        <v>45304</v>
      </c>
      <c r="D526" s="28" t="str">
        <f t="shared" si="130"/>
        <v>Q1-2024</v>
      </c>
      <c r="E526" s="4">
        <v>45306</v>
      </c>
      <c r="F526" s="4">
        <v>45306</v>
      </c>
      <c r="G526" s="17">
        <f t="shared" si="131"/>
        <v>2</v>
      </c>
      <c r="H526" s="17">
        <f t="shared" si="132"/>
        <v>2</v>
      </c>
      <c r="I526" t="str">
        <f t="shared" si="133"/>
        <v>Yes</v>
      </c>
      <c r="J526" s="2">
        <f t="shared" si="134"/>
        <v>44939</v>
      </c>
      <c r="K526" t="s">
        <v>648</v>
      </c>
      <c r="L526" t="s">
        <v>660</v>
      </c>
      <c r="M526" t="s">
        <v>686</v>
      </c>
      <c r="N526" t="str">
        <f t="shared" si="135"/>
        <v>Americas - USA - San Francisco</v>
      </c>
      <c r="O526" t="s">
        <v>703</v>
      </c>
      <c r="P526" t="s">
        <v>711</v>
      </c>
      <c r="Q526" t="s">
        <v>718</v>
      </c>
      <c r="R526" t="s">
        <v>727</v>
      </c>
      <c r="S526" t="s">
        <v>1257</v>
      </c>
      <c r="T526" s="6">
        <v>1061.3699999999999</v>
      </c>
      <c r="U526" s="8">
        <v>1938.33</v>
      </c>
      <c r="V526" s="8">
        <f t="shared" si="136"/>
        <v>1938.33</v>
      </c>
      <c r="W526" s="8" t="str">
        <f t="shared" si="137"/>
        <v>High</v>
      </c>
      <c r="X526" s="15">
        <v>0.17</v>
      </c>
      <c r="Y526" s="15">
        <f t="shared" si="138"/>
        <v>0.17</v>
      </c>
      <c r="Z526" t="str">
        <f t="shared" si="139"/>
        <v>No</v>
      </c>
      <c r="AA526" s="17">
        <v>4</v>
      </c>
      <c r="AB526" s="8">
        <f t="shared" si="140"/>
        <v>6435.2555999999995</v>
      </c>
      <c r="AC526" s="8">
        <f t="shared" si="141"/>
        <v>4245.4799999999996</v>
      </c>
      <c r="AD526" s="8">
        <f t="shared" si="142"/>
        <v>2189.7755999999999</v>
      </c>
      <c r="AE526" s="15">
        <f t="shared" si="143"/>
        <v>0.34027795259600879</v>
      </c>
      <c r="AF526" s="34">
        <f>MIN(Y526,'Scenario Modeling'!$B$2)</f>
        <v>0.17</v>
      </c>
      <c r="AG526">
        <f>ROUND(AA526 * (1 + 'Scenario Modeling'!$B$4), 0)</f>
        <v>4</v>
      </c>
      <c r="AH526">
        <f>T526 * (1 + 'Scenario Modeling'!$B$3)</f>
        <v>1061.3699999999999</v>
      </c>
      <c r="AI526" s="8">
        <f t="shared" si="144"/>
        <v>6435.2555999999995</v>
      </c>
      <c r="AJ526" s="8">
        <f t="shared" si="145"/>
        <v>2189.7755999999999</v>
      </c>
    </row>
    <row r="527" spans="1:36">
      <c r="A527" t="s">
        <v>539</v>
      </c>
      <c r="B527" s="4">
        <v>45398</v>
      </c>
      <c r="C527" s="28">
        <v>45398</v>
      </c>
      <c r="D527" s="28" t="str">
        <f t="shared" si="130"/>
        <v>Q2-2024</v>
      </c>
      <c r="E527" s="4">
        <v>45409</v>
      </c>
      <c r="F527" s="4">
        <v>45409</v>
      </c>
      <c r="G527" s="17">
        <f t="shared" si="131"/>
        <v>11</v>
      </c>
      <c r="H527" s="17">
        <f t="shared" si="132"/>
        <v>11</v>
      </c>
      <c r="I527" t="str">
        <f t="shared" si="133"/>
        <v>No</v>
      </c>
      <c r="J527" s="2">
        <f t="shared" si="134"/>
        <v>44946</v>
      </c>
      <c r="K527" t="s">
        <v>646</v>
      </c>
      <c r="L527" t="s">
        <v>650</v>
      </c>
      <c r="M527" t="s">
        <v>678</v>
      </c>
      <c r="N527" t="str">
        <f t="shared" si="135"/>
        <v>Africa - Kenya - Nakuru</v>
      </c>
      <c r="O527" t="s">
        <v>706</v>
      </c>
      <c r="P527" t="s">
        <v>708</v>
      </c>
      <c r="Q527" t="s">
        <v>726</v>
      </c>
      <c r="R527" t="s">
        <v>728</v>
      </c>
      <c r="S527" t="s">
        <v>1258</v>
      </c>
      <c r="T527" s="6">
        <v>401.3</v>
      </c>
      <c r="U527" s="8">
        <v>826.47</v>
      </c>
      <c r="V527" s="8">
        <f t="shared" si="136"/>
        <v>826.47</v>
      </c>
      <c r="W527" s="8" t="str">
        <f t="shared" si="137"/>
        <v>Medium</v>
      </c>
      <c r="X527" s="15">
        <v>0.22500000000000001</v>
      </c>
      <c r="Y527" s="15">
        <f t="shared" si="138"/>
        <v>0.22500000000000001</v>
      </c>
      <c r="Z527" t="str">
        <f t="shared" si="139"/>
        <v>Yes</v>
      </c>
      <c r="AA527" s="17">
        <v>13</v>
      </c>
      <c r="AB527" s="8">
        <f t="shared" si="140"/>
        <v>8326.6852500000005</v>
      </c>
      <c r="AC527" s="8">
        <f t="shared" si="141"/>
        <v>5216.9000000000005</v>
      </c>
      <c r="AD527" s="8">
        <f t="shared" si="142"/>
        <v>3109.7852499999999</v>
      </c>
      <c r="AE527" s="15">
        <f t="shared" si="143"/>
        <v>0.37347217489696755</v>
      </c>
      <c r="AF527" s="34">
        <f>MIN(Y527,'Scenario Modeling'!$B$2)</f>
        <v>0.22500000000000001</v>
      </c>
      <c r="AG527">
        <f>ROUND(AA527 * (1 + 'Scenario Modeling'!$B$4), 0)</f>
        <v>13</v>
      </c>
      <c r="AH527">
        <f>T527 * (1 + 'Scenario Modeling'!$B$3)</f>
        <v>401.3</v>
      </c>
      <c r="AI527" s="8">
        <f t="shared" si="144"/>
        <v>8326.6852500000005</v>
      </c>
      <c r="AJ527" s="8">
        <f t="shared" si="145"/>
        <v>3109.7852499999999</v>
      </c>
    </row>
    <row r="528" spans="1:36">
      <c r="A528" t="s">
        <v>540</v>
      </c>
      <c r="B528" s="4">
        <v>45695</v>
      </c>
      <c r="C528" s="28">
        <v>45695</v>
      </c>
      <c r="D528" s="28" t="str">
        <f t="shared" si="130"/>
        <v>Q1-2025</v>
      </c>
      <c r="E528" s="4">
        <v>45704</v>
      </c>
      <c r="F528" s="4">
        <v>45704</v>
      </c>
      <c r="G528" s="17">
        <f t="shared" si="131"/>
        <v>9</v>
      </c>
      <c r="H528" s="17">
        <f t="shared" si="132"/>
        <v>9</v>
      </c>
      <c r="I528" t="str">
        <f t="shared" si="133"/>
        <v>No</v>
      </c>
      <c r="J528" s="2">
        <f t="shared" si="134"/>
        <v>44941</v>
      </c>
      <c r="K528" t="s">
        <v>646</v>
      </c>
      <c r="L528" t="s">
        <v>651</v>
      </c>
      <c r="M528" t="s">
        <v>665</v>
      </c>
      <c r="N528" t="str">
        <f t="shared" si="135"/>
        <v>Africa - Nigeria - Lagos</v>
      </c>
      <c r="O528" t="s">
        <v>705</v>
      </c>
      <c r="P528" t="s">
        <v>710</v>
      </c>
      <c r="Q528" t="s">
        <v>712</v>
      </c>
      <c r="R528" t="s">
        <v>728</v>
      </c>
      <c r="S528" t="s">
        <v>1259</v>
      </c>
      <c r="T528" s="6">
        <v>90.68</v>
      </c>
      <c r="U528" s="8">
        <v>118.17</v>
      </c>
      <c r="V528" s="8">
        <f t="shared" si="136"/>
        <v>118.17</v>
      </c>
      <c r="W528" s="8" t="str">
        <f t="shared" si="137"/>
        <v>Low</v>
      </c>
      <c r="X528" s="15">
        <v>0.13500000000000001</v>
      </c>
      <c r="Y528" s="15">
        <f t="shared" si="138"/>
        <v>0.13500000000000001</v>
      </c>
      <c r="Z528" t="str">
        <f t="shared" si="139"/>
        <v>No</v>
      </c>
      <c r="AA528" s="17">
        <v>21</v>
      </c>
      <c r="AB528" s="8">
        <f t="shared" si="140"/>
        <v>2146.5580500000001</v>
      </c>
      <c r="AC528" s="8">
        <f t="shared" si="141"/>
        <v>1904.2800000000002</v>
      </c>
      <c r="AD528" s="8">
        <f t="shared" si="142"/>
        <v>242.27804999999989</v>
      </c>
      <c r="AE528" s="15">
        <f t="shared" si="143"/>
        <v>0.11286815653552899</v>
      </c>
      <c r="AF528" s="34">
        <f>MIN(Y528,'Scenario Modeling'!$B$2)</f>
        <v>0.13500000000000001</v>
      </c>
      <c r="AG528">
        <f>ROUND(AA528 * (1 + 'Scenario Modeling'!$B$4), 0)</f>
        <v>21</v>
      </c>
      <c r="AH528">
        <f>T528 * (1 + 'Scenario Modeling'!$B$3)</f>
        <v>90.68</v>
      </c>
      <c r="AI528" s="8">
        <f t="shared" si="144"/>
        <v>2146.5580500000001</v>
      </c>
      <c r="AJ528" s="8">
        <f t="shared" si="145"/>
        <v>242.27804999999989</v>
      </c>
    </row>
    <row r="529" spans="1:36">
      <c r="A529" t="s">
        <v>541</v>
      </c>
      <c r="B529" s="4">
        <v>44938</v>
      </c>
      <c r="C529" s="28">
        <v>44938</v>
      </c>
      <c r="D529" s="28" t="str">
        <f t="shared" si="130"/>
        <v>Q1-2023</v>
      </c>
      <c r="E529" s="4">
        <v>44952</v>
      </c>
      <c r="F529" s="4">
        <v>44952</v>
      </c>
      <c r="G529" s="17">
        <f t="shared" si="131"/>
        <v>14</v>
      </c>
      <c r="H529" s="17">
        <f t="shared" si="132"/>
        <v>14</v>
      </c>
      <c r="I529" t="str">
        <f t="shared" si="133"/>
        <v>No</v>
      </c>
      <c r="J529" s="2">
        <f t="shared" si="134"/>
        <v>44938</v>
      </c>
      <c r="K529" t="s">
        <v>647</v>
      </c>
      <c r="L529" t="s">
        <v>659</v>
      </c>
      <c r="M529" t="s">
        <v>676</v>
      </c>
      <c r="N529" t="str">
        <f t="shared" si="135"/>
        <v>Asia - China - Shenzhen</v>
      </c>
      <c r="O529" t="s">
        <v>703</v>
      </c>
      <c r="P529" t="s">
        <v>707</v>
      </c>
      <c r="Q529" t="s">
        <v>724</v>
      </c>
      <c r="R529" t="s">
        <v>728</v>
      </c>
      <c r="S529" t="s">
        <v>1260</v>
      </c>
      <c r="T529" s="6">
        <v>1083.0899999999999</v>
      </c>
      <c r="U529" s="8">
        <v>1425.87</v>
      </c>
      <c r="V529" s="8">
        <f t="shared" si="136"/>
        <v>1425.87</v>
      </c>
      <c r="W529" s="8" t="str">
        <f t="shared" si="137"/>
        <v>Medium</v>
      </c>
      <c r="X529" s="15">
        <v>0</v>
      </c>
      <c r="Y529" s="15">
        <f t="shared" si="138"/>
        <v>0</v>
      </c>
      <c r="Z529" t="str">
        <f t="shared" si="139"/>
        <v>No</v>
      </c>
      <c r="AA529" s="17">
        <v>8</v>
      </c>
      <c r="AB529" s="8">
        <f t="shared" si="140"/>
        <v>11406.96</v>
      </c>
      <c r="AC529" s="8">
        <f t="shared" si="141"/>
        <v>8664.7199999999993</v>
      </c>
      <c r="AD529" s="8">
        <f t="shared" si="142"/>
        <v>2742.24</v>
      </c>
      <c r="AE529" s="15">
        <f t="shared" si="143"/>
        <v>0.24040059752992909</v>
      </c>
      <c r="AF529" s="34">
        <f>MIN(Y529,'Scenario Modeling'!$B$2)</f>
        <v>0</v>
      </c>
      <c r="AG529">
        <f>ROUND(AA529 * (1 + 'Scenario Modeling'!$B$4), 0)</f>
        <v>8</v>
      </c>
      <c r="AH529">
        <f>T529 * (1 + 'Scenario Modeling'!$B$3)</f>
        <v>1083.0899999999999</v>
      </c>
      <c r="AI529" s="8">
        <f t="shared" si="144"/>
        <v>11406.96</v>
      </c>
      <c r="AJ529" s="8">
        <f t="shared" si="145"/>
        <v>2742.24</v>
      </c>
    </row>
    <row r="530" spans="1:36">
      <c r="A530" t="s">
        <v>542</v>
      </c>
      <c r="B530" s="4">
        <v>45448</v>
      </c>
      <c r="C530" s="28">
        <v>45448</v>
      </c>
      <c r="D530" s="28" t="str">
        <f t="shared" si="130"/>
        <v>Q2-2024</v>
      </c>
      <c r="E530" s="4">
        <v>45466</v>
      </c>
      <c r="F530" s="4">
        <v>45466</v>
      </c>
      <c r="G530" s="17">
        <f t="shared" si="131"/>
        <v>18</v>
      </c>
      <c r="H530" s="17">
        <f t="shared" si="132"/>
        <v>18</v>
      </c>
      <c r="I530" t="str">
        <f t="shared" si="133"/>
        <v>No</v>
      </c>
      <c r="J530" s="2">
        <f t="shared" si="134"/>
        <v>44946</v>
      </c>
      <c r="K530" t="s">
        <v>646</v>
      </c>
      <c r="L530" t="s">
        <v>650</v>
      </c>
      <c r="M530" t="s">
        <v>664</v>
      </c>
      <c r="N530" t="str">
        <f t="shared" si="135"/>
        <v>Africa - Kenya - Nairobi</v>
      </c>
      <c r="O530" t="s">
        <v>704</v>
      </c>
      <c r="P530" t="s">
        <v>710</v>
      </c>
      <c r="Q530" t="s">
        <v>726</v>
      </c>
      <c r="R530" t="s">
        <v>731</v>
      </c>
      <c r="S530" t="s">
        <v>1261</v>
      </c>
      <c r="T530" s="6">
        <v>1208.74</v>
      </c>
      <c r="U530" s="8">
        <v>1594.78</v>
      </c>
      <c r="V530" s="8">
        <f t="shared" si="136"/>
        <v>1594.78</v>
      </c>
      <c r="W530" s="8" t="str">
        <f t="shared" si="137"/>
        <v>Medium</v>
      </c>
      <c r="X530" s="15">
        <v>5.8999999999999997E-2</v>
      </c>
      <c r="Y530" s="15">
        <f t="shared" si="138"/>
        <v>5.8999999999999997E-2</v>
      </c>
      <c r="Z530" t="str">
        <f t="shared" si="139"/>
        <v>No</v>
      </c>
      <c r="AA530" s="17">
        <v>39</v>
      </c>
      <c r="AB530" s="8">
        <f t="shared" si="140"/>
        <v>58526.83122</v>
      </c>
      <c r="AC530" s="8">
        <f t="shared" si="141"/>
        <v>47140.86</v>
      </c>
      <c r="AD530" s="8">
        <f t="shared" si="142"/>
        <v>11385.971219999999</v>
      </c>
      <c r="AE530" s="15">
        <f t="shared" si="143"/>
        <v>0.1945427589817838</v>
      </c>
      <c r="AF530" s="34">
        <f>MIN(Y530,'Scenario Modeling'!$B$2)</f>
        <v>5.8999999999999997E-2</v>
      </c>
      <c r="AG530">
        <f>ROUND(AA530 * (1 + 'Scenario Modeling'!$B$4), 0)</f>
        <v>39</v>
      </c>
      <c r="AH530">
        <f>T530 * (1 + 'Scenario Modeling'!$B$3)</f>
        <v>1208.74</v>
      </c>
      <c r="AI530" s="8">
        <f t="shared" si="144"/>
        <v>58526.83122</v>
      </c>
      <c r="AJ530" s="8">
        <f t="shared" si="145"/>
        <v>11385.971219999999</v>
      </c>
    </row>
    <row r="531" spans="1:36">
      <c r="A531" t="s">
        <v>543</v>
      </c>
      <c r="B531" s="4">
        <v>45162</v>
      </c>
      <c r="C531" s="28">
        <v>45162</v>
      </c>
      <c r="D531" s="28" t="str">
        <f t="shared" si="130"/>
        <v>Q3-2023</v>
      </c>
      <c r="E531" s="4">
        <v>45189</v>
      </c>
      <c r="F531" s="4">
        <v>45189</v>
      </c>
      <c r="G531" s="17">
        <f t="shared" si="131"/>
        <v>27</v>
      </c>
      <c r="H531" s="17">
        <f t="shared" si="132"/>
        <v>27</v>
      </c>
      <c r="I531" t="str">
        <f t="shared" si="133"/>
        <v>No</v>
      </c>
      <c r="J531" s="2">
        <f t="shared" si="134"/>
        <v>44933</v>
      </c>
      <c r="K531" t="s">
        <v>646</v>
      </c>
      <c r="L531" t="s">
        <v>661</v>
      </c>
      <c r="M531" t="s">
        <v>687</v>
      </c>
      <c r="N531" t="str">
        <f t="shared" si="135"/>
        <v>Africa - South Africa - Durban</v>
      </c>
      <c r="O531" t="s">
        <v>705</v>
      </c>
      <c r="P531" t="s">
        <v>709</v>
      </c>
      <c r="Q531" t="s">
        <v>724</v>
      </c>
      <c r="R531" t="s">
        <v>728</v>
      </c>
      <c r="S531" t="s">
        <v>1262</v>
      </c>
      <c r="T531" s="6">
        <v>1399.64</v>
      </c>
      <c r="U531" s="8">
        <v>3342.11</v>
      </c>
      <c r="V531" s="8">
        <f t="shared" si="136"/>
        <v>3342.11</v>
      </c>
      <c r="W531" s="8" t="str">
        <f t="shared" si="137"/>
        <v>High</v>
      </c>
      <c r="X531" s="15">
        <v>0</v>
      </c>
      <c r="Y531" s="15">
        <f t="shared" si="138"/>
        <v>0</v>
      </c>
      <c r="Z531" t="str">
        <f t="shared" si="139"/>
        <v>No</v>
      </c>
      <c r="AA531" s="17">
        <v>10</v>
      </c>
      <c r="AB531" s="8">
        <f t="shared" si="140"/>
        <v>33421.1</v>
      </c>
      <c r="AC531" s="8">
        <f t="shared" si="141"/>
        <v>13996.400000000001</v>
      </c>
      <c r="AD531" s="8">
        <f t="shared" si="142"/>
        <v>19424.699999999997</v>
      </c>
      <c r="AE531" s="15">
        <f t="shared" si="143"/>
        <v>0.58121067229983447</v>
      </c>
      <c r="AF531" s="34">
        <f>MIN(Y531,'Scenario Modeling'!$B$2)</f>
        <v>0</v>
      </c>
      <c r="AG531">
        <f>ROUND(AA531 * (1 + 'Scenario Modeling'!$B$4), 0)</f>
        <v>10</v>
      </c>
      <c r="AH531">
        <f>T531 * (1 + 'Scenario Modeling'!$B$3)</f>
        <v>1399.64</v>
      </c>
      <c r="AI531" s="8">
        <f t="shared" si="144"/>
        <v>33421.1</v>
      </c>
      <c r="AJ531" s="8">
        <f t="shared" si="145"/>
        <v>19424.699999999997</v>
      </c>
    </row>
    <row r="532" spans="1:36">
      <c r="A532" t="s">
        <v>544</v>
      </c>
      <c r="B532" s="4">
        <v>45316</v>
      </c>
      <c r="C532" s="28">
        <v>45316</v>
      </c>
      <c r="D532" s="28" t="str">
        <f t="shared" si="130"/>
        <v>Q1-2024</v>
      </c>
      <c r="E532" s="4">
        <v>45330</v>
      </c>
      <c r="F532" s="4">
        <v>45330</v>
      </c>
      <c r="G532" s="17">
        <f t="shared" si="131"/>
        <v>14</v>
      </c>
      <c r="H532" s="17">
        <f t="shared" si="132"/>
        <v>14</v>
      </c>
      <c r="I532" t="str">
        <f t="shared" si="133"/>
        <v>No</v>
      </c>
      <c r="J532" s="2">
        <f t="shared" si="134"/>
        <v>44988</v>
      </c>
      <c r="K532" t="s">
        <v>647</v>
      </c>
      <c r="L532" t="s">
        <v>652</v>
      </c>
      <c r="M532" t="s">
        <v>666</v>
      </c>
      <c r="N532" t="str">
        <f t="shared" si="135"/>
        <v>Asia - Japan - Osaka</v>
      </c>
      <c r="O532" t="s">
        <v>704</v>
      </c>
      <c r="P532" t="s">
        <v>709</v>
      </c>
      <c r="Q532" t="s">
        <v>714</v>
      </c>
      <c r="R532" t="s">
        <v>729</v>
      </c>
      <c r="S532" t="s">
        <v>1263</v>
      </c>
      <c r="T532" s="6">
        <v>937.16</v>
      </c>
      <c r="U532" s="8">
        <v>1069.77</v>
      </c>
      <c r="V532" s="8">
        <f t="shared" si="136"/>
        <v>1069.77</v>
      </c>
      <c r="W532" s="8" t="str">
        <f t="shared" si="137"/>
        <v>Medium</v>
      </c>
      <c r="X532" s="15">
        <v>3.7999999999999999E-2</v>
      </c>
      <c r="Y532" s="15">
        <f t="shared" si="138"/>
        <v>3.7999999999999999E-2</v>
      </c>
      <c r="Z532" t="str">
        <f t="shared" si="139"/>
        <v>No</v>
      </c>
      <c r="AA532" s="17">
        <v>9</v>
      </c>
      <c r="AB532" s="8">
        <f t="shared" si="140"/>
        <v>9262.0686600000008</v>
      </c>
      <c r="AC532" s="8">
        <f t="shared" si="141"/>
        <v>8434.44</v>
      </c>
      <c r="AD532" s="8">
        <f t="shared" si="142"/>
        <v>827.62866000000031</v>
      </c>
      <c r="AE532" s="15">
        <f t="shared" si="143"/>
        <v>8.9356783066645962E-2</v>
      </c>
      <c r="AF532" s="34">
        <f>MIN(Y532,'Scenario Modeling'!$B$2)</f>
        <v>3.7999999999999999E-2</v>
      </c>
      <c r="AG532">
        <f>ROUND(AA532 * (1 + 'Scenario Modeling'!$B$4), 0)</f>
        <v>9</v>
      </c>
      <c r="AH532">
        <f>T532 * (1 + 'Scenario Modeling'!$B$3)</f>
        <v>937.16</v>
      </c>
      <c r="AI532" s="8">
        <f t="shared" si="144"/>
        <v>9262.0686600000008</v>
      </c>
      <c r="AJ532" s="8">
        <f t="shared" si="145"/>
        <v>827.62866000000031</v>
      </c>
    </row>
    <row r="533" spans="1:36">
      <c r="A533" t="s">
        <v>545</v>
      </c>
      <c r="B533" s="4">
        <v>45727</v>
      </c>
      <c r="C533" s="28">
        <v>45727</v>
      </c>
      <c r="D533" s="28" t="str">
        <f t="shared" si="130"/>
        <v>Q1-2025</v>
      </c>
      <c r="E533" s="4">
        <v>45742</v>
      </c>
      <c r="F533" s="4">
        <v>45742</v>
      </c>
      <c r="G533" s="17">
        <f t="shared" si="131"/>
        <v>15</v>
      </c>
      <c r="H533" s="17">
        <f t="shared" si="132"/>
        <v>15</v>
      </c>
      <c r="I533" t="str">
        <f t="shared" si="133"/>
        <v>No</v>
      </c>
      <c r="J533" s="2">
        <f t="shared" si="134"/>
        <v>44948</v>
      </c>
      <c r="K533" t="s">
        <v>649</v>
      </c>
      <c r="L533" t="s">
        <v>656</v>
      </c>
      <c r="M533" t="s">
        <v>671</v>
      </c>
      <c r="N533" t="str">
        <f t="shared" si="135"/>
        <v>Europe - Germany - Berlin</v>
      </c>
      <c r="O533" t="s">
        <v>705</v>
      </c>
      <c r="P533" t="s">
        <v>708</v>
      </c>
      <c r="Q533" t="s">
        <v>714</v>
      </c>
      <c r="R533" t="s">
        <v>730</v>
      </c>
      <c r="S533" t="s">
        <v>1264</v>
      </c>
      <c r="T533" s="6">
        <v>116.97</v>
      </c>
      <c r="U533" s="8">
        <v>140.82</v>
      </c>
      <c r="V533" s="8">
        <f t="shared" si="136"/>
        <v>140.82</v>
      </c>
      <c r="W533" s="8" t="str">
        <f t="shared" si="137"/>
        <v>Low</v>
      </c>
      <c r="X533" s="15">
        <v>0.122</v>
      </c>
      <c r="Y533" s="15">
        <f t="shared" si="138"/>
        <v>0.122</v>
      </c>
      <c r="Z533" t="str">
        <f t="shared" si="139"/>
        <v>No</v>
      </c>
      <c r="AA533" s="17">
        <v>5</v>
      </c>
      <c r="AB533" s="8">
        <f t="shared" si="140"/>
        <v>618.19979999999987</v>
      </c>
      <c r="AC533" s="8">
        <f t="shared" si="141"/>
        <v>584.85</v>
      </c>
      <c r="AD533" s="8">
        <f t="shared" si="142"/>
        <v>33.349799999999846</v>
      </c>
      <c r="AE533" s="15">
        <f t="shared" si="143"/>
        <v>5.3946636669891926E-2</v>
      </c>
      <c r="AF533" s="34">
        <f>MIN(Y533,'Scenario Modeling'!$B$2)</f>
        <v>0.122</v>
      </c>
      <c r="AG533">
        <f>ROUND(AA533 * (1 + 'Scenario Modeling'!$B$4), 0)</f>
        <v>5</v>
      </c>
      <c r="AH533">
        <f>T533 * (1 + 'Scenario Modeling'!$B$3)</f>
        <v>116.97</v>
      </c>
      <c r="AI533" s="8">
        <f t="shared" si="144"/>
        <v>618.19979999999987</v>
      </c>
      <c r="AJ533" s="8">
        <f t="shared" si="145"/>
        <v>33.349799999999846</v>
      </c>
    </row>
    <row r="534" spans="1:36">
      <c r="A534" t="s">
        <v>546</v>
      </c>
      <c r="B534" s="4">
        <v>45769</v>
      </c>
      <c r="C534" s="28">
        <v>45769</v>
      </c>
      <c r="D534" s="28" t="str">
        <f t="shared" si="130"/>
        <v>Q2-2025</v>
      </c>
      <c r="E534" s="4">
        <v>45789</v>
      </c>
      <c r="F534" s="4">
        <v>45789</v>
      </c>
      <c r="G534" s="17">
        <f t="shared" si="131"/>
        <v>20</v>
      </c>
      <c r="H534" s="17">
        <f t="shared" si="132"/>
        <v>20</v>
      </c>
      <c r="I534" t="str">
        <f t="shared" si="133"/>
        <v>No</v>
      </c>
      <c r="J534" s="2">
        <f t="shared" si="134"/>
        <v>44936</v>
      </c>
      <c r="K534" t="s">
        <v>649</v>
      </c>
      <c r="L534" t="s">
        <v>657</v>
      </c>
      <c r="M534" t="s">
        <v>679</v>
      </c>
      <c r="N534" t="str">
        <f t="shared" si="135"/>
        <v>Europe - France - Lyon</v>
      </c>
      <c r="O534" t="s">
        <v>706</v>
      </c>
      <c r="P534" t="s">
        <v>709</v>
      </c>
      <c r="Q534" t="s">
        <v>723</v>
      </c>
      <c r="R534" t="s">
        <v>732</v>
      </c>
      <c r="S534" t="s">
        <v>1265</v>
      </c>
      <c r="T534" s="6">
        <v>59.51</v>
      </c>
      <c r="U534" s="8">
        <v>67.040000000000006</v>
      </c>
      <c r="V534" s="8">
        <f t="shared" si="136"/>
        <v>67.040000000000006</v>
      </c>
      <c r="W534" s="8" t="str">
        <f t="shared" si="137"/>
        <v>Low</v>
      </c>
      <c r="X534" s="15">
        <v>0.114</v>
      </c>
      <c r="Y534" s="15">
        <f t="shared" si="138"/>
        <v>0.114</v>
      </c>
      <c r="Z534" t="str">
        <f t="shared" si="139"/>
        <v>No</v>
      </c>
      <c r="AA534" s="17">
        <v>9</v>
      </c>
      <c r="AB534" s="8">
        <f t="shared" si="140"/>
        <v>534.57695999999999</v>
      </c>
      <c r="AC534" s="8">
        <f t="shared" si="141"/>
        <v>535.59</v>
      </c>
      <c r="AD534" s="8">
        <f t="shared" si="142"/>
        <v>-1.0130400000000463</v>
      </c>
      <c r="AE534" s="15">
        <f t="shared" si="143"/>
        <v>-1.8950311663264469E-3</v>
      </c>
      <c r="AF534" s="34">
        <f>MIN(Y534,'Scenario Modeling'!$B$2)</f>
        <v>0.114</v>
      </c>
      <c r="AG534">
        <f>ROUND(AA534 * (1 + 'Scenario Modeling'!$B$4), 0)</f>
        <v>9</v>
      </c>
      <c r="AH534">
        <f>T534 * (1 + 'Scenario Modeling'!$B$3)</f>
        <v>59.51</v>
      </c>
      <c r="AI534" s="8">
        <f t="shared" si="144"/>
        <v>534.57695999999999</v>
      </c>
      <c r="AJ534" s="8">
        <f t="shared" si="145"/>
        <v>-1.0130400000000463</v>
      </c>
    </row>
    <row r="535" spans="1:36">
      <c r="A535" t="s">
        <v>547</v>
      </c>
      <c r="B535" s="4">
        <v>45155</v>
      </c>
      <c r="C535" s="28">
        <v>45155</v>
      </c>
      <c r="D535" s="28" t="str">
        <f t="shared" si="130"/>
        <v>Q3-2023</v>
      </c>
      <c r="E535" s="4">
        <v>45172</v>
      </c>
      <c r="F535" s="4">
        <v>45172</v>
      </c>
      <c r="G535" s="17">
        <f t="shared" si="131"/>
        <v>17</v>
      </c>
      <c r="H535" s="17">
        <f t="shared" si="132"/>
        <v>17</v>
      </c>
      <c r="I535" t="str">
        <f t="shared" si="133"/>
        <v>No</v>
      </c>
      <c r="J535" s="2">
        <f t="shared" si="134"/>
        <v>44933</v>
      </c>
      <c r="K535" t="s">
        <v>646</v>
      </c>
      <c r="L535" t="s">
        <v>661</v>
      </c>
      <c r="M535" t="s">
        <v>687</v>
      </c>
      <c r="N535" t="str">
        <f t="shared" si="135"/>
        <v>Africa - South Africa - Durban</v>
      </c>
      <c r="O535" t="s">
        <v>706</v>
      </c>
      <c r="P535" t="s">
        <v>707</v>
      </c>
      <c r="Q535" t="s">
        <v>720</v>
      </c>
      <c r="R535" t="s">
        <v>730</v>
      </c>
      <c r="S535" t="s">
        <v>1266</v>
      </c>
      <c r="T535" s="6">
        <v>676.37</v>
      </c>
      <c r="U535" s="8">
        <v>1276.67</v>
      </c>
      <c r="V535" s="8">
        <f t="shared" si="136"/>
        <v>1276.67</v>
      </c>
      <c r="W535" s="8" t="str">
        <f t="shared" si="137"/>
        <v>Medium</v>
      </c>
      <c r="X535" s="15">
        <v>6.6000000000000003E-2</v>
      </c>
      <c r="Y535" s="15">
        <f t="shared" si="138"/>
        <v>6.6000000000000003E-2</v>
      </c>
      <c r="Z535" t="str">
        <f t="shared" si="139"/>
        <v>No</v>
      </c>
      <c r="AA535" s="17">
        <v>10</v>
      </c>
      <c r="AB535" s="8">
        <f t="shared" si="140"/>
        <v>11924.0978</v>
      </c>
      <c r="AC535" s="8">
        <f t="shared" si="141"/>
        <v>6763.7</v>
      </c>
      <c r="AD535" s="8">
        <f t="shared" si="142"/>
        <v>5160.3977999999997</v>
      </c>
      <c r="AE535" s="15">
        <f t="shared" si="143"/>
        <v>0.4327705027712872</v>
      </c>
      <c r="AF535" s="34">
        <f>MIN(Y535,'Scenario Modeling'!$B$2)</f>
        <v>6.6000000000000003E-2</v>
      </c>
      <c r="AG535">
        <f>ROUND(AA535 * (1 + 'Scenario Modeling'!$B$4), 0)</f>
        <v>10</v>
      </c>
      <c r="AH535">
        <f>T535 * (1 + 'Scenario Modeling'!$B$3)</f>
        <v>676.37</v>
      </c>
      <c r="AI535" s="8">
        <f t="shared" si="144"/>
        <v>11924.0978</v>
      </c>
      <c r="AJ535" s="8">
        <f t="shared" si="145"/>
        <v>5160.3977999999997</v>
      </c>
    </row>
    <row r="536" spans="1:36">
      <c r="A536" t="s">
        <v>548</v>
      </c>
      <c r="B536" s="4">
        <v>45832</v>
      </c>
      <c r="C536" s="28">
        <v>45832</v>
      </c>
      <c r="D536" s="28" t="str">
        <f t="shared" si="130"/>
        <v>Q2-2025</v>
      </c>
      <c r="E536" s="4">
        <v>45852</v>
      </c>
      <c r="F536" s="4">
        <v>45852</v>
      </c>
      <c r="G536" s="17">
        <f t="shared" si="131"/>
        <v>20</v>
      </c>
      <c r="H536" s="17">
        <f t="shared" si="132"/>
        <v>20</v>
      </c>
      <c r="I536" t="str">
        <f t="shared" si="133"/>
        <v>No</v>
      </c>
      <c r="J536" s="2">
        <f t="shared" si="134"/>
        <v>44933</v>
      </c>
      <c r="K536" t="s">
        <v>646</v>
      </c>
      <c r="L536" t="s">
        <v>661</v>
      </c>
      <c r="M536" t="s">
        <v>682</v>
      </c>
      <c r="N536" t="str">
        <f t="shared" si="135"/>
        <v>Africa - South Africa - Johannesburg</v>
      </c>
      <c r="O536" t="s">
        <v>706</v>
      </c>
      <c r="P536" t="s">
        <v>709</v>
      </c>
      <c r="Q536" t="s">
        <v>713</v>
      </c>
      <c r="R536" t="s">
        <v>731</v>
      </c>
      <c r="S536" t="s">
        <v>1267</v>
      </c>
      <c r="T536" s="6">
        <v>1151.06</v>
      </c>
      <c r="U536" s="8">
        <v>2821.36</v>
      </c>
      <c r="V536" s="8">
        <f t="shared" si="136"/>
        <v>2821.36</v>
      </c>
      <c r="W536" s="8" t="str">
        <f t="shared" si="137"/>
        <v>High</v>
      </c>
      <c r="X536" s="15">
        <v>0.248</v>
      </c>
      <c r="Y536" s="15">
        <f t="shared" si="138"/>
        <v>0.248</v>
      </c>
      <c r="Z536" t="str">
        <f t="shared" si="139"/>
        <v>Yes</v>
      </c>
      <c r="AA536" s="17">
        <v>20</v>
      </c>
      <c r="AB536" s="8">
        <f t="shared" si="140"/>
        <v>42433.254400000005</v>
      </c>
      <c r="AC536" s="8">
        <f t="shared" si="141"/>
        <v>23021.199999999997</v>
      </c>
      <c r="AD536" s="8">
        <f t="shared" si="142"/>
        <v>19412.054400000008</v>
      </c>
      <c r="AE536" s="15">
        <f t="shared" si="143"/>
        <v>0.45747267501594235</v>
      </c>
      <c r="AF536" s="34">
        <f>MIN(Y536,'Scenario Modeling'!$B$2)</f>
        <v>0.248</v>
      </c>
      <c r="AG536">
        <f>ROUND(AA536 * (1 + 'Scenario Modeling'!$B$4), 0)</f>
        <v>20</v>
      </c>
      <c r="AH536">
        <f>T536 * (1 + 'Scenario Modeling'!$B$3)</f>
        <v>1151.06</v>
      </c>
      <c r="AI536" s="8">
        <f t="shared" si="144"/>
        <v>42433.254400000005</v>
      </c>
      <c r="AJ536" s="8">
        <f t="shared" si="145"/>
        <v>19412.054400000008</v>
      </c>
    </row>
    <row r="537" spans="1:36">
      <c r="A537" t="s">
        <v>549</v>
      </c>
      <c r="B537" s="4">
        <v>45667</v>
      </c>
      <c r="C537" s="28">
        <v>45667</v>
      </c>
      <c r="D537" s="28" t="str">
        <f t="shared" si="130"/>
        <v>Q1-2025</v>
      </c>
      <c r="E537" s="4">
        <v>45694</v>
      </c>
      <c r="F537" s="4">
        <v>45694</v>
      </c>
      <c r="G537" s="17">
        <f t="shared" si="131"/>
        <v>27</v>
      </c>
      <c r="H537" s="17">
        <f t="shared" si="132"/>
        <v>27</v>
      </c>
      <c r="I537" t="str">
        <f t="shared" si="133"/>
        <v>No</v>
      </c>
      <c r="J537" s="2">
        <f t="shared" si="134"/>
        <v>44955</v>
      </c>
      <c r="K537" t="s">
        <v>648</v>
      </c>
      <c r="L537" t="s">
        <v>655</v>
      </c>
      <c r="M537" t="s">
        <v>672</v>
      </c>
      <c r="N537" t="str">
        <f t="shared" si="135"/>
        <v>Americas - Brazil - Brasília</v>
      </c>
      <c r="O537" t="s">
        <v>703</v>
      </c>
      <c r="P537" t="s">
        <v>707</v>
      </c>
      <c r="Q537" t="s">
        <v>717</v>
      </c>
      <c r="R537" t="s">
        <v>731</v>
      </c>
      <c r="S537" t="s">
        <v>1268</v>
      </c>
      <c r="T537" s="6">
        <v>725.62</v>
      </c>
      <c r="U537" s="8">
        <v>1559.19</v>
      </c>
      <c r="V537" s="8">
        <f t="shared" si="136"/>
        <v>1559.19</v>
      </c>
      <c r="W537" s="8" t="str">
        <f t="shared" si="137"/>
        <v>Medium</v>
      </c>
      <c r="X537" s="15">
        <v>0.19</v>
      </c>
      <c r="Y537" s="15">
        <f t="shared" si="138"/>
        <v>0.19</v>
      </c>
      <c r="Z537" t="str">
        <f t="shared" si="139"/>
        <v>No</v>
      </c>
      <c r="AA537" s="17">
        <v>12</v>
      </c>
      <c r="AB537" s="8">
        <f t="shared" si="140"/>
        <v>15155.326800000001</v>
      </c>
      <c r="AC537" s="8">
        <f t="shared" si="141"/>
        <v>8707.44</v>
      </c>
      <c r="AD537" s="8">
        <f t="shared" si="142"/>
        <v>6447.8868000000002</v>
      </c>
      <c r="AE537" s="15">
        <f t="shared" si="143"/>
        <v>0.42545349797405885</v>
      </c>
      <c r="AF537" s="34">
        <f>MIN(Y537,'Scenario Modeling'!$B$2)</f>
        <v>0.19</v>
      </c>
      <c r="AG537">
        <f>ROUND(AA537 * (1 + 'Scenario Modeling'!$B$4), 0)</f>
        <v>12</v>
      </c>
      <c r="AH537">
        <f>T537 * (1 + 'Scenario Modeling'!$B$3)</f>
        <v>725.62</v>
      </c>
      <c r="AI537" s="8">
        <f t="shared" si="144"/>
        <v>15155.326800000001</v>
      </c>
      <c r="AJ537" s="8">
        <f t="shared" si="145"/>
        <v>6447.8868000000002</v>
      </c>
    </row>
    <row r="538" spans="1:36">
      <c r="A538" t="s">
        <v>550</v>
      </c>
      <c r="B538" s="4">
        <v>45108</v>
      </c>
      <c r="C538" s="28">
        <v>45108</v>
      </c>
      <c r="D538" s="28" t="str">
        <f t="shared" si="130"/>
        <v>Q3-2023</v>
      </c>
      <c r="E538" s="4">
        <v>45118</v>
      </c>
      <c r="F538" s="4">
        <v>45118</v>
      </c>
      <c r="G538" s="17">
        <f t="shared" si="131"/>
        <v>10</v>
      </c>
      <c r="H538" s="17">
        <f t="shared" si="132"/>
        <v>10</v>
      </c>
      <c r="I538" t="str">
        <f t="shared" si="133"/>
        <v>No</v>
      </c>
      <c r="J538" s="2">
        <f t="shared" si="134"/>
        <v>44936</v>
      </c>
      <c r="K538" t="s">
        <v>649</v>
      </c>
      <c r="L538" t="s">
        <v>657</v>
      </c>
      <c r="M538" t="s">
        <v>690</v>
      </c>
      <c r="N538" t="str">
        <f t="shared" si="135"/>
        <v>Europe - France - Paris</v>
      </c>
      <c r="O538" t="s">
        <v>701</v>
      </c>
      <c r="P538" t="s">
        <v>711</v>
      </c>
      <c r="Q538" t="s">
        <v>721</v>
      </c>
      <c r="R538" t="s">
        <v>729</v>
      </c>
      <c r="S538" t="s">
        <v>1269</v>
      </c>
      <c r="T538" s="6">
        <v>479.5</v>
      </c>
      <c r="U538" s="8">
        <v>656.66</v>
      </c>
      <c r="V538" s="8">
        <f t="shared" si="136"/>
        <v>656.66</v>
      </c>
      <c r="W538" s="8" t="str">
        <f t="shared" si="137"/>
        <v>Low</v>
      </c>
      <c r="X538" s="15">
        <v>0.14899999999999999</v>
      </c>
      <c r="Y538" s="15">
        <f t="shared" si="138"/>
        <v>0.14899999999999999</v>
      </c>
      <c r="Z538" t="str">
        <f t="shared" si="139"/>
        <v>No</v>
      </c>
      <c r="AA538" s="17">
        <v>14</v>
      </c>
      <c r="AB538" s="8">
        <f t="shared" si="140"/>
        <v>7823.4472399999995</v>
      </c>
      <c r="AC538" s="8">
        <f t="shared" si="141"/>
        <v>6713</v>
      </c>
      <c r="AD538" s="8">
        <f t="shared" si="142"/>
        <v>1110.4472399999995</v>
      </c>
      <c r="AE538" s="15">
        <f t="shared" si="143"/>
        <v>0.14193835606412289</v>
      </c>
      <c r="AF538" s="34">
        <f>MIN(Y538,'Scenario Modeling'!$B$2)</f>
        <v>0.14899999999999999</v>
      </c>
      <c r="AG538">
        <f>ROUND(AA538 * (1 + 'Scenario Modeling'!$B$4), 0)</f>
        <v>14</v>
      </c>
      <c r="AH538">
        <f>T538 * (1 + 'Scenario Modeling'!$B$3)</f>
        <v>479.5</v>
      </c>
      <c r="AI538" s="8">
        <f t="shared" si="144"/>
        <v>7823.4472399999995</v>
      </c>
      <c r="AJ538" s="8">
        <f t="shared" si="145"/>
        <v>1110.4472399999995</v>
      </c>
    </row>
    <row r="539" spans="1:36">
      <c r="A539" t="s">
        <v>551</v>
      </c>
      <c r="B539" s="4">
        <v>45520</v>
      </c>
      <c r="C539" s="28">
        <v>45520</v>
      </c>
      <c r="D539" s="28" t="str">
        <f t="shared" si="130"/>
        <v>Q3-2024</v>
      </c>
      <c r="E539" s="4">
        <v>45530</v>
      </c>
      <c r="F539" s="4">
        <v>45530</v>
      </c>
      <c r="G539" s="17">
        <f t="shared" si="131"/>
        <v>10</v>
      </c>
      <c r="H539" s="17">
        <f t="shared" si="132"/>
        <v>10</v>
      </c>
      <c r="I539" t="str">
        <f t="shared" si="133"/>
        <v>No</v>
      </c>
      <c r="J539" s="2">
        <f t="shared" si="134"/>
        <v>44939</v>
      </c>
      <c r="K539" t="s">
        <v>648</v>
      </c>
      <c r="L539" t="s">
        <v>660</v>
      </c>
      <c r="M539" t="s">
        <v>677</v>
      </c>
      <c r="N539" t="str">
        <f t="shared" si="135"/>
        <v>Americas - USA - Chicago</v>
      </c>
      <c r="O539" t="s">
        <v>701</v>
      </c>
      <c r="P539" t="s">
        <v>710</v>
      </c>
      <c r="Q539" t="s">
        <v>716</v>
      </c>
      <c r="R539" t="s">
        <v>731</v>
      </c>
      <c r="S539" t="s">
        <v>1121</v>
      </c>
      <c r="T539" s="6">
        <v>1291.7</v>
      </c>
      <c r="U539" s="8">
        <v>2657.84</v>
      </c>
      <c r="V539" s="8">
        <f t="shared" si="136"/>
        <v>2657.84</v>
      </c>
      <c r="W539" s="8" t="str">
        <f t="shared" si="137"/>
        <v>High</v>
      </c>
      <c r="X539" s="15">
        <v>8.6999999999999994E-2</v>
      </c>
      <c r="Y539" s="15">
        <f t="shared" si="138"/>
        <v>8.6999999999999994E-2</v>
      </c>
      <c r="Z539" t="str">
        <f t="shared" si="139"/>
        <v>No</v>
      </c>
      <c r="AA539" s="17">
        <v>21</v>
      </c>
      <c r="AB539" s="8">
        <f t="shared" si="140"/>
        <v>50958.766320000002</v>
      </c>
      <c r="AC539" s="8">
        <f t="shared" si="141"/>
        <v>27125.7</v>
      </c>
      <c r="AD539" s="8">
        <f t="shared" si="142"/>
        <v>23833.066320000002</v>
      </c>
      <c r="AE539" s="15">
        <f t="shared" si="143"/>
        <v>0.46769315745083367</v>
      </c>
      <c r="AF539" s="34">
        <f>MIN(Y539,'Scenario Modeling'!$B$2)</f>
        <v>8.6999999999999994E-2</v>
      </c>
      <c r="AG539">
        <f>ROUND(AA539 * (1 + 'Scenario Modeling'!$B$4), 0)</f>
        <v>21</v>
      </c>
      <c r="AH539">
        <f>T539 * (1 + 'Scenario Modeling'!$B$3)</f>
        <v>1291.7</v>
      </c>
      <c r="AI539" s="8">
        <f t="shared" si="144"/>
        <v>50958.766320000002</v>
      </c>
      <c r="AJ539" s="8">
        <f t="shared" si="145"/>
        <v>23833.066320000002</v>
      </c>
    </row>
    <row r="540" spans="1:36">
      <c r="A540" t="s">
        <v>552</v>
      </c>
      <c r="B540" s="4">
        <v>45114</v>
      </c>
      <c r="C540" s="28">
        <v>45114</v>
      </c>
      <c r="D540" s="28" t="str">
        <f t="shared" si="130"/>
        <v>Q3-2023</v>
      </c>
      <c r="E540" s="4">
        <v>45120</v>
      </c>
      <c r="F540" s="4">
        <v>45120</v>
      </c>
      <c r="G540" s="17">
        <f t="shared" si="131"/>
        <v>6</v>
      </c>
      <c r="H540" s="17">
        <f t="shared" si="132"/>
        <v>6</v>
      </c>
      <c r="I540" t="str">
        <f t="shared" si="133"/>
        <v>Yes</v>
      </c>
      <c r="J540" s="2">
        <f t="shared" si="134"/>
        <v>44933</v>
      </c>
      <c r="K540" t="s">
        <v>646</v>
      </c>
      <c r="L540" t="s">
        <v>661</v>
      </c>
      <c r="M540" t="s">
        <v>695</v>
      </c>
      <c r="N540" t="str">
        <f t="shared" si="135"/>
        <v>Africa - South Africa - Cape Town</v>
      </c>
      <c r="O540" t="s">
        <v>705</v>
      </c>
      <c r="P540" t="s">
        <v>709</v>
      </c>
      <c r="Q540" t="s">
        <v>717</v>
      </c>
      <c r="R540" t="s">
        <v>733</v>
      </c>
      <c r="S540" t="s">
        <v>1270</v>
      </c>
      <c r="T540" s="6">
        <v>612.59</v>
      </c>
      <c r="U540" s="8">
        <v>1424.74</v>
      </c>
      <c r="V540" s="8">
        <f t="shared" si="136"/>
        <v>1424.74</v>
      </c>
      <c r="W540" s="8" t="str">
        <f t="shared" si="137"/>
        <v>Medium</v>
      </c>
      <c r="X540" s="15">
        <v>4.3999999999999997E-2</v>
      </c>
      <c r="Y540" s="15">
        <f t="shared" si="138"/>
        <v>4.3999999999999997E-2</v>
      </c>
      <c r="Z540" t="str">
        <f t="shared" si="139"/>
        <v>No</v>
      </c>
      <c r="AA540" s="17">
        <v>15</v>
      </c>
      <c r="AB540" s="8">
        <f t="shared" si="140"/>
        <v>20430.771599999996</v>
      </c>
      <c r="AC540" s="8">
        <f t="shared" si="141"/>
        <v>9188.85</v>
      </c>
      <c r="AD540" s="8">
        <f t="shared" si="142"/>
        <v>11241.921599999996</v>
      </c>
      <c r="AE540" s="15">
        <f t="shared" si="143"/>
        <v>0.55024459281802152</v>
      </c>
      <c r="AF540" s="34">
        <f>MIN(Y540,'Scenario Modeling'!$B$2)</f>
        <v>4.3999999999999997E-2</v>
      </c>
      <c r="AG540">
        <f>ROUND(AA540 * (1 + 'Scenario Modeling'!$B$4), 0)</f>
        <v>15</v>
      </c>
      <c r="AH540">
        <f>T540 * (1 + 'Scenario Modeling'!$B$3)</f>
        <v>612.59</v>
      </c>
      <c r="AI540" s="8">
        <f t="shared" si="144"/>
        <v>20430.771599999996</v>
      </c>
      <c r="AJ540" s="8">
        <f t="shared" si="145"/>
        <v>11241.921599999996</v>
      </c>
    </row>
    <row r="541" spans="1:36">
      <c r="A541" t="s">
        <v>553</v>
      </c>
      <c r="B541" s="4">
        <v>45288</v>
      </c>
      <c r="C541" s="28">
        <v>45288</v>
      </c>
      <c r="D541" s="28" t="str">
        <f t="shared" si="130"/>
        <v>Q4-2023</v>
      </c>
      <c r="E541" s="4">
        <v>45292</v>
      </c>
      <c r="F541" s="4">
        <v>45292</v>
      </c>
      <c r="G541" s="17">
        <f t="shared" si="131"/>
        <v>4</v>
      </c>
      <c r="H541" s="17">
        <f t="shared" si="132"/>
        <v>4</v>
      </c>
      <c r="I541" t="str">
        <f t="shared" si="133"/>
        <v>Yes</v>
      </c>
      <c r="J541" s="2">
        <f t="shared" si="134"/>
        <v>44933</v>
      </c>
      <c r="K541" t="s">
        <v>646</v>
      </c>
      <c r="L541" t="s">
        <v>661</v>
      </c>
      <c r="M541" t="s">
        <v>695</v>
      </c>
      <c r="N541" t="str">
        <f t="shared" si="135"/>
        <v>Africa - South Africa - Cape Town</v>
      </c>
      <c r="O541" t="s">
        <v>702</v>
      </c>
      <c r="P541" t="s">
        <v>710</v>
      </c>
      <c r="Q541" t="s">
        <v>720</v>
      </c>
      <c r="R541" t="s">
        <v>728</v>
      </c>
      <c r="S541" t="s">
        <v>1271</v>
      </c>
      <c r="T541" s="6">
        <v>1141.8</v>
      </c>
      <c r="U541" s="8">
        <v>2318.7399999999998</v>
      </c>
      <c r="V541" s="8">
        <f t="shared" si="136"/>
        <v>2318.7399999999998</v>
      </c>
      <c r="W541" s="8" t="str">
        <f t="shared" si="137"/>
        <v>High</v>
      </c>
      <c r="X541" s="15">
        <v>0.107</v>
      </c>
      <c r="Y541" s="15">
        <f t="shared" si="138"/>
        <v>0.107</v>
      </c>
      <c r="Z541" t="str">
        <f t="shared" si="139"/>
        <v>No</v>
      </c>
      <c r="AA541" s="17">
        <v>32</v>
      </c>
      <c r="AB541" s="8">
        <f t="shared" si="140"/>
        <v>66260.314239999992</v>
      </c>
      <c r="AC541" s="8">
        <f t="shared" si="141"/>
        <v>36537.599999999999</v>
      </c>
      <c r="AD541" s="8">
        <f t="shared" si="142"/>
        <v>29722.714239999994</v>
      </c>
      <c r="AE541" s="15">
        <f t="shared" si="143"/>
        <v>0.44857490612468304</v>
      </c>
      <c r="AF541" s="34">
        <f>MIN(Y541,'Scenario Modeling'!$B$2)</f>
        <v>0.107</v>
      </c>
      <c r="AG541">
        <f>ROUND(AA541 * (1 + 'Scenario Modeling'!$B$4), 0)</f>
        <v>32</v>
      </c>
      <c r="AH541">
        <f>T541 * (1 + 'Scenario Modeling'!$B$3)</f>
        <v>1141.8</v>
      </c>
      <c r="AI541" s="8">
        <f t="shared" si="144"/>
        <v>66260.314239999992</v>
      </c>
      <c r="AJ541" s="8">
        <f t="shared" si="145"/>
        <v>29722.714239999994</v>
      </c>
    </row>
    <row r="542" spans="1:36">
      <c r="A542" t="s">
        <v>554</v>
      </c>
      <c r="B542" s="4">
        <v>44952</v>
      </c>
      <c r="C542" s="28">
        <v>44952</v>
      </c>
      <c r="D542" s="28" t="str">
        <f t="shared" si="130"/>
        <v>Q1-2023</v>
      </c>
      <c r="E542" s="4">
        <v>44972</v>
      </c>
      <c r="F542" s="4">
        <v>44972</v>
      </c>
      <c r="G542" s="17">
        <f t="shared" si="131"/>
        <v>20</v>
      </c>
      <c r="H542" s="17">
        <f t="shared" si="132"/>
        <v>20</v>
      </c>
      <c r="I542" t="str">
        <f t="shared" si="133"/>
        <v>No</v>
      </c>
      <c r="J542" s="2">
        <f t="shared" si="134"/>
        <v>44948</v>
      </c>
      <c r="K542" t="s">
        <v>649</v>
      </c>
      <c r="L542" t="s">
        <v>656</v>
      </c>
      <c r="M542" t="s">
        <v>671</v>
      </c>
      <c r="N542" t="str">
        <f t="shared" si="135"/>
        <v>Europe - Germany - Berlin</v>
      </c>
      <c r="O542" t="s">
        <v>705</v>
      </c>
      <c r="P542" t="s">
        <v>708</v>
      </c>
      <c r="Q542" t="s">
        <v>719</v>
      </c>
      <c r="R542" t="s">
        <v>729</v>
      </c>
      <c r="S542" t="s">
        <v>1272</v>
      </c>
      <c r="T542" s="6">
        <v>492.62</v>
      </c>
      <c r="U542" s="8">
        <v>366.7</v>
      </c>
      <c r="V542" s="8">
        <f t="shared" si="136"/>
        <v>366.7</v>
      </c>
      <c r="W542" s="8" t="str">
        <f t="shared" si="137"/>
        <v>Low</v>
      </c>
      <c r="X542" s="15">
        <v>8.8999999999999996E-2</v>
      </c>
      <c r="Y542" s="15">
        <f t="shared" si="138"/>
        <v>8.8999999999999996E-2</v>
      </c>
      <c r="Z542" t="str">
        <f t="shared" si="139"/>
        <v>No</v>
      </c>
      <c r="AA542" s="17">
        <v>10</v>
      </c>
      <c r="AB542" s="8">
        <f t="shared" si="140"/>
        <v>3340.6370000000002</v>
      </c>
      <c r="AC542" s="8">
        <f t="shared" si="141"/>
        <v>4926.2</v>
      </c>
      <c r="AD542" s="8">
        <f t="shared" si="142"/>
        <v>-1585.5629999999996</v>
      </c>
      <c r="AE542" s="15">
        <f t="shared" si="143"/>
        <v>-0.47462894052840809</v>
      </c>
      <c r="AF542" s="34">
        <f>MIN(Y542,'Scenario Modeling'!$B$2)</f>
        <v>8.8999999999999996E-2</v>
      </c>
      <c r="AG542">
        <f>ROUND(AA542 * (1 + 'Scenario Modeling'!$B$4), 0)</f>
        <v>10</v>
      </c>
      <c r="AH542">
        <f>T542 * (1 + 'Scenario Modeling'!$B$3)</f>
        <v>492.62</v>
      </c>
      <c r="AI542" s="8">
        <f t="shared" si="144"/>
        <v>3340.6370000000002</v>
      </c>
      <c r="AJ542" s="8">
        <f t="shared" si="145"/>
        <v>-1585.5629999999996</v>
      </c>
    </row>
    <row r="543" spans="1:36">
      <c r="A543" t="s">
        <v>555</v>
      </c>
      <c r="B543" s="4">
        <v>45115</v>
      </c>
      <c r="C543" s="28">
        <v>45115</v>
      </c>
      <c r="D543" s="28" t="str">
        <f t="shared" si="130"/>
        <v>Q3-2023</v>
      </c>
      <c r="E543" s="4">
        <v>45116</v>
      </c>
      <c r="F543" s="4">
        <v>45116</v>
      </c>
      <c r="G543" s="17">
        <f t="shared" si="131"/>
        <v>1</v>
      </c>
      <c r="H543" s="17">
        <f t="shared" si="132"/>
        <v>1</v>
      </c>
      <c r="I543" t="str">
        <f t="shared" si="133"/>
        <v>Yes</v>
      </c>
      <c r="J543" s="2">
        <f t="shared" si="134"/>
        <v>44946</v>
      </c>
      <c r="K543" t="s">
        <v>646</v>
      </c>
      <c r="L543" t="s">
        <v>650</v>
      </c>
      <c r="M543" t="s">
        <v>664</v>
      </c>
      <c r="N543" t="str">
        <f t="shared" si="135"/>
        <v>Africa - Kenya - Nairobi</v>
      </c>
      <c r="O543" t="s">
        <v>704</v>
      </c>
      <c r="P543" t="s">
        <v>708</v>
      </c>
      <c r="Q543" t="s">
        <v>726</v>
      </c>
      <c r="R543" t="s">
        <v>731</v>
      </c>
      <c r="S543" t="s">
        <v>1273</v>
      </c>
      <c r="T543" s="6">
        <v>1258.72</v>
      </c>
      <c r="U543" s="8">
        <v>2797.41</v>
      </c>
      <c r="V543" s="8">
        <f t="shared" si="136"/>
        <v>2797.41</v>
      </c>
      <c r="W543" s="8" t="str">
        <f t="shared" si="137"/>
        <v>High</v>
      </c>
      <c r="X543" s="15">
        <v>0</v>
      </c>
      <c r="Y543" s="15">
        <f t="shared" si="138"/>
        <v>0</v>
      </c>
      <c r="Z543" t="str">
        <f t="shared" si="139"/>
        <v>No</v>
      </c>
      <c r="AA543" s="17">
        <v>7</v>
      </c>
      <c r="AB543" s="8">
        <f t="shared" si="140"/>
        <v>19581.87</v>
      </c>
      <c r="AC543" s="8">
        <f t="shared" si="141"/>
        <v>8811.0400000000009</v>
      </c>
      <c r="AD543" s="8">
        <f t="shared" si="142"/>
        <v>10770.829999999998</v>
      </c>
      <c r="AE543" s="15">
        <f t="shared" si="143"/>
        <v>0.55004093071805704</v>
      </c>
      <c r="AF543" s="34">
        <f>MIN(Y543,'Scenario Modeling'!$B$2)</f>
        <v>0</v>
      </c>
      <c r="AG543">
        <f>ROUND(AA543 * (1 + 'Scenario Modeling'!$B$4), 0)</f>
        <v>7</v>
      </c>
      <c r="AH543">
        <f>T543 * (1 + 'Scenario Modeling'!$B$3)</f>
        <v>1258.72</v>
      </c>
      <c r="AI543" s="8">
        <f t="shared" si="144"/>
        <v>19581.87</v>
      </c>
      <c r="AJ543" s="8">
        <f t="shared" si="145"/>
        <v>10770.829999999998</v>
      </c>
    </row>
    <row r="544" spans="1:36">
      <c r="A544" t="s">
        <v>556</v>
      </c>
      <c r="B544" s="4">
        <v>45450</v>
      </c>
      <c r="C544" s="28">
        <v>45450</v>
      </c>
      <c r="D544" s="28" t="str">
        <f t="shared" si="130"/>
        <v>Q2-2024</v>
      </c>
      <c r="E544" s="4">
        <v>45452</v>
      </c>
      <c r="F544" s="4">
        <v>45452</v>
      </c>
      <c r="G544" s="17">
        <f t="shared" si="131"/>
        <v>2</v>
      </c>
      <c r="H544" s="17">
        <f t="shared" si="132"/>
        <v>2</v>
      </c>
      <c r="I544" t="str">
        <f t="shared" si="133"/>
        <v>Yes</v>
      </c>
      <c r="J544" s="2">
        <f t="shared" si="134"/>
        <v>44938</v>
      </c>
      <c r="K544" t="s">
        <v>647</v>
      </c>
      <c r="L544" t="s">
        <v>659</v>
      </c>
      <c r="M544" t="s">
        <v>685</v>
      </c>
      <c r="N544" t="str">
        <f t="shared" si="135"/>
        <v>Asia - China - Shanghai</v>
      </c>
      <c r="O544" t="s">
        <v>701</v>
      </c>
      <c r="P544" t="s">
        <v>707</v>
      </c>
      <c r="Q544" t="s">
        <v>719</v>
      </c>
      <c r="R544" t="s">
        <v>732</v>
      </c>
      <c r="S544" t="s">
        <v>1274</v>
      </c>
      <c r="T544" s="6">
        <v>1370.28</v>
      </c>
      <c r="U544" s="8">
        <v>2209.66</v>
      </c>
      <c r="V544" s="8">
        <f t="shared" si="136"/>
        <v>2209.66</v>
      </c>
      <c r="W544" s="8" t="str">
        <f t="shared" si="137"/>
        <v>High</v>
      </c>
      <c r="X544" s="15">
        <v>0.13300000000000001</v>
      </c>
      <c r="Y544" s="15">
        <f t="shared" si="138"/>
        <v>0.13300000000000001</v>
      </c>
      <c r="Z544" t="str">
        <f t="shared" si="139"/>
        <v>No</v>
      </c>
      <c r="AA544" s="17">
        <v>16</v>
      </c>
      <c r="AB544" s="8">
        <f t="shared" si="140"/>
        <v>30652.403519999996</v>
      </c>
      <c r="AC544" s="8">
        <f t="shared" si="141"/>
        <v>21924.48</v>
      </c>
      <c r="AD544" s="8">
        <f t="shared" si="142"/>
        <v>8727.9235199999966</v>
      </c>
      <c r="AE544" s="15">
        <f t="shared" si="143"/>
        <v>0.28473863442079589</v>
      </c>
      <c r="AF544" s="34">
        <f>MIN(Y544,'Scenario Modeling'!$B$2)</f>
        <v>0.13300000000000001</v>
      </c>
      <c r="AG544">
        <f>ROUND(AA544 * (1 + 'Scenario Modeling'!$B$4), 0)</f>
        <v>16</v>
      </c>
      <c r="AH544">
        <f>T544 * (1 + 'Scenario Modeling'!$B$3)</f>
        <v>1370.28</v>
      </c>
      <c r="AI544" s="8">
        <f t="shared" si="144"/>
        <v>30652.403519999996</v>
      </c>
      <c r="AJ544" s="8">
        <f t="shared" si="145"/>
        <v>8727.9235199999966</v>
      </c>
    </row>
    <row r="545" spans="1:36">
      <c r="A545" t="s">
        <v>557</v>
      </c>
      <c r="B545" s="4">
        <v>44968</v>
      </c>
      <c r="C545" s="28">
        <v>44968</v>
      </c>
      <c r="D545" s="28" t="str">
        <f t="shared" si="130"/>
        <v>Q1-2023</v>
      </c>
      <c r="E545" s="4">
        <v>44969</v>
      </c>
      <c r="F545" s="4">
        <v>44969</v>
      </c>
      <c r="G545" s="17">
        <f t="shared" si="131"/>
        <v>1</v>
      </c>
      <c r="H545" s="17">
        <f t="shared" si="132"/>
        <v>1</v>
      </c>
      <c r="I545" t="str">
        <f t="shared" si="133"/>
        <v>Yes</v>
      </c>
      <c r="J545" s="2">
        <f t="shared" si="134"/>
        <v>44941</v>
      </c>
      <c r="K545" t="s">
        <v>646</v>
      </c>
      <c r="L545" t="s">
        <v>651</v>
      </c>
      <c r="M545" t="s">
        <v>663</v>
      </c>
      <c r="N545" t="str">
        <f t="shared" si="135"/>
        <v>Africa - Nigeria - Port Harcourt</v>
      </c>
      <c r="O545" t="s">
        <v>703</v>
      </c>
      <c r="P545" t="s">
        <v>711</v>
      </c>
      <c r="Q545" t="s">
        <v>726</v>
      </c>
      <c r="R545" t="s">
        <v>733</v>
      </c>
      <c r="S545" t="s">
        <v>1275</v>
      </c>
      <c r="T545" s="6">
        <v>944.61</v>
      </c>
      <c r="U545" s="8">
        <v>839.04</v>
      </c>
      <c r="V545" s="8">
        <f t="shared" si="136"/>
        <v>839.04</v>
      </c>
      <c r="W545" s="8" t="str">
        <f t="shared" si="137"/>
        <v>Medium</v>
      </c>
      <c r="X545" s="15">
        <v>5.8999999999999997E-2</v>
      </c>
      <c r="Y545" s="15">
        <f t="shared" si="138"/>
        <v>5.8999999999999997E-2</v>
      </c>
      <c r="Z545" t="str">
        <f t="shared" si="139"/>
        <v>No</v>
      </c>
      <c r="AA545" s="17">
        <v>6</v>
      </c>
      <c r="AB545" s="8">
        <f t="shared" si="140"/>
        <v>4737.2198399999997</v>
      </c>
      <c r="AC545" s="8">
        <f t="shared" si="141"/>
        <v>5667.66</v>
      </c>
      <c r="AD545" s="8">
        <f t="shared" si="142"/>
        <v>-930.44016000000011</v>
      </c>
      <c r="AE545" s="15">
        <f t="shared" si="143"/>
        <v>-0.19641059343363726</v>
      </c>
      <c r="AF545" s="34">
        <f>MIN(Y545,'Scenario Modeling'!$B$2)</f>
        <v>5.8999999999999997E-2</v>
      </c>
      <c r="AG545">
        <f>ROUND(AA545 * (1 + 'Scenario Modeling'!$B$4), 0)</f>
        <v>6</v>
      </c>
      <c r="AH545">
        <f>T545 * (1 + 'Scenario Modeling'!$B$3)</f>
        <v>944.61</v>
      </c>
      <c r="AI545" s="8">
        <f t="shared" si="144"/>
        <v>4737.2198399999997</v>
      </c>
      <c r="AJ545" s="8">
        <f t="shared" si="145"/>
        <v>-930.44016000000011</v>
      </c>
    </row>
    <row r="546" spans="1:36">
      <c r="A546" t="s">
        <v>558</v>
      </c>
      <c r="B546" s="4">
        <v>45108</v>
      </c>
      <c r="C546" s="28">
        <v>45108</v>
      </c>
      <c r="D546" s="28" t="str">
        <f t="shared" si="130"/>
        <v>Q3-2023</v>
      </c>
      <c r="E546" s="4">
        <v>45115</v>
      </c>
      <c r="F546" s="4">
        <v>45115</v>
      </c>
      <c r="G546" s="17">
        <f t="shared" si="131"/>
        <v>7</v>
      </c>
      <c r="H546" s="17">
        <f t="shared" si="132"/>
        <v>7</v>
      </c>
      <c r="I546" t="str">
        <f t="shared" si="133"/>
        <v>Yes</v>
      </c>
      <c r="J546" s="2">
        <f t="shared" si="134"/>
        <v>44948</v>
      </c>
      <c r="K546" t="s">
        <v>649</v>
      </c>
      <c r="L546" t="s">
        <v>656</v>
      </c>
      <c r="M546" t="s">
        <v>698</v>
      </c>
      <c r="N546" t="str">
        <f t="shared" si="135"/>
        <v>Europe - Germany - Frankfurt</v>
      </c>
      <c r="O546" t="s">
        <v>705</v>
      </c>
      <c r="P546" t="s">
        <v>710</v>
      </c>
      <c r="Q546" t="s">
        <v>725</v>
      </c>
      <c r="R546" t="s">
        <v>731</v>
      </c>
      <c r="S546" t="s">
        <v>1276</v>
      </c>
      <c r="T546" s="6">
        <v>460.21</v>
      </c>
      <c r="U546" s="8">
        <v>1139.1500000000001</v>
      </c>
      <c r="V546" s="8">
        <f t="shared" si="136"/>
        <v>1139.1500000000001</v>
      </c>
      <c r="W546" s="8" t="str">
        <f t="shared" si="137"/>
        <v>Medium</v>
      </c>
      <c r="X546" s="15">
        <v>0.115</v>
      </c>
      <c r="Y546" s="15">
        <f t="shared" si="138"/>
        <v>0.115</v>
      </c>
      <c r="Z546" t="str">
        <f t="shared" si="139"/>
        <v>No</v>
      </c>
      <c r="AA546" s="17">
        <v>14</v>
      </c>
      <c r="AB546" s="8">
        <f t="shared" si="140"/>
        <v>14114.068500000001</v>
      </c>
      <c r="AC546" s="8">
        <f t="shared" si="141"/>
        <v>6442.94</v>
      </c>
      <c r="AD546" s="8">
        <f t="shared" si="142"/>
        <v>7671.1285000000016</v>
      </c>
      <c r="AE546" s="15">
        <f t="shared" si="143"/>
        <v>0.54350937151821255</v>
      </c>
      <c r="AF546" s="34">
        <f>MIN(Y546,'Scenario Modeling'!$B$2)</f>
        <v>0.115</v>
      </c>
      <c r="AG546">
        <f>ROUND(AA546 * (1 + 'Scenario Modeling'!$B$4), 0)</f>
        <v>14</v>
      </c>
      <c r="AH546">
        <f>T546 * (1 + 'Scenario Modeling'!$B$3)</f>
        <v>460.21</v>
      </c>
      <c r="AI546" s="8">
        <f t="shared" si="144"/>
        <v>14114.068500000001</v>
      </c>
      <c r="AJ546" s="8">
        <f t="shared" si="145"/>
        <v>7671.1285000000016</v>
      </c>
    </row>
    <row r="547" spans="1:36">
      <c r="A547" t="s">
        <v>559</v>
      </c>
      <c r="B547" s="4">
        <v>45889</v>
      </c>
      <c r="C547" s="28">
        <v>45889</v>
      </c>
      <c r="D547" s="28" t="str">
        <f t="shared" si="130"/>
        <v>Q3-2025</v>
      </c>
      <c r="E547" s="4">
        <v>45895</v>
      </c>
      <c r="F547" s="4">
        <v>45895</v>
      </c>
      <c r="G547" s="17">
        <f t="shared" si="131"/>
        <v>6</v>
      </c>
      <c r="H547" s="17">
        <f t="shared" si="132"/>
        <v>6</v>
      </c>
      <c r="I547" t="str">
        <f t="shared" si="133"/>
        <v>Yes</v>
      </c>
      <c r="J547" s="2">
        <f t="shared" si="134"/>
        <v>44939</v>
      </c>
      <c r="K547" t="s">
        <v>648</v>
      </c>
      <c r="L547" t="s">
        <v>660</v>
      </c>
      <c r="M547" t="s">
        <v>700</v>
      </c>
      <c r="N547" t="str">
        <f t="shared" si="135"/>
        <v>Americas - USA - New York</v>
      </c>
      <c r="O547" t="s">
        <v>701</v>
      </c>
      <c r="P547" t="s">
        <v>707</v>
      </c>
      <c r="Q547" t="s">
        <v>724</v>
      </c>
      <c r="R547" t="s">
        <v>729</v>
      </c>
      <c r="S547" t="s">
        <v>1277</v>
      </c>
      <c r="T547" s="6">
        <v>1304.95</v>
      </c>
      <c r="U547" s="8">
        <v>1712.03</v>
      </c>
      <c r="V547" s="8">
        <f t="shared" si="136"/>
        <v>1712.03</v>
      </c>
      <c r="W547" s="8" t="str">
        <f t="shared" si="137"/>
        <v>High</v>
      </c>
      <c r="X547" s="15">
        <v>0.21199999999999999</v>
      </c>
      <c r="Y547" s="15">
        <f t="shared" si="138"/>
        <v>0.21199999999999999</v>
      </c>
      <c r="Z547" t="str">
        <f t="shared" si="139"/>
        <v>Yes</v>
      </c>
      <c r="AA547" s="17">
        <v>8</v>
      </c>
      <c r="AB547" s="8">
        <f t="shared" si="140"/>
        <v>10792.637119999999</v>
      </c>
      <c r="AC547" s="8">
        <f t="shared" si="141"/>
        <v>10439.6</v>
      </c>
      <c r="AD547" s="8">
        <f t="shared" si="142"/>
        <v>353.03711999999905</v>
      </c>
      <c r="AE547" s="15">
        <f t="shared" si="143"/>
        <v>3.2710922833287949E-2</v>
      </c>
      <c r="AF547" s="34">
        <f>MIN(Y547,'Scenario Modeling'!$B$2)</f>
        <v>0.21199999999999999</v>
      </c>
      <c r="AG547">
        <f>ROUND(AA547 * (1 + 'Scenario Modeling'!$B$4), 0)</f>
        <v>8</v>
      </c>
      <c r="AH547">
        <f>T547 * (1 + 'Scenario Modeling'!$B$3)</f>
        <v>1304.95</v>
      </c>
      <c r="AI547" s="8">
        <f t="shared" si="144"/>
        <v>10792.637119999999</v>
      </c>
      <c r="AJ547" s="8">
        <f t="shared" si="145"/>
        <v>353.03711999999905</v>
      </c>
    </row>
    <row r="548" spans="1:36">
      <c r="A548" t="s">
        <v>560</v>
      </c>
      <c r="B548" s="4">
        <v>45355</v>
      </c>
      <c r="C548" s="28">
        <v>45355</v>
      </c>
      <c r="D548" s="28" t="str">
        <f t="shared" si="130"/>
        <v>Q1-2024</v>
      </c>
      <c r="E548" s="4">
        <v>45367</v>
      </c>
      <c r="F548" s="4">
        <v>45367</v>
      </c>
      <c r="G548" s="17">
        <f t="shared" si="131"/>
        <v>12</v>
      </c>
      <c r="H548" s="17">
        <f t="shared" si="132"/>
        <v>12</v>
      </c>
      <c r="I548" t="str">
        <f t="shared" si="133"/>
        <v>No</v>
      </c>
      <c r="J548" s="2">
        <f t="shared" si="134"/>
        <v>44933</v>
      </c>
      <c r="K548" t="s">
        <v>646</v>
      </c>
      <c r="L548" t="s">
        <v>661</v>
      </c>
      <c r="M548" t="s">
        <v>682</v>
      </c>
      <c r="N548" t="str">
        <f t="shared" si="135"/>
        <v>Africa - South Africa - Johannesburg</v>
      </c>
      <c r="O548" t="s">
        <v>706</v>
      </c>
      <c r="P548" t="s">
        <v>710</v>
      </c>
      <c r="Q548" t="s">
        <v>724</v>
      </c>
      <c r="R548" t="s">
        <v>732</v>
      </c>
      <c r="S548" t="s">
        <v>1278</v>
      </c>
      <c r="T548" s="6">
        <v>441.08</v>
      </c>
      <c r="U548" s="8">
        <v>1054.29</v>
      </c>
      <c r="V548" s="8">
        <f t="shared" si="136"/>
        <v>1054.29</v>
      </c>
      <c r="W548" s="8" t="str">
        <f t="shared" si="137"/>
        <v>Medium</v>
      </c>
      <c r="X548" s="15">
        <v>0.23699999999999999</v>
      </c>
      <c r="Y548" s="15">
        <f t="shared" si="138"/>
        <v>0.23699999999999999</v>
      </c>
      <c r="Z548" t="str">
        <f t="shared" si="139"/>
        <v>Yes</v>
      </c>
      <c r="AA548" s="17">
        <v>6</v>
      </c>
      <c r="AB548" s="8">
        <f t="shared" si="140"/>
        <v>4826.5396199999996</v>
      </c>
      <c r="AC548" s="8">
        <f t="shared" si="141"/>
        <v>2646.48</v>
      </c>
      <c r="AD548" s="8">
        <f t="shared" si="142"/>
        <v>2180.0596199999995</v>
      </c>
      <c r="AE548" s="15">
        <f t="shared" si="143"/>
        <v>0.45168169985932899</v>
      </c>
      <c r="AF548" s="34">
        <f>MIN(Y548,'Scenario Modeling'!$B$2)</f>
        <v>0.23699999999999999</v>
      </c>
      <c r="AG548">
        <f>ROUND(AA548 * (1 + 'Scenario Modeling'!$B$4), 0)</f>
        <v>6</v>
      </c>
      <c r="AH548">
        <f>T548 * (1 + 'Scenario Modeling'!$B$3)</f>
        <v>441.08</v>
      </c>
      <c r="AI548" s="8">
        <f t="shared" si="144"/>
        <v>4826.5396199999996</v>
      </c>
      <c r="AJ548" s="8">
        <f t="shared" si="145"/>
        <v>2180.0596199999995</v>
      </c>
    </row>
    <row r="549" spans="1:36">
      <c r="A549" t="s">
        <v>561</v>
      </c>
      <c r="B549" s="4">
        <v>45177</v>
      </c>
      <c r="C549" s="28">
        <v>45177</v>
      </c>
      <c r="D549" s="28" t="str">
        <f t="shared" si="130"/>
        <v>Q3-2023</v>
      </c>
      <c r="E549" s="4">
        <v>45201</v>
      </c>
      <c r="F549" s="4">
        <v>45201</v>
      </c>
      <c r="G549" s="17">
        <f t="shared" si="131"/>
        <v>24</v>
      </c>
      <c r="H549" s="17">
        <f t="shared" si="132"/>
        <v>24</v>
      </c>
      <c r="I549" t="str">
        <f t="shared" si="133"/>
        <v>No</v>
      </c>
      <c r="J549" s="2">
        <f t="shared" si="134"/>
        <v>44928</v>
      </c>
      <c r="K549" t="s">
        <v>648</v>
      </c>
      <c r="L549" t="s">
        <v>653</v>
      </c>
      <c r="M549" t="s">
        <v>667</v>
      </c>
      <c r="N549" t="str">
        <f t="shared" si="135"/>
        <v>Americas - Canada - Toronto</v>
      </c>
      <c r="O549" t="s">
        <v>702</v>
      </c>
      <c r="P549" t="s">
        <v>711</v>
      </c>
      <c r="Q549" t="s">
        <v>720</v>
      </c>
      <c r="R549" t="s">
        <v>733</v>
      </c>
      <c r="S549" t="s">
        <v>1279</v>
      </c>
      <c r="T549" s="6">
        <v>1299.03</v>
      </c>
      <c r="U549" s="8">
        <v>2451.2199999999998</v>
      </c>
      <c r="V549" s="8">
        <f t="shared" si="136"/>
        <v>2451.2199999999998</v>
      </c>
      <c r="W549" s="8" t="str">
        <f t="shared" si="137"/>
        <v>High</v>
      </c>
      <c r="X549" s="15">
        <v>0.20799999999999999</v>
      </c>
      <c r="Y549" s="15">
        <f t="shared" si="138"/>
        <v>0.20799999999999999</v>
      </c>
      <c r="Z549" t="str">
        <f t="shared" si="139"/>
        <v>Yes</v>
      </c>
      <c r="AA549" s="17">
        <v>8</v>
      </c>
      <c r="AB549" s="8">
        <f t="shared" si="140"/>
        <v>15530.929919999999</v>
      </c>
      <c r="AC549" s="8">
        <f t="shared" si="141"/>
        <v>10392.24</v>
      </c>
      <c r="AD549" s="8">
        <f t="shared" si="142"/>
        <v>5138.6899199999989</v>
      </c>
      <c r="AE549" s="15">
        <f t="shared" si="143"/>
        <v>0.3308681416032041</v>
      </c>
      <c r="AF549" s="34">
        <f>MIN(Y549,'Scenario Modeling'!$B$2)</f>
        <v>0.20799999999999999</v>
      </c>
      <c r="AG549">
        <f>ROUND(AA549 * (1 + 'Scenario Modeling'!$B$4), 0)</f>
        <v>8</v>
      </c>
      <c r="AH549">
        <f>T549 * (1 + 'Scenario Modeling'!$B$3)</f>
        <v>1299.03</v>
      </c>
      <c r="AI549" s="8">
        <f t="shared" si="144"/>
        <v>15530.929919999999</v>
      </c>
      <c r="AJ549" s="8">
        <f t="shared" si="145"/>
        <v>5138.6899199999989</v>
      </c>
    </row>
    <row r="550" spans="1:36">
      <c r="A550" t="s">
        <v>562</v>
      </c>
      <c r="B550" s="4">
        <v>44985</v>
      </c>
      <c r="C550" s="28">
        <v>44985</v>
      </c>
      <c r="D550" s="28" t="str">
        <f t="shared" si="130"/>
        <v>Q1-2023</v>
      </c>
      <c r="E550" s="4">
        <v>44991</v>
      </c>
      <c r="F550" s="4">
        <v>44991</v>
      </c>
      <c r="G550" s="17">
        <f t="shared" si="131"/>
        <v>6</v>
      </c>
      <c r="H550" s="17">
        <f t="shared" si="132"/>
        <v>6</v>
      </c>
      <c r="I550" t="str">
        <f t="shared" si="133"/>
        <v>Yes</v>
      </c>
      <c r="J550" s="2">
        <f t="shared" si="134"/>
        <v>44948</v>
      </c>
      <c r="K550" t="s">
        <v>649</v>
      </c>
      <c r="L550" t="s">
        <v>656</v>
      </c>
      <c r="M550" t="s">
        <v>698</v>
      </c>
      <c r="N550" t="str">
        <f t="shared" si="135"/>
        <v>Europe - Germany - Frankfurt</v>
      </c>
      <c r="O550" t="s">
        <v>705</v>
      </c>
      <c r="P550" t="s">
        <v>709</v>
      </c>
      <c r="Q550" t="s">
        <v>726</v>
      </c>
      <c r="R550" t="s">
        <v>728</v>
      </c>
      <c r="S550" t="s">
        <v>1280</v>
      </c>
      <c r="T550" s="6">
        <v>880.02</v>
      </c>
      <c r="U550" s="8">
        <v>1251.21</v>
      </c>
      <c r="V550" s="8">
        <f t="shared" si="136"/>
        <v>1251.21</v>
      </c>
      <c r="W550" s="8" t="str">
        <f t="shared" si="137"/>
        <v>Medium</v>
      </c>
      <c r="X550" s="15">
        <v>0.123</v>
      </c>
      <c r="Y550" s="15">
        <f t="shared" si="138"/>
        <v>0.123</v>
      </c>
      <c r="Z550" t="str">
        <f t="shared" si="139"/>
        <v>No</v>
      </c>
      <c r="AA550" s="17">
        <v>29</v>
      </c>
      <c r="AB550" s="8">
        <f t="shared" si="140"/>
        <v>31822.023930000003</v>
      </c>
      <c r="AC550" s="8">
        <f t="shared" si="141"/>
        <v>25520.579999999998</v>
      </c>
      <c r="AD550" s="8">
        <f t="shared" si="142"/>
        <v>6301.4439300000049</v>
      </c>
      <c r="AE550" s="15">
        <f t="shared" si="143"/>
        <v>0.19802146915172672</v>
      </c>
      <c r="AF550" s="34">
        <f>MIN(Y550,'Scenario Modeling'!$B$2)</f>
        <v>0.123</v>
      </c>
      <c r="AG550">
        <f>ROUND(AA550 * (1 + 'Scenario Modeling'!$B$4), 0)</f>
        <v>29</v>
      </c>
      <c r="AH550">
        <f>T550 * (1 + 'Scenario Modeling'!$B$3)</f>
        <v>880.02</v>
      </c>
      <c r="AI550" s="8">
        <f t="shared" si="144"/>
        <v>31822.023930000003</v>
      </c>
      <c r="AJ550" s="8">
        <f t="shared" si="145"/>
        <v>6301.4439300000049</v>
      </c>
    </row>
    <row r="551" spans="1:36">
      <c r="A551" t="s">
        <v>563</v>
      </c>
      <c r="B551" s="4">
        <v>45486</v>
      </c>
      <c r="C551" s="28">
        <v>45486</v>
      </c>
      <c r="D551" s="28" t="str">
        <f t="shared" si="130"/>
        <v>Q3-2024</v>
      </c>
      <c r="E551" s="4">
        <v>45507</v>
      </c>
      <c r="F551" s="4">
        <v>45507</v>
      </c>
      <c r="G551" s="17">
        <f t="shared" si="131"/>
        <v>21</v>
      </c>
      <c r="H551" s="17">
        <f t="shared" si="132"/>
        <v>21</v>
      </c>
      <c r="I551" t="str">
        <f t="shared" si="133"/>
        <v>No</v>
      </c>
      <c r="J551" s="2">
        <f t="shared" si="134"/>
        <v>44955</v>
      </c>
      <c r="K551" t="s">
        <v>648</v>
      </c>
      <c r="L551" t="s">
        <v>655</v>
      </c>
      <c r="M551" t="s">
        <v>692</v>
      </c>
      <c r="N551" t="str">
        <f t="shared" si="135"/>
        <v>Americas - Brazil - Rio de Janeiro</v>
      </c>
      <c r="O551" t="s">
        <v>701</v>
      </c>
      <c r="P551" t="s">
        <v>709</v>
      </c>
      <c r="Q551" t="s">
        <v>724</v>
      </c>
      <c r="R551" t="s">
        <v>732</v>
      </c>
      <c r="S551" t="s">
        <v>1281</v>
      </c>
      <c r="T551" s="6">
        <v>702.98</v>
      </c>
      <c r="U551" s="8">
        <v>1104.8</v>
      </c>
      <c r="V551" s="8">
        <f t="shared" si="136"/>
        <v>1104.8</v>
      </c>
      <c r="W551" s="8" t="str">
        <f t="shared" si="137"/>
        <v>Medium</v>
      </c>
      <c r="X551" s="15">
        <v>0.17499999999999999</v>
      </c>
      <c r="Y551" s="15">
        <f t="shared" si="138"/>
        <v>0.17499999999999999</v>
      </c>
      <c r="Z551" t="str">
        <f t="shared" si="139"/>
        <v>No</v>
      </c>
      <c r="AA551" s="17">
        <v>12</v>
      </c>
      <c r="AB551" s="8">
        <f t="shared" si="140"/>
        <v>10937.519999999999</v>
      </c>
      <c r="AC551" s="8">
        <f t="shared" si="141"/>
        <v>8435.76</v>
      </c>
      <c r="AD551" s="8">
        <f t="shared" si="142"/>
        <v>2501.7599999999984</v>
      </c>
      <c r="AE551" s="15">
        <f t="shared" si="143"/>
        <v>0.22873192460448061</v>
      </c>
      <c r="AF551" s="34">
        <f>MIN(Y551,'Scenario Modeling'!$B$2)</f>
        <v>0.17499999999999999</v>
      </c>
      <c r="AG551">
        <f>ROUND(AA551 * (1 + 'Scenario Modeling'!$B$4), 0)</f>
        <v>12</v>
      </c>
      <c r="AH551">
        <f>T551 * (1 + 'Scenario Modeling'!$B$3)</f>
        <v>702.98</v>
      </c>
      <c r="AI551" s="8">
        <f t="shared" si="144"/>
        <v>10937.519999999999</v>
      </c>
      <c r="AJ551" s="8">
        <f t="shared" si="145"/>
        <v>2501.7599999999984</v>
      </c>
    </row>
    <row r="552" spans="1:36">
      <c r="A552" t="s">
        <v>564</v>
      </c>
      <c r="B552" s="4">
        <v>45633</v>
      </c>
      <c r="C552" s="28">
        <v>45633</v>
      </c>
      <c r="D552" s="28" t="str">
        <f t="shared" si="130"/>
        <v>Q4-2024</v>
      </c>
      <c r="E552" s="4">
        <v>45652</v>
      </c>
      <c r="F552" s="4">
        <v>45652</v>
      </c>
      <c r="G552" s="17">
        <f t="shared" si="131"/>
        <v>19</v>
      </c>
      <c r="H552" s="17">
        <f t="shared" si="132"/>
        <v>19</v>
      </c>
      <c r="I552" t="str">
        <f t="shared" si="133"/>
        <v>No</v>
      </c>
      <c r="J552" s="2">
        <f t="shared" si="134"/>
        <v>44945</v>
      </c>
      <c r="K552" t="s">
        <v>649</v>
      </c>
      <c r="L552" t="s">
        <v>658</v>
      </c>
      <c r="M552" t="s">
        <v>683</v>
      </c>
      <c r="N552" t="str">
        <f t="shared" si="135"/>
        <v>Europe - United Kingdom - London</v>
      </c>
      <c r="O552" t="s">
        <v>706</v>
      </c>
      <c r="P552" t="s">
        <v>708</v>
      </c>
      <c r="Q552" t="s">
        <v>726</v>
      </c>
      <c r="R552" t="s">
        <v>729</v>
      </c>
      <c r="S552" t="s">
        <v>1282</v>
      </c>
      <c r="T552" s="6">
        <v>1035.24</v>
      </c>
      <c r="U552" s="8">
        <v>2383.41</v>
      </c>
      <c r="V552" s="8">
        <f t="shared" si="136"/>
        <v>2383.41</v>
      </c>
      <c r="W552" s="8" t="str">
        <f t="shared" si="137"/>
        <v>High</v>
      </c>
      <c r="X552" s="15">
        <v>0.17</v>
      </c>
      <c r="Y552" s="15">
        <f t="shared" si="138"/>
        <v>0.17</v>
      </c>
      <c r="Z552" t="str">
        <f t="shared" si="139"/>
        <v>No</v>
      </c>
      <c r="AA552" s="17">
        <v>15</v>
      </c>
      <c r="AB552" s="8">
        <f t="shared" si="140"/>
        <v>29673.454499999993</v>
      </c>
      <c r="AC552" s="8">
        <f t="shared" si="141"/>
        <v>15528.6</v>
      </c>
      <c r="AD552" s="8">
        <f t="shared" si="142"/>
        <v>14144.854499999992</v>
      </c>
      <c r="AE552" s="15">
        <f t="shared" si="143"/>
        <v>0.47668378145860962</v>
      </c>
      <c r="AF552" s="34">
        <f>MIN(Y552,'Scenario Modeling'!$B$2)</f>
        <v>0.17</v>
      </c>
      <c r="AG552">
        <f>ROUND(AA552 * (1 + 'Scenario Modeling'!$B$4), 0)</f>
        <v>15</v>
      </c>
      <c r="AH552">
        <f>T552 * (1 + 'Scenario Modeling'!$B$3)</f>
        <v>1035.24</v>
      </c>
      <c r="AI552" s="8">
        <f t="shared" si="144"/>
        <v>29673.454499999993</v>
      </c>
      <c r="AJ552" s="8">
        <f t="shared" si="145"/>
        <v>14144.854499999992</v>
      </c>
    </row>
    <row r="553" spans="1:36">
      <c r="A553" t="s">
        <v>565</v>
      </c>
      <c r="B553" s="4">
        <v>45875</v>
      </c>
      <c r="C553" s="28">
        <v>45875</v>
      </c>
      <c r="D553" s="28" t="str">
        <f t="shared" si="130"/>
        <v>Q3-2025</v>
      </c>
      <c r="E553" s="4">
        <v>45892</v>
      </c>
      <c r="F553" s="4">
        <v>45892</v>
      </c>
      <c r="G553" s="17">
        <f t="shared" si="131"/>
        <v>17</v>
      </c>
      <c r="H553" s="17">
        <f t="shared" si="132"/>
        <v>17</v>
      </c>
      <c r="I553" t="str">
        <f t="shared" si="133"/>
        <v>No</v>
      </c>
      <c r="J553" s="2">
        <f t="shared" si="134"/>
        <v>44955</v>
      </c>
      <c r="K553" t="s">
        <v>648</v>
      </c>
      <c r="L553" t="s">
        <v>655</v>
      </c>
      <c r="M553" t="s">
        <v>672</v>
      </c>
      <c r="N553" t="str">
        <f t="shared" si="135"/>
        <v>Americas - Brazil - Brasília</v>
      </c>
      <c r="O553" t="s">
        <v>704</v>
      </c>
      <c r="P553" t="s">
        <v>710</v>
      </c>
      <c r="Q553" t="s">
        <v>720</v>
      </c>
      <c r="R553" t="s">
        <v>732</v>
      </c>
      <c r="S553" t="s">
        <v>1283</v>
      </c>
      <c r="T553" s="6">
        <v>86.64</v>
      </c>
      <c r="U553" s="8">
        <v>213.06</v>
      </c>
      <c r="V553" s="8">
        <f t="shared" si="136"/>
        <v>213.06</v>
      </c>
      <c r="W553" s="8" t="str">
        <f t="shared" si="137"/>
        <v>Low</v>
      </c>
      <c r="X553" s="15">
        <v>0.21199999999999999</v>
      </c>
      <c r="Y553" s="15">
        <f t="shared" si="138"/>
        <v>0.21199999999999999</v>
      </c>
      <c r="Z553" t="str">
        <f t="shared" si="139"/>
        <v>Yes</v>
      </c>
      <c r="AA553" s="17">
        <v>11</v>
      </c>
      <c r="AB553" s="8">
        <f t="shared" si="140"/>
        <v>1846.8040799999999</v>
      </c>
      <c r="AC553" s="8">
        <f t="shared" si="141"/>
        <v>953.04</v>
      </c>
      <c r="AD553" s="8">
        <f t="shared" si="142"/>
        <v>893.76407999999992</v>
      </c>
      <c r="AE553" s="15">
        <f t="shared" si="143"/>
        <v>0.48395175735154322</v>
      </c>
      <c r="AF553" s="34">
        <f>MIN(Y553,'Scenario Modeling'!$B$2)</f>
        <v>0.21199999999999999</v>
      </c>
      <c r="AG553">
        <f>ROUND(AA553 * (1 + 'Scenario Modeling'!$B$4), 0)</f>
        <v>11</v>
      </c>
      <c r="AH553">
        <f>T553 * (1 + 'Scenario Modeling'!$B$3)</f>
        <v>86.64</v>
      </c>
      <c r="AI553" s="8">
        <f t="shared" si="144"/>
        <v>1846.8040799999999</v>
      </c>
      <c r="AJ553" s="8">
        <f t="shared" si="145"/>
        <v>893.76407999999992</v>
      </c>
    </row>
    <row r="554" spans="1:36">
      <c r="A554" t="s">
        <v>566</v>
      </c>
      <c r="B554" s="4">
        <v>44988</v>
      </c>
      <c r="C554" s="28">
        <v>44988</v>
      </c>
      <c r="D554" s="28" t="str">
        <f t="shared" si="130"/>
        <v>Q1-2023</v>
      </c>
      <c r="E554" s="4">
        <v>45005</v>
      </c>
      <c r="F554" s="4">
        <v>45005</v>
      </c>
      <c r="G554" s="17">
        <f t="shared" si="131"/>
        <v>17</v>
      </c>
      <c r="H554" s="17">
        <f t="shared" si="132"/>
        <v>17</v>
      </c>
      <c r="I554" t="str">
        <f t="shared" si="133"/>
        <v>No</v>
      </c>
      <c r="J554" s="2">
        <f t="shared" si="134"/>
        <v>44988</v>
      </c>
      <c r="K554" t="s">
        <v>647</v>
      </c>
      <c r="L554" t="s">
        <v>652</v>
      </c>
      <c r="M554" t="s">
        <v>694</v>
      </c>
      <c r="N554" t="str">
        <f t="shared" si="135"/>
        <v>Asia - Japan - Nagoya</v>
      </c>
      <c r="O554" t="s">
        <v>705</v>
      </c>
      <c r="P554" t="s">
        <v>708</v>
      </c>
      <c r="Q554" t="s">
        <v>726</v>
      </c>
      <c r="R554" t="s">
        <v>729</v>
      </c>
      <c r="S554" t="s">
        <v>1284</v>
      </c>
      <c r="T554" s="6">
        <v>1171.17</v>
      </c>
      <c r="U554" s="8">
        <v>2030.64</v>
      </c>
      <c r="V554" s="8">
        <f t="shared" si="136"/>
        <v>2030.64</v>
      </c>
      <c r="W554" s="8" t="str">
        <f t="shared" si="137"/>
        <v>High</v>
      </c>
      <c r="X554" s="15">
        <v>0.157</v>
      </c>
      <c r="Y554" s="15">
        <f t="shared" si="138"/>
        <v>0.157</v>
      </c>
      <c r="Z554" t="str">
        <f t="shared" si="139"/>
        <v>No</v>
      </c>
      <c r="AA554" s="17">
        <v>11</v>
      </c>
      <c r="AB554" s="8">
        <f t="shared" si="140"/>
        <v>18830.12472</v>
      </c>
      <c r="AC554" s="8">
        <f t="shared" si="141"/>
        <v>12882.87</v>
      </c>
      <c r="AD554" s="8">
        <f t="shared" si="142"/>
        <v>5947.254719999999</v>
      </c>
      <c r="AE554" s="15">
        <f t="shared" si="143"/>
        <v>0.31583724528830415</v>
      </c>
      <c r="AF554" s="34">
        <f>MIN(Y554,'Scenario Modeling'!$B$2)</f>
        <v>0.157</v>
      </c>
      <c r="AG554">
        <f>ROUND(AA554 * (1 + 'Scenario Modeling'!$B$4), 0)</f>
        <v>11</v>
      </c>
      <c r="AH554">
        <f>T554 * (1 + 'Scenario Modeling'!$B$3)</f>
        <v>1171.17</v>
      </c>
      <c r="AI554" s="8">
        <f t="shared" si="144"/>
        <v>18830.12472</v>
      </c>
      <c r="AJ554" s="8">
        <f t="shared" si="145"/>
        <v>5947.254719999999</v>
      </c>
    </row>
    <row r="555" spans="1:36">
      <c r="A555" t="s">
        <v>567</v>
      </c>
      <c r="B555" s="4">
        <v>45704</v>
      </c>
      <c r="C555" s="28">
        <v>45704</v>
      </c>
      <c r="D555" s="28" t="str">
        <f t="shared" si="130"/>
        <v>Q1-2025</v>
      </c>
      <c r="E555" s="4">
        <v>45733</v>
      </c>
      <c r="F555" s="4">
        <v>45733</v>
      </c>
      <c r="G555" s="17">
        <f t="shared" si="131"/>
        <v>29</v>
      </c>
      <c r="H555" s="17">
        <f t="shared" si="132"/>
        <v>29</v>
      </c>
      <c r="I555" t="str">
        <f t="shared" si="133"/>
        <v>No</v>
      </c>
      <c r="J555" s="2">
        <f t="shared" si="134"/>
        <v>44948</v>
      </c>
      <c r="K555" t="s">
        <v>649</v>
      </c>
      <c r="L555" t="s">
        <v>656</v>
      </c>
      <c r="M555" t="s">
        <v>684</v>
      </c>
      <c r="N555" t="str">
        <f t="shared" si="135"/>
        <v>Europe - Germany - Munich</v>
      </c>
      <c r="O555" t="s">
        <v>704</v>
      </c>
      <c r="P555" t="s">
        <v>707</v>
      </c>
      <c r="Q555" t="s">
        <v>716</v>
      </c>
      <c r="R555" t="s">
        <v>733</v>
      </c>
      <c r="S555" t="s">
        <v>1285</v>
      </c>
      <c r="T555" s="6">
        <v>730.42</v>
      </c>
      <c r="U555" s="8">
        <v>956.7</v>
      </c>
      <c r="V555" s="8">
        <f t="shared" si="136"/>
        <v>956.7</v>
      </c>
      <c r="W555" s="8" t="str">
        <f t="shared" si="137"/>
        <v>Medium</v>
      </c>
      <c r="X555" s="15">
        <v>4.2000000000000003E-2</v>
      </c>
      <c r="Y555" s="15">
        <f t="shared" si="138"/>
        <v>4.2000000000000003E-2</v>
      </c>
      <c r="Z555" t="str">
        <f t="shared" si="139"/>
        <v>No</v>
      </c>
      <c r="AA555" s="17">
        <v>22</v>
      </c>
      <c r="AB555" s="8">
        <f t="shared" si="140"/>
        <v>20163.409200000002</v>
      </c>
      <c r="AC555" s="8">
        <f t="shared" si="141"/>
        <v>16069.24</v>
      </c>
      <c r="AD555" s="8">
        <f t="shared" si="142"/>
        <v>4094.1692000000021</v>
      </c>
      <c r="AE555" s="15">
        <f t="shared" si="143"/>
        <v>0.20304945256975698</v>
      </c>
      <c r="AF555" s="34">
        <f>MIN(Y555,'Scenario Modeling'!$B$2)</f>
        <v>4.2000000000000003E-2</v>
      </c>
      <c r="AG555">
        <f>ROUND(AA555 * (1 + 'Scenario Modeling'!$B$4), 0)</f>
        <v>22</v>
      </c>
      <c r="AH555">
        <f>T555 * (1 + 'Scenario Modeling'!$B$3)</f>
        <v>730.42</v>
      </c>
      <c r="AI555" s="8">
        <f t="shared" si="144"/>
        <v>20163.409200000002</v>
      </c>
      <c r="AJ555" s="8">
        <f t="shared" si="145"/>
        <v>4094.1692000000021</v>
      </c>
    </row>
    <row r="556" spans="1:36">
      <c r="A556" t="s">
        <v>568</v>
      </c>
      <c r="B556" s="4">
        <v>45703</v>
      </c>
      <c r="C556" s="28">
        <v>45703</v>
      </c>
      <c r="D556" s="28" t="str">
        <f t="shared" si="130"/>
        <v>Q1-2025</v>
      </c>
      <c r="E556" s="4">
        <v>45717</v>
      </c>
      <c r="F556" s="4">
        <v>45717</v>
      </c>
      <c r="G556" s="17">
        <f t="shared" si="131"/>
        <v>14</v>
      </c>
      <c r="H556" s="17">
        <f t="shared" si="132"/>
        <v>14</v>
      </c>
      <c r="I556" t="str">
        <f t="shared" si="133"/>
        <v>No</v>
      </c>
      <c r="J556" s="2">
        <f t="shared" si="134"/>
        <v>44946</v>
      </c>
      <c r="K556" t="s">
        <v>646</v>
      </c>
      <c r="L556" t="s">
        <v>650</v>
      </c>
      <c r="M556" t="s">
        <v>675</v>
      </c>
      <c r="N556" t="str">
        <f t="shared" si="135"/>
        <v>Africa - Kenya - Mombasa</v>
      </c>
      <c r="O556" t="s">
        <v>702</v>
      </c>
      <c r="P556" t="s">
        <v>711</v>
      </c>
      <c r="Q556" t="s">
        <v>716</v>
      </c>
      <c r="R556" t="s">
        <v>733</v>
      </c>
      <c r="S556" t="s">
        <v>1286</v>
      </c>
      <c r="T556" s="6">
        <v>1162.8599999999999</v>
      </c>
      <c r="U556" s="8">
        <v>1447.68</v>
      </c>
      <c r="V556" s="8">
        <f t="shared" si="136"/>
        <v>1447.68</v>
      </c>
      <c r="W556" s="8" t="str">
        <f t="shared" si="137"/>
        <v>Medium</v>
      </c>
      <c r="X556" s="15">
        <v>8.6999999999999994E-2</v>
      </c>
      <c r="Y556" s="15">
        <f t="shared" si="138"/>
        <v>8.6999999999999994E-2</v>
      </c>
      <c r="Z556" t="str">
        <f t="shared" si="139"/>
        <v>No</v>
      </c>
      <c r="AA556" s="17">
        <v>12</v>
      </c>
      <c r="AB556" s="8">
        <f t="shared" si="140"/>
        <v>15860.782080000001</v>
      </c>
      <c r="AC556" s="8">
        <f t="shared" si="141"/>
        <v>13954.32</v>
      </c>
      <c r="AD556" s="8">
        <f t="shared" si="142"/>
        <v>1906.4620800000012</v>
      </c>
      <c r="AE556" s="15">
        <f t="shared" si="143"/>
        <v>0.12019975247021369</v>
      </c>
      <c r="AF556" s="34">
        <f>MIN(Y556,'Scenario Modeling'!$B$2)</f>
        <v>8.6999999999999994E-2</v>
      </c>
      <c r="AG556">
        <f>ROUND(AA556 * (1 + 'Scenario Modeling'!$B$4), 0)</f>
        <v>12</v>
      </c>
      <c r="AH556">
        <f>T556 * (1 + 'Scenario Modeling'!$B$3)</f>
        <v>1162.8599999999999</v>
      </c>
      <c r="AI556" s="8">
        <f t="shared" si="144"/>
        <v>15860.782080000001</v>
      </c>
      <c r="AJ556" s="8">
        <f t="shared" si="145"/>
        <v>1906.4620800000012</v>
      </c>
    </row>
    <row r="557" spans="1:36">
      <c r="A557" t="s">
        <v>569</v>
      </c>
      <c r="B557" s="4">
        <v>45535</v>
      </c>
      <c r="C557" s="28">
        <v>45535</v>
      </c>
      <c r="D557" s="28" t="str">
        <f t="shared" si="130"/>
        <v>Q3-2024</v>
      </c>
      <c r="E557" s="4">
        <v>45561</v>
      </c>
      <c r="F557" s="4">
        <v>45561</v>
      </c>
      <c r="G557" s="17">
        <f t="shared" si="131"/>
        <v>26</v>
      </c>
      <c r="H557" s="17">
        <f t="shared" si="132"/>
        <v>26</v>
      </c>
      <c r="I557" t="str">
        <f t="shared" si="133"/>
        <v>No</v>
      </c>
      <c r="J557" s="2">
        <f t="shared" si="134"/>
        <v>44988</v>
      </c>
      <c r="K557" t="s">
        <v>647</v>
      </c>
      <c r="L557" t="s">
        <v>652</v>
      </c>
      <c r="M557" t="s">
        <v>689</v>
      </c>
      <c r="N557" t="str">
        <f t="shared" si="135"/>
        <v>Asia - Japan - Tokyo</v>
      </c>
      <c r="O557" t="s">
        <v>702</v>
      </c>
      <c r="P557" t="s">
        <v>708</v>
      </c>
      <c r="Q557" t="s">
        <v>714</v>
      </c>
      <c r="R557" t="s">
        <v>730</v>
      </c>
      <c r="S557" t="s">
        <v>1287</v>
      </c>
      <c r="T557" s="6">
        <v>1189.03</v>
      </c>
      <c r="U557" s="8">
        <v>2949.62</v>
      </c>
      <c r="V557" s="8">
        <f t="shared" si="136"/>
        <v>2949.62</v>
      </c>
      <c r="W557" s="8" t="str">
        <f t="shared" si="137"/>
        <v>High</v>
      </c>
      <c r="X557" s="15">
        <v>0.125</v>
      </c>
      <c r="Y557" s="15">
        <f t="shared" si="138"/>
        <v>0.125</v>
      </c>
      <c r="Z557" t="str">
        <f t="shared" si="139"/>
        <v>No</v>
      </c>
      <c r="AA557" s="17">
        <v>13</v>
      </c>
      <c r="AB557" s="8">
        <f t="shared" si="140"/>
        <v>33551.927499999998</v>
      </c>
      <c r="AC557" s="8">
        <f t="shared" si="141"/>
        <v>15457.39</v>
      </c>
      <c r="AD557" s="8">
        <f t="shared" si="142"/>
        <v>18094.537499999999</v>
      </c>
      <c r="AE557" s="15">
        <f t="shared" si="143"/>
        <v>0.53929949330034765</v>
      </c>
      <c r="AF557" s="34">
        <f>MIN(Y557,'Scenario Modeling'!$B$2)</f>
        <v>0.125</v>
      </c>
      <c r="AG557">
        <f>ROUND(AA557 * (1 + 'Scenario Modeling'!$B$4), 0)</f>
        <v>13</v>
      </c>
      <c r="AH557">
        <f>T557 * (1 + 'Scenario Modeling'!$B$3)</f>
        <v>1189.03</v>
      </c>
      <c r="AI557" s="8">
        <f t="shared" si="144"/>
        <v>33551.927499999998</v>
      </c>
      <c r="AJ557" s="8">
        <f t="shared" si="145"/>
        <v>18094.537499999999</v>
      </c>
    </row>
    <row r="558" spans="1:36">
      <c r="A558" t="s">
        <v>570</v>
      </c>
      <c r="B558" s="4">
        <v>45053</v>
      </c>
      <c r="C558" s="28">
        <v>45053</v>
      </c>
      <c r="D558" s="28" t="str">
        <f t="shared" si="130"/>
        <v>Q2-2023</v>
      </c>
      <c r="E558" s="4">
        <v>45066</v>
      </c>
      <c r="F558" s="4">
        <v>45066</v>
      </c>
      <c r="G558" s="17">
        <f t="shared" si="131"/>
        <v>13</v>
      </c>
      <c r="H558" s="17">
        <f t="shared" si="132"/>
        <v>13</v>
      </c>
      <c r="I558" t="str">
        <f t="shared" si="133"/>
        <v>No</v>
      </c>
      <c r="J558" s="2">
        <f t="shared" si="134"/>
        <v>44955</v>
      </c>
      <c r="K558" t="s">
        <v>647</v>
      </c>
      <c r="L558" t="s">
        <v>654</v>
      </c>
      <c r="M558" t="s">
        <v>691</v>
      </c>
      <c r="N558" t="str">
        <f t="shared" si="135"/>
        <v>Asia - India - Mumbai</v>
      </c>
      <c r="O558" t="s">
        <v>706</v>
      </c>
      <c r="P558" t="s">
        <v>707</v>
      </c>
      <c r="Q558" t="s">
        <v>726</v>
      </c>
      <c r="R558" t="s">
        <v>733</v>
      </c>
      <c r="S558" t="s">
        <v>1288</v>
      </c>
      <c r="T558" s="6">
        <v>1443.28</v>
      </c>
      <c r="U558" s="8">
        <v>2580.5700000000002</v>
      </c>
      <c r="V558" s="8">
        <f t="shared" si="136"/>
        <v>2580.5700000000002</v>
      </c>
      <c r="W558" s="8" t="str">
        <f t="shared" si="137"/>
        <v>High</v>
      </c>
      <c r="X558" s="15">
        <v>0</v>
      </c>
      <c r="Y558" s="15">
        <f t="shared" si="138"/>
        <v>0</v>
      </c>
      <c r="Z558" t="str">
        <f t="shared" si="139"/>
        <v>No</v>
      </c>
      <c r="AA558" s="17">
        <v>18</v>
      </c>
      <c r="AB558" s="8">
        <f t="shared" si="140"/>
        <v>46450.26</v>
      </c>
      <c r="AC558" s="8">
        <f t="shared" si="141"/>
        <v>25979.040000000001</v>
      </c>
      <c r="AD558" s="8">
        <f t="shared" si="142"/>
        <v>20471.22</v>
      </c>
      <c r="AE558" s="15">
        <f t="shared" si="143"/>
        <v>0.4407127107577008</v>
      </c>
      <c r="AF558" s="34">
        <f>MIN(Y558,'Scenario Modeling'!$B$2)</f>
        <v>0</v>
      </c>
      <c r="AG558">
        <f>ROUND(AA558 * (1 + 'Scenario Modeling'!$B$4), 0)</f>
        <v>18</v>
      </c>
      <c r="AH558">
        <f>T558 * (1 + 'Scenario Modeling'!$B$3)</f>
        <v>1443.28</v>
      </c>
      <c r="AI558" s="8">
        <f t="shared" si="144"/>
        <v>46450.26</v>
      </c>
      <c r="AJ558" s="8">
        <f t="shared" si="145"/>
        <v>20471.22</v>
      </c>
    </row>
    <row r="559" spans="1:36">
      <c r="A559" t="s">
        <v>571</v>
      </c>
      <c r="B559" s="4">
        <v>45791</v>
      </c>
      <c r="C559" s="28">
        <v>45791</v>
      </c>
      <c r="D559" s="28" t="str">
        <f t="shared" si="130"/>
        <v>Q2-2025</v>
      </c>
      <c r="E559" s="4">
        <v>45789</v>
      </c>
      <c r="F559" s="4">
        <f>B559+6</f>
        <v>45797</v>
      </c>
      <c r="G559" s="17">
        <f t="shared" si="131"/>
        <v>-2</v>
      </c>
      <c r="H559" s="17">
        <f t="shared" si="132"/>
        <v>6</v>
      </c>
      <c r="I559" t="str">
        <f t="shared" si="133"/>
        <v>Yes</v>
      </c>
      <c r="J559" s="2">
        <f t="shared" si="134"/>
        <v>44928</v>
      </c>
      <c r="K559" t="s">
        <v>648</v>
      </c>
      <c r="L559" t="s">
        <v>653</v>
      </c>
      <c r="M559" t="s">
        <v>688</v>
      </c>
      <c r="N559" t="str">
        <f t="shared" si="135"/>
        <v>Americas - Canada - Vancouver</v>
      </c>
      <c r="O559" t="s">
        <v>703</v>
      </c>
      <c r="P559" t="s">
        <v>710</v>
      </c>
      <c r="Q559" t="s">
        <v>721</v>
      </c>
      <c r="R559" t="s">
        <v>728</v>
      </c>
      <c r="S559" t="s">
        <v>1289</v>
      </c>
      <c r="T559" s="6">
        <v>883.5</v>
      </c>
      <c r="U559" s="8">
        <v>1978.91</v>
      </c>
      <c r="V559" s="8">
        <f t="shared" si="136"/>
        <v>1978.91</v>
      </c>
      <c r="W559" s="8" t="str">
        <f t="shared" si="137"/>
        <v>High</v>
      </c>
      <c r="X559" s="15">
        <v>5.3999999999999999E-2</v>
      </c>
      <c r="Y559" s="15">
        <f t="shared" si="138"/>
        <v>5.3999999999999999E-2</v>
      </c>
      <c r="Z559" t="str">
        <f t="shared" si="139"/>
        <v>No</v>
      </c>
      <c r="AA559" s="17">
        <v>27</v>
      </c>
      <c r="AB559" s="8">
        <f t="shared" si="140"/>
        <v>50545.319219999998</v>
      </c>
      <c r="AC559" s="8">
        <f t="shared" si="141"/>
        <v>23854.5</v>
      </c>
      <c r="AD559" s="8">
        <f t="shared" si="142"/>
        <v>26690.819219999998</v>
      </c>
      <c r="AE559" s="15">
        <f t="shared" si="143"/>
        <v>0.52805718970390547</v>
      </c>
      <c r="AF559" s="34">
        <f>MIN(Y559,'Scenario Modeling'!$B$2)</f>
        <v>5.3999999999999999E-2</v>
      </c>
      <c r="AG559">
        <f>ROUND(AA559 * (1 + 'Scenario Modeling'!$B$4), 0)</f>
        <v>27</v>
      </c>
      <c r="AH559">
        <f>T559 * (1 + 'Scenario Modeling'!$B$3)</f>
        <v>883.5</v>
      </c>
      <c r="AI559" s="8">
        <f t="shared" si="144"/>
        <v>50545.319219999998</v>
      </c>
      <c r="AJ559" s="8">
        <f t="shared" si="145"/>
        <v>26690.819219999998</v>
      </c>
    </row>
    <row r="560" spans="1:36">
      <c r="A560" t="s">
        <v>572</v>
      </c>
      <c r="B560" s="4">
        <v>45362</v>
      </c>
      <c r="C560" s="28">
        <v>45362</v>
      </c>
      <c r="D560" s="28" t="str">
        <f t="shared" si="130"/>
        <v>Q1-2024</v>
      </c>
      <c r="E560" s="4">
        <v>45380</v>
      </c>
      <c r="F560" s="4">
        <v>45380</v>
      </c>
      <c r="G560" s="17">
        <f t="shared" si="131"/>
        <v>18</v>
      </c>
      <c r="H560" s="17">
        <f t="shared" si="132"/>
        <v>18</v>
      </c>
      <c r="I560" t="str">
        <f t="shared" si="133"/>
        <v>No</v>
      </c>
      <c r="J560" s="2">
        <f t="shared" si="134"/>
        <v>44939</v>
      </c>
      <c r="K560" t="s">
        <v>648</v>
      </c>
      <c r="L560" t="s">
        <v>660</v>
      </c>
      <c r="M560" t="s">
        <v>700</v>
      </c>
      <c r="N560" t="str">
        <f t="shared" si="135"/>
        <v>Americas - USA - New York</v>
      </c>
      <c r="O560" t="s">
        <v>701</v>
      </c>
      <c r="P560" t="s">
        <v>707</v>
      </c>
      <c r="Q560" t="s">
        <v>724</v>
      </c>
      <c r="R560" t="s">
        <v>732</v>
      </c>
      <c r="S560" t="s">
        <v>1290</v>
      </c>
      <c r="T560" s="6">
        <v>710.98</v>
      </c>
      <c r="U560" s="8">
        <v>1481.45</v>
      </c>
      <c r="V560" s="8">
        <f t="shared" si="136"/>
        <v>1481.45</v>
      </c>
      <c r="W560" s="8" t="str">
        <f t="shared" si="137"/>
        <v>Medium</v>
      </c>
      <c r="X560" s="15">
        <v>0.21099999999999999</v>
      </c>
      <c r="Y560" s="15">
        <f t="shared" si="138"/>
        <v>0.21099999999999999</v>
      </c>
      <c r="Z560" t="str">
        <f t="shared" si="139"/>
        <v>Yes</v>
      </c>
      <c r="AA560" s="17">
        <v>9</v>
      </c>
      <c r="AB560" s="8">
        <f t="shared" si="140"/>
        <v>10519.776450000001</v>
      </c>
      <c r="AC560" s="8">
        <f t="shared" si="141"/>
        <v>6398.82</v>
      </c>
      <c r="AD560" s="8">
        <f t="shared" si="142"/>
        <v>4120.9564500000015</v>
      </c>
      <c r="AE560" s="15">
        <f t="shared" si="143"/>
        <v>0.39173422264120461</v>
      </c>
      <c r="AF560" s="34">
        <f>MIN(Y560,'Scenario Modeling'!$B$2)</f>
        <v>0.21099999999999999</v>
      </c>
      <c r="AG560">
        <f>ROUND(AA560 * (1 + 'Scenario Modeling'!$B$4), 0)</f>
        <v>9</v>
      </c>
      <c r="AH560">
        <f>T560 * (1 + 'Scenario Modeling'!$B$3)</f>
        <v>710.98</v>
      </c>
      <c r="AI560" s="8">
        <f t="shared" si="144"/>
        <v>10519.776450000001</v>
      </c>
      <c r="AJ560" s="8">
        <f t="shared" si="145"/>
        <v>4120.9564500000015</v>
      </c>
    </row>
    <row r="561" spans="1:36">
      <c r="A561" t="s">
        <v>573</v>
      </c>
      <c r="B561" s="4">
        <v>45430</v>
      </c>
      <c r="C561" s="28">
        <v>45430</v>
      </c>
      <c r="D561" s="28" t="str">
        <f t="shared" si="130"/>
        <v>Q2-2024</v>
      </c>
      <c r="E561" s="4">
        <v>45434</v>
      </c>
      <c r="F561" s="4">
        <v>45434</v>
      </c>
      <c r="G561" s="17">
        <f t="shared" si="131"/>
        <v>4</v>
      </c>
      <c r="H561" s="17">
        <f t="shared" si="132"/>
        <v>4</v>
      </c>
      <c r="I561" t="str">
        <f t="shared" si="133"/>
        <v>Yes</v>
      </c>
      <c r="J561" s="2">
        <f t="shared" si="134"/>
        <v>44946</v>
      </c>
      <c r="K561" t="s">
        <v>646</v>
      </c>
      <c r="L561" t="s">
        <v>650</v>
      </c>
      <c r="M561" t="s">
        <v>664</v>
      </c>
      <c r="N561" t="str">
        <f t="shared" si="135"/>
        <v>Africa - Kenya - Nairobi</v>
      </c>
      <c r="O561" t="s">
        <v>701</v>
      </c>
      <c r="P561" t="s">
        <v>711</v>
      </c>
      <c r="Q561" t="s">
        <v>722</v>
      </c>
      <c r="R561" t="s">
        <v>733</v>
      </c>
      <c r="S561" t="s">
        <v>1291</v>
      </c>
      <c r="T561" s="6">
        <v>857.42</v>
      </c>
      <c r="U561" s="8">
        <v>1658.92</v>
      </c>
      <c r="V561" s="8">
        <f t="shared" si="136"/>
        <v>1658.92</v>
      </c>
      <c r="W561" s="8" t="str">
        <f t="shared" si="137"/>
        <v>High</v>
      </c>
      <c r="X561" s="15">
        <v>0.122</v>
      </c>
      <c r="Y561" s="15">
        <f t="shared" si="138"/>
        <v>0.122</v>
      </c>
      <c r="Z561" t="str">
        <f t="shared" si="139"/>
        <v>No</v>
      </c>
      <c r="AA561" s="17">
        <v>9</v>
      </c>
      <c r="AB561" s="8">
        <f t="shared" si="140"/>
        <v>13108.78584</v>
      </c>
      <c r="AC561" s="8">
        <f t="shared" si="141"/>
        <v>7716.78</v>
      </c>
      <c r="AD561" s="8">
        <f t="shared" si="142"/>
        <v>5392.0058400000007</v>
      </c>
      <c r="AE561" s="15">
        <f t="shared" si="143"/>
        <v>0.41132763215544305</v>
      </c>
      <c r="AF561" s="34">
        <f>MIN(Y561,'Scenario Modeling'!$B$2)</f>
        <v>0.122</v>
      </c>
      <c r="AG561">
        <f>ROUND(AA561 * (1 + 'Scenario Modeling'!$B$4), 0)</f>
        <v>9</v>
      </c>
      <c r="AH561">
        <f>T561 * (1 + 'Scenario Modeling'!$B$3)</f>
        <v>857.42</v>
      </c>
      <c r="AI561" s="8">
        <f t="shared" si="144"/>
        <v>13108.78584</v>
      </c>
      <c r="AJ561" s="8">
        <f t="shared" si="145"/>
        <v>5392.0058400000007</v>
      </c>
    </row>
    <row r="562" spans="1:36">
      <c r="A562" t="s">
        <v>574</v>
      </c>
      <c r="B562" s="4">
        <v>45299</v>
      </c>
      <c r="C562" s="28">
        <v>45299</v>
      </c>
      <c r="D562" s="28" t="str">
        <f t="shared" si="130"/>
        <v>Q1-2024</v>
      </c>
      <c r="E562" s="4">
        <v>45303</v>
      </c>
      <c r="F562" s="4">
        <v>45303</v>
      </c>
      <c r="G562" s="17">
        <f t="shared" si="131"/>
        <v>4</v>
      </c>
      <c r="H562" s="17">
        <f t="shared" si="132"/>
        <v>4</v>
      </c>
      <c r="I562" t="str">
        <f t="shared" si="133"/>
        <v>Yes</v>
      </c>
      <c r="J562" s="2">
        <f t="shared" si="134"/>
        <v>44955</v>
      </c>
      <c r="K562" t="s">
        <v>647</v>
      </c>
      <c r="L562" t="s">
        <v>654</v>
      </c>
      <c r="M562" t="s">
        <v>668</v>
      </c>
      <c r="N562" t="str">
        <f t="shared" si="135"/>
        <v>Asia - India - Bengaluru</v>
      </c>
      <c r="O562" t="s">
        <v>701</v>
      </c>
      <c r="P562" t="s">
        <v>711</v>
      </c>
      <c r="Q562" t="s">
        <v>718</v>
      </c>
      <c r="R562" t="s">
        <v>728</v>
      </c>
      <c r="S562" t="s">
        <v>1292</v>
      </c>
      <c r="T562" s="6">
        <v>802.32</v>
      </c>
      <c r="U562" s="8">
        <v>602.34</v>
      </c>
      <c r="V562" s="8">
        <f t="shared" si="136"/>
        <v>602.34</v>
      </c>
      <c r="W562" s="8" t="str">
        <f t="shared" si="137"/>
        <v>Low</v>
      </c>
      <c r="X562" s="15">
        <v>0.12</v>
      </c>
      <c r="Y562" s="15">
        <f t="shared" si="138"/>
        <v>0.12</v>
      </c>
      <c r="Z562" t="str">
        <f t="shared" si="139"/>
        <v>No</v>
      </c>
      <c r="AA562" s="17">
        <v>25</v>
      </c>
      <c r="AB562" s="8">
        <f t="shared" si="140"/>
        <v>13251.48</v>
      </c>
      <c r="AC562" s="8">
        <f t="shared" si="141"/>
        <v>20058</v>
      </c>
      <c r="AD562" s="8">
        <f t="shared" si="142"/>
        <v>-6806.52</v>
      </c>
      <c r="AE562" s="15">
        <f t="shared" si="143"/>
        <v>-0.51364224977134632</v>
      </c>
      <c r="AF562" s="34">
        <f>MIN(Y562,'Scenario Modeling'!$B$2)</f>
        <v>0.12</v>
      </c>
      <c r="AG562">
        <f>ROUND(AA562 * (1 + 'Scenario Modeling'!$B$4), 0)</f>
        <v>25</v>
      </c>
      <c r="AH562">
        <f>T562 * (1 + 'Scenario Modeling'!$B$3)</f>
        <v>802.32</v>
      </c>
      <c r="AI562" s="8">
        <f t="shared" si="144"/>
        <v>13251.48</v>
      </c>
      <c r="AJ562" s="8">
        <f t="shared" si="145"/>
        <v>-6806.52</v>
      </c>
    </row>
    <row r="563" spans="1:36">
      <c r="A563" t="s">
        <v>575</v>
      </c>
      <c r="B563" s="4">
        <v>45590</v>
      </c>
      <c r="C563" s="28">
        <v>45590</v>
      </c>
      <c r="D563" s="28" t="str">
        <f t="shared" si="130"/>
        <v>Q4-2024</v>
      </c>
      <c r="E563" s="4">
        <v>45601</v>
      </c>
      <c r="F563" s="4">
        <v>45601</v>
      </c>
      <c r="G563" s="17">
        <f t="shared" si="131"/>
        <v>11</v>
      </c>
      <c r="H563" s="17">
        <f t="shared" si="132"/>
        <v>11</v>
      </c>
      <c r="I563" t="str">
        <f t="shared" si="133"/>
        <v>No</v>
      </c>
      <c r="J563" s="2">
        <f t="shared" si="134"/>
        <v>44939</v>
      </c>
      <c r="K563" t="s">
        <v>648</v>
      </c>
      <c r="L563" t="s">
        <v>660</v>
      </c>
      <c r="M563" t="s">
        <v>700</v>
      </c>
      <c r="N563" t="str">
        <f t="shared" si="135"/>
        <v>Americas - USA - New York</v>
      </c>
      <c r="O563" t="s">
        <v>701</v>
      </c>
      <c r="P563" t="s">
        <v>710</v>
      </c>
      <c r="Q563" t="s">
        <v>725</v>
      </c>
      <c r="R563" t="s">
        <v>727</v>
      </c>
      <c r="S563" t="s">
        <v>1293</v>
      </c>
      <c r="T563" s="6">
        <v>446.66</v>
      </c>
      <c r="U563" s="8">
        <v>527.64</v>
      </c>
      <c r="V563" s="8">
        <f t="shared" si="136"/>
        <v>527.64</v>
      </c>
      <c r="W563" s="8" t="str">
        <f t="shared" si="137"/>
        <v>Low</v>
      </c>
      <c r="X563" s="15">
        <v>0.14499999999999999</v>
      </c>
      <c r="Y563" s="15">
        <f t="shared" si="138"/>
        <v>0.14499999999999999</v>
      </c>
      <c r="Z563" t="str">
        <f t="shared" si="139"/>
        <v>No</v>
      </c>
      <c r="AA563" s="17">
        <v>15</v>
      </c>
      <c r="AB563" s="8">
        <f t="shared" si="140"/>
        <v>6766.9829999999993</v>
      </c>
      <c r="AC563" s="8">
        <f t="shared" si="141"/>
        <v>6699.9000000000005</v>
      </c>
      <c r="AD563" s="8">
        <f t="shared" si="142"/>
        <v>67.082999999998719</v>
      </c>
      <c r="AE563" s="15">
        <f t="shared" si="143"/>
        <v>9.9132804087137105E-3</v>
      </c>
      <c r="AF563" s="34">
        <f>MIN(Y563,'Scenario Modeling'!$B$2)</f>
        <v>0.14499999999999999</v>
      </c>
      <c r="AG563">
        <f>ROUND(AA563 * (1 + 'Scenario Modeling'!$B$4), 0)</f>
        <v>15</v>
      </c>
      <c r="AH563">
        <f>T563 * (1 + 'Scenario Modeling'!$B$3)</f>
        <v>446.66</v>
      </c>
      <c r="AI563" s="8">
        <f t="shared" si="144"/>
        <v>6766.9829999999993</v>
      </c>
      <c r="AJ563" s="8">
        <f t="shared" si="145"/>
        <v>67.082999999998719</v>
      </c>
    </row>
    <row r="564" spans="1:36">
      <c r="A564" t="s">
        <v>576</v>
      </c>
      <c r="B564" s="4">
        <v>45626</v>
      </c>
      <c r="C564" s="28">
        <v>45626</v>
      </c>
      <c r="D564" s="28" t="str">
        <f t="shared" si="130"/>
        <v>Q4-2024</v>
      </c>
      <c r="E564" s="4">
        <v>45645</v>
      </c>
      <c r="F564" s="4">
        <v>45645</v>
      </c>
      <c r="G564" s="17">
        <f t="shared" si="131"/>
        <v>19</v>
      </c>
      <c r="H564" s="17">
        <f t="shared" si="132"/>
        <v>19</v>
      </c>
      <c r="I564" t="str">
        <f t="shared" si="133"/>
        <v>No</v>
      </c>
      <c r="J564" s="2">
        <f t="shared" si="134"/>
        <v>44946</v>
      </c>
      <c r="K564" t="s">
        <v>646</v>
      </c>
      <c r="L564" t="s">
        <v>650</v>
      </c>
      <c r="M564" t="s">
        <v>662</v>
      </c>
      <c r="N564" t="str">
        <f t="shared" si="135"/>
        <v>Africa - Kenya - Kisumu</v>
      </c>
      <c r="O564" t="s">
        <v>701</v>
      </c>
      <c r="P564" t="s">
        <v>708</v>
      </c>
      <c r="Q564" t="s">
        <v>716</v>
      </c>
      <c r="R564" t="s">
        <v>730</v>
      </c>
      <c r="S564" t="s">
        <v>1294</v>
      </c>
      <c r="T564" s="6">
        <v>1195.98</v>
      </c>
      <c r="U564" s="8">
        <v>1841.9</v>
      </c>
      <c r="V564" s="8">
        <f t="shared" si="136"/>
        <v>1841.9</v>
      </c>
      <c r="W564" s="8" t="str">
        <f t="shared" si="137"/>
        <v>High</v>
      </c>
      <c r="X564" s="15">
        <v>5.5E-2</v>
      </c>
      <c r="Y564" s="15">
        <f t="shared" si="138"/>
        <v>5.5E-2</v>
      </c>
      <c r="Z564" t="str">
        <f t="shared" si="139"/>
        <v>No</v>
      </c>
      <c r="AA564" s="17">
        <v>19</v>
      </c>
      <c r="AB564" s="8">
        <f t="shared" si="140"/>
        <v>33071.3145</v>
      </c>
      <c r="AC564" s="8">
        <f t="shared" si="141"/>
        <v>22723.62</v>
      </c>
      <c r="AD564" s="8">
        <f t="shared" si="142"/>
        <v>10347.694500000001</v>
      </c>
      <c r="AE564" s="15">
        <f t="shared" si="143"/>
        <v>0.31289032977506842</v>
      </c>
      <c r="AF564" s="34">
        <f>MIN(Y564,'Scenario Modeling'!$B$2)</f>
        <v>5.5E-2</v>
      </c>
      <c r="AG564">
        <f>ROUND(AA564 * (1 + 'Scenario Modeling'!$B$4), 0)</f>
        <v>19</v>
      </c>
      <c r="AH564">
        <f>T564 * (1 + 'Scenario Modeling'!$B$3)</f>
        <v>1195.98</v>
      </c>
      <c r="AI564" s="8">
        <f t="shared" si="144"/>
        <v>33071.3145</v>
      </c>
      <c r="AJ564" s="8">
        <f t="shared" si="145"/>
        <v>10347.694500000001</v>
      </c>
    </row>
    <row r="565" spans="1:36">
      <c r="A565" t="s">
        <v>577</v>
      </c>
      <c r="B565" s="4">
        <v>45029</v>
      </c>
      <c r="C565" s="28">
        <v>45029</v>
      </c>
      <c r="D565" s="28" t="str">
        <f t="shared" si="130"/>
        <v>Q2-2023</v>
      </c>
      <c r="E565" s="4">
        <v>45048</v>
      </c>
      <c r="F565" s="4">
        <v>45048</v>
      </c>
      <c r="G565" s="17">
        <f t="shared" si="131"/>
        <v>19</v>
      </c>
      <c r="H565" s="17">
        <f t="shared" si="132"/>
        <v>19</v>
      </c>
      <c r="I565" t="str">
        <f t="shared" si="133"/>
        <v>No</v>
      </c>
      <c r="J565" s="2">
        <f t="shared" si="134"/>
        <v>44928</v>
      </c>
      <c r="K565" t="s">
        <v>648</v>
      </c>
      <c r="L565" t="s">
        <v>653</v>
      </c>
      <c r="M565" t="s">
        <v>681</v>
      </c>
      <c r="N565" t="str">
        <f t="shared" si="135"/>
        <v>Americas - Canada - Montreal</v>
      </c>
      <c r="O565" t="s">
        <v>704</v>
      </c>
      <c r="P565" t="s">
        <v>710</v>
      </c>
      <c r="Q565" t="s">
        <v>718</v>
      </c>
      <c r="R565" t="s">
        <v>732</v>
      </c>
      <c r="S565" t="s">
        <v>1295</v>
      </c>
      <c r="T565" s="6">
        <v>671.05</v>
      </c>
      <c r="U565" s="8">
        <v>1645.48</v>
      </c>
      <c r="V565" s="8">
        <f t="shared" si="136"/>
        <v>1645.48</v>
      </c>
      <c r="W565" s="8" t="str">
        <f t="shared" si="137"/>
        <v>High</v>
      </c>
      <c r="X565" s="15">
        <v>0.13700000000000001</v>
      </c>
      <c r="Y565" s="15">
        <f t="shared" si="138"/>
        <v>0.13700000000000001</v>
      </c>
      <c r="Z565" t="str">
        <f t="shared" si="139"/>
        <v>No</v>
      </c>
      <c r="AA565" s="17">
        <v>6</v>
      </c>
      <c r="AB565" s="8">
        <f t="shared" si="140"/>
        <v>8520.2954399999999</v>
      </c>
      <c r="AC565" s="8">
        <f t="shared" si="141"/>
        <v>4026.2999999999997</v>
      </c>
      <c r="AD565" s="8">
        <f t="shared" si="142"/>
        <v>4493.9954400000006</v>
      </c>
      <c r="AE565" s="15">
        <f t="shared" si="143"/>
        <v>0.52744596377517172</v>
      </c>
      <c r="AF565" s="34">
        <f>MIN(Y565,'Scenario Modeling'!$B$2)</f>
        <v>0.13700000000000001</v>
      </c>
      <c r="AG565">
        <f>ROUND(AA565 * (1 + 'Scenario Modeling'!$B$4), 0)</f>
        <v>6</v>
      </c>
      <c r="AH565">
        <f>T565 * (1 + 'Scenario Modeling'!$B$3)</f>
        <v>671.05</v>
      </c>
      <c r="AI565" s="8">
        <f t="shared" si="144"/>
        <v>8520.2954399999999</v>
      </c>
      <c r="AJ565" s="8">
        <f t="shared" si="145"/>
        <v>4493.9954400000006</v>
      </c>
    </row>
    <row r="566" spans="1:36">
      <c r="A566" t="s">
        <v>578</v>
      </c>
      <c r="B566" s="4">
        <v>45692</v>
      </c>
      <c r="C566" s="28">
        <v>45692</v>
      </c>
      <c r="D566" s="28" t="str">
        <f t="shared" si="130"/>
        <v>Q1-2025</v>
      </c>
      <c r="E566" s="4">
        <v>45696</v>
      </c>
      <c r="F566" s="4">
        <v>45696</v>
      </c>
      <c r="G566" s="17">
        <f t="shared" si="131"/>
        <v>4</v>
      </c>
      <c r="H566" s="17">
        <f t="shared" si="132"/>
        <v>4</v>
      </c>
      <c r="I566" t="str">
        <f t="shared" si="133"/>
        <v>Yes</v>
      </c>
      <c r="J566" s="2">
        <f t="shared" si="134"/>
        <v>44945</v>
      </c>
      <c r="K566" t="s">
        <v>649</v>
      </c>
      <c r="L566" t="s">
        <v>658</v>
      </c>
      <c r="M566" t="s">
        <v>693</v>
      </c>
      <c r="N566" t="str">
        <f t="shared" si="135"/>
        <v>Europe - United Kingdom - Manchester</v>
      </c>
      <c r="O566" t="s">
        <v>706</v>
      </c>
      <c r="P566" t="s">
        <v>709</v>
      </c>
      <c r="Q566" t="s">
        <v>716</v>
      </c>
      <c r="R566" t="s">
        <v>729</v>
      </c>
      <c r="S566" t="s">
        <v>1296</v>
      </c>
      <c r="T566" s="6">
        <v>586.21</v>
      </c>
      <c r="U566" s="8">
        <v>727.22</v>
      </c>
      <c r="V566" s="8">
        <f t="shared" si="136"/>
        <v>727.22</v>
      </c>
      <c r="W566" s="8" t="str">
        <f t="shared" si="137"/>
        <v>Low</v>
      </c>
      <c r="X566" s="15">
        <v>6.8000000000000005E-2</v>
      </c>
      <c r="Y566" s="15">
        <f t="shared" si="138"/>
        <v>6.8000000000000005E-2</v>
      </c>
      <c r="Z566" t="str">
        <f t="shared" si="139"/>
        <v>No</v>
      </c>
      <c r="AA566" s="17">
        <v>15</v>
      </c>
      <c r="AB566" s="8">
        <f t="shared" si="140"/>
        <v>10166.535600000001</v>
      </c>
      <c r="AC566" s="8">
        <f t="shared" si="141"/>
        <v>8793.1500000000015</v>
      </c>
      <c r="AD566" s="8">
        <f t="shared" si="142"/>
        <v>1373.3855999999996</v>
      </c>
      <c r="AE566" s="15">
        <f t="shared" si="143"/>
        <v>0.13508884973559721</v>
      </c>
      <c r="AF566" s="34">
        <f>MIN(Y566,'Scenario Modeling'!$B$2)</f>
        <v>6.8000000000000005E-2</v>
      </c>
      <c r="AG566">
        <f>ROUND(AA566 * (1 + 'Scenario Modeling'!$B$4), 0)</f>
        <v>15</v>
      </c>
      <c r="AH566">
        <f>T566 * (1 + 'Scenario Modeling'!$B$3)</f>
        <v>586.21</v>
      </c>
      <c r="AI566" s="8">
        <f t="shared" si="144"/>
        <v>10166.535600000001</v>
      </c>
      <c r="AJ566" s="8">
        <f t="shared" si="145"/>
        <v>1373.3855999999996</v>
      </c>
    </row>
    <row r="567" spans="1:36">
      <c r="A567" t="s">
        <v>579</v>
      </c>
      <c r="B567" s="4">
        <v>45315</v>
      </c>
      <c r="C567" s="28">
        <v>45315</v>
      </c>
      <c r="D567" s="28" t="str">
        <f t="shared" si="130"/>
        <v>Q1-2024</v>
      </c>
      <c r="E567" s="4">
        <v>45326</v>
      </c>
      <c r="F567" s="4">
        <v>45326</v>
      </c>
      <c r="G567" s="17">
        <f t="shared" si="131"/>
        <v>11</v>
      </c>
      <c r="H567" s="17">
        <f t="shared" si="132"/>
        <v>11</v>
      </c>
      <c r="I567" t="str">
        <f t="shared" si="133"/>
        <v>No</v>
      </c>
      <c r="J567" s="2">
        <f t="shared" si="134"/>
        <v>44945</v>
      </c>
      <c r="K567" t="s">
        <v>649</v>
      </c>
      <c r="L567" t="s">
        <v>658</v>
      </c>
      <c r="M567" t="s">
        <v>693</v>
      </c>
      <c r="N567" t="str">
        <f t="shared" si="135"/>
        <v>Europe - United Kingdom - Manchester</v>
      </c>
      <c r="O567" t="s">
        <v>704</v>
      </c>
      <c r="P567" t="s">
        <v>707</v>
      </c>
      <c r="Q567" t="s">
        <v>717</v>
      </c>
      <c r="R567" t="s">
        <v>731</v>
      </c>
      <c r="S567" t="s">
        <v>1297</v>
      </c>
      <c r="T567" s="6">
        <v>525.34</v>
      </c>
      <c r="U567" s="8">
        <v>1233.79</v>
      </c>
      <c r="V567" s="8">
        <f t="shared" si="136"/>
        <v>1233.79</v>
      </c>
      <c r="W567" s="8" t="str">
        <f t="shared" si="137"/>
        <v>Medium</v>
      </c>
      <c r="X567" s="15">
        <v>0.14299999999999999</v>
      </c>
      <c r="Y567" s="15">
        <f t="shared" si="138"/>
        <v>0.14299999999999999</v>
      </c>
      <c r="Z567" t="str">
        <f t="shared" si="139"/>
        <v>No</v>
      </c>
      <c r="AA567" s="17">
        <v>4</v>
      </c>
      <c r="AB567" s="8">
        <f t="shared" si="140"/>
        <v>4229.4321199999995</v>
      </c>
      <c r="AC567" s="8">
        <f t="shared" si="141"/>
        <v>2101.36</v>
      </c>
      <c r="AD567" s="8">
        <f t="shared" si="142"/>
        <v>2128.0721199999994</v>
      </c>
      <c r="AE567" s="15">
        <f t="shared" si="143"/>
        <v>0.50315788494082736</v>
      </c>
      <c r="AF567" s="34">
        <f>MIN(Y567,'Scenario Modeling'!$B$2)</f>
        <v>0.14299999999999999</v>
      </c>
      <c r="AG567">
        <f>ROUND(AA567 * (1 + 'Scenario Modeling'!$B$4), 0)</f>
        <v>4</v>
      </c>
      <c r="AH567">
        <f>T567 * (1 + 'Scenario Modeling'!$B$3)</f>
        <v>525.34</v>
      </c>
      <c r="AI567" s="8">
        <f t="shared" si="144"/>
        <v>4229.4321199999995</v>
      </c>
      <c r="AJ567" s="8">
        <f t="shared" si="145"/>
        <v>2128.0721199999994</v>
      </c>
    </row>
    <row r="568" spans="1:36">
      <c r="A568" t="s">
        <v>580</v>
      </c>
      <c r="B568" s="4">
        <v>45330</v>
      </c>
      <c r="C568" s="28">
        <v>45330</v>
      </c>
      <c r="D568" s="28" t="str">
        <f t="shared" si="130"/>
        <v>Q1-2024</v>
      </c>
      <c r="E568" s="4">
        <v>45331</v>
      </c>
      <c r="F568" s="4">
        <v>45331</v>
      </c>
      <c r="G568" s="17">
        <f t="shared" si="131"/>
        <v>1</v>
      </c>
      <c r="H568" s="17">
        <f t="shared" si="132"/>
        <v>1</v>
      </c>
      <c r="I568" t="str">
        <f t="shared" si="133"/>
        <v>Yes</v>
      </c>
      <c r="J568" s="2">
        <f t="shared" si="134"/>
        <v>44946</v>
      </c>
      <c r="K568" t="s">
        <v>646</v>
      </c>
      <c r="L568" t="s">
        <v>650</v>
      </c>
      <c r="M568" t="s">
        <v>675</v>
      </c>
      <c r="N568" t="str">
        <f t="shared" si="135"/>
        <v>Africa - Kenya - Mombasa</v>
      </c>
      <c r="O568" t="s">
        <v>701</v>
      </c>
      <c r="P568" t="s">
        <v>711</v>
      </c>
      <c r="Q568" t="s">
        <v>721</v>
      </c>
      <c r="R568" t="s">
        <v>727</v>
      </c>
      <c r="S568" t="s">
        <v>1298</v>
      </c>
      <c r="T568" s="6">
        <v>1233.52</v>
      </c>
      <c r="U568" s="8">
        <v>1543.76</v>
      </c>
      <c r="V568" s="8">
        <f t="shared" si="136"/>
        <v>1543.76</v>
      </c>
      <c r="W568" s="8" t="str">
        <f t="shared" si="137"/>
        <v>Medium</v>
      </c>
      <c r="X568" s="15">
        <v>0.126</v>
      </c>
      <c r="Y568" s="15">
        <f t="shared" si="138"/>
        <v>0.126</v>
      </c>
      <c r="Z568" t="str">
        <f t="shared" si="139"/>
        <v>No</v>
      </c>
      <c r="AA568" s="17">
        <v>13</v>
      </c>
      <c r="AB568" s="8">
        <f t="shared" si="140"/>
        <v>17540.201120000002</v>
      </c>
      <c r="AC568" s="8">
        <f t="shared" si="141"/>
        <v>16035.76</v>
      </c>
      <c r="AD568" s="8">
        <f t="shared" si="142"/>
        <v>1504.4411200000013</v>
      </c>
      <c r="AE568" s="15">
        <f t="shared" si="143"/>
        <v>8.5771030201277493E-2</v>
      </c>
      <c r="AF568" s="34">
        <f>MIN(Y568,'Scenario Modeling'!$B$2)</f>
        <v>0.126</v>
      </c>
      <c r="AG568">
        <f>ROUND(AA568 * (1 + 'Scenario Modeling'!$B$4), 0)</f>
        <v>13</v>
      </c>
      <c r="AH568">
        <f>T568 * (1 + 'Scenario Modeling'!$B$3)</f>
        <v>1233.52</v>
      </c>
      <c r="AI568" s="8">
        <f t="shared" si="144"/>
        <v>17540.201120000002</v>
      </c>
      <c r="AJ568" s="8">
        <f t="shared" si="145"/>
        <v>1504.4411200000013</v>
      </c>
    </row>
    <row r="569" spans="1:36">
      <c r="A569" t="s">
        <v>581</v>
      </c>
      <c r="B569" s="4">
        <v>45834</v>
      </c>
      <c r="C569" s="28">
        <v>45834</v>
      </c>
      <c r="D569" s="28" t="str">
        <f t="shared" si="130"/>
        <v>Q2-2025</v>
      </c>
      <c r="E569" s="4">
        <v>45849</v>
      </c>
      <c r="F569" s="4">
        <v>45849</v>
      </c>
      <c r="G569" s="17">
        <f t="shared" si="131"/>
        <v>15</v>
      </c>
      <c r="H569" s="17">
        <f t="shared" si="132"/>
        <v>15</v>
      </c>
      <c r="I569" t="str">
        <f t="shared" si="133"/>
        <v>No</v>
      </c>
      <c r="J569" s="2">
        <f t="shared" si="134"/>
        <v>44941</v>
      </c>
      <c r="K569" t="s">
        <v>646</v>
      </c>
      <c r="L569" t="s">
        <v>651</v>
      </c>
      <c r="M569" t="s">
        <v>663</v>
      </c>
      <c r="N569" t="str">
        <f t="shared" si="135"/>
        <v>Africa - Nigeria - Port Harcourt</v>
      </c>
      <c r="O569" t="s">
        <v>705</v>
      </c>
      <c r="P569" t="s">
        <v>708</v>
      </c>
      <c r="Q569" t="s">
        <v>720</v>
      </c>
      <c r="R569" t="s">
        <v>731</v>
      </c>
      <c r="S569" t="s">
        <v>1299</v>
      </c>
      <c r="T569" s="6">
        <v>1170.1500000000001</v>
      </c>
      <c r="U569" s="8">
        <v>2115.19</v>
      </c>
      <c r="V569" s="8">
        <f t="shared" si="136"/>
        <v>2115.19</v>
      </c>
      <c r="W569" s="8" t="str">
        <f t="shared" si="137"/>
        <v>High</v>
      </c>
      <c r="X569" s="15">
        <v>9.1999999999999998E-2</v>
      </c>
      <c r="Y569" s="15">
        <f t="shared" si="138"/>
        <v>9.1999999999999998E-2</v>
      </c>
      <c r="Z569" t="str">
        <f t="shared" si="139"/>
        <v>No</v>
      </c>
      <c r="AA569" s="17">
        <v>23</v>
      </c>
      <c r="AB569" s="8">
        <f t="shared" si="140"/>
        <v>44173.627960000005</v>
      </c>
      <c r="AC569" s="8">
        <f t="shared" si="141"/>
        <v>26913.45</v>
      </c>
      <c r="AD569" s="8">
        <f t="shared" si="142"/>
        <v>17260.177960000005</v>
      </c>
      <c r="AE569" s="15">
        <f t="shared" si="143"/>
        <v>0.39073489674946776</v>
      </c>
      <c r="AF569" s="34">
        <f>MIN(Y569,'Scenario Modeling'!$B$2)</f>
        <v>9.1999999999999998E-2</v>
      </c>
      <c r="AG569">
        <f>ROUND(AA569 * (1 + 'Scenario Modeling'!$B$4), 0)</f>
        <v>23</v>
      </c>
      <c r="AH569">
        <f>T569 * (1 + 'Scenario Modeling'!$B$3)</f>
        <v>1170.1500000000001</v>
      </c>
      <c r="AI569" s="8">
        <f t="shared" si="144"/>
        <v>44173.627960000005</v>
      </c>
      <c r="AJ569" s="8">
        <f t="shared" si="145"/>
        <v>17260.177960000005</v>
      </c>
    </row>
    <row r="570" spans="1:36">
      <c r="A570" t="s">
        <v>582</v>
      </c>
      <c r="B570" s="4">
        <v>45600</v>
      </c>
      <c r="C570" s="28">
        <v>45600</v>
      </c>
      <c r="D570" s="28" t="str">
        <f t="shared" si="130"/>
        <v>Q4-2024</v>
      </c>
      <c r="E570" s="4">
        <v>45603</v>
      </c>
      <c r="F570" s="4">
        <v>45603</v>
      </c>
      <c r="G570" s="17">
        <f t="shared" si="131"/>
        <v>3</v>
      </c>
      <c r="H570" s="17">
        <f t="shared" si="132"/>
        <v>3</v>
      </c>
      <c r="I570" t="str">
        <f t="shared" si="133"/>
        <v>Yes</v>
      </c>
      <c r="J570" s="2">
        <f t="shared" si="134"/>
        <v>44936</v>
      </c>
      <c r="K570" t="s">
        <v>649</v>
      </c>
      <c r="L570" t="s">
        <v>657</v>
      </c>
      <c r="M570" t="s">
        <v>679</v>
      </c>
      <c r="N570" t="str">
        <f t="shared" si="135"/>
        <v>Europe - France - Lyon</v>
      </c>
      <c r="O570" t="s">
        <v>701</v>
      </c>
      <c r="P570" t="s">
        <v>708</v>
      </c>
      <c r="Q570" t="s">
        <v>719</v>
      </c>
      <c r="R570" t="s">
        <v>732</v>
      </c>
      <c r="S570" t="s">
        <v>1300</v>
      </c>
      <c r="T570" s="6">
        <v>740.68</v>
      </c>
      <c r="U570" s="8">
        <v>1837.19</v>
      </c>
      <c r="V570" s="8">
        <f t="shared" si="136"/>
        <v>1837.19</v>
      </c>
      <c r="W570" s="8" t="str">
        <f t="shared" si="137"/>
        <v>High</v>
      </c>
      <c r="X570" s="15">
        <v>0.19700000000000001</v>
      </c>
      <c r="Y570" s="15">
        <f t="shared" si="138"/>
        <v>0.19700000000000001</v>
      </c>
      <c r="Z570" t="str">
        <f t="shared" si="139"/>
        <v>No</v>
      </c>
      <c r="AA570" s="17">
        <v>17</v>
      </c>
      <c r="AB570" s="8">
        <f t="shared" si="140"/>
        <v>25079.480689999997</v>
      </c>
      <c r="AC570" s="8">
        <f t="shared" si="141"/>
        <v>12591.56</v>
      </c>
      <c r="AD570" s="8">
        <f t="shared" si="142"/>
        <v>12487.920689999997</v>
      </c>
      <c r="AE570" s="15">
        <f t="shared" si="143"/>
        <v>0.4979337827748298</v>
      </c>
      <c r="AF570" s="34">
        <f>MIN(Y570,'Scenario Modeling'!$B$2)</f>
        <v>0.19700000000000001</v>
      </c>
      <c r="AG570">
        <f>ROUND(AA570 * (1 + 'Scenario Modeling'!$B$4), 0)</f>
        <v>17</v>
      </c>
      <c r="AH570">
        <f>T570 * (1 + 'Scenario Modeling'!$B$3)</f>
        <v>740.68</v>
      </c>
      <c r="AI570" s="8">
        <f t="shared" si="144"/>
        <v>25079.480689999997</v>
      </c>
      <c r="AJ570" s="8">
        <f t="shared" si="145"/>
        <v>12487.920689999997</v>
      </c>
    </row>
    <row r="571" spans="1:36">
      <c r="A571" t="s">
        <v>583</v>
      </c>
      <c r="B571" s="4">
        <v>45342</v>
      </c>
      <c r="C571" s="28">
        <v>45342</v>
      </c>
      <c r="D571" s="28" t="str">
        <f t="shared" si="130"/>
        <v>Q1-2024</v>
      </c>
      <c r="E571" s="4">
        <v>45342</v>
      </c>
      <c r="F571" s="4">
        <v>45342</v>
      </c>
      <c r="G571" s="17">
        <f t="shared" si="131"/>
        <v>0</v>
      </c>
      <c r="H571" s="17">
        <f t="shared" si="132"/>
        <v>0</v>
      </c>
      <c r="I571" t="str">
        <f t="shared" si="133"/>
        <v>Yes</v>
      </c>
      <c r="J571" s="2">
        <f t="shared" si="134"/>
        <v>44939</v>
      </c>
      <c r="K571" t="s">
        <v>648</v>
      </c>
      <c r="L571" t="s">
        <v>660</v>
      </c>
      <c r="M571" t="s">
        <v>700</v>
      </c>
      <c r="N571" t="str">
        <f t="shared" si="135"/>
        <v>Americas - USA - New York</v>
      </c>
      <c r="O571" t="s">
        <v>706</v>
      </c>
      <c r="P571" t="s">
        <v>708</v>
      </c>
      <c r="Q571" t="s">
        <v>712</v>
      </c>
      <c r="R571" t="s">
        <v>729</v>
      </c>
      <c r="S571" t="s">
        <v>1301</v>
      </c>
      <c r="T571" s="6">
        <v>1407.05</v>
      </c>
      <c r="U571" s="8">
        <v>2858.93</v>
      </c>
      <c r="V571" s="8">
        <f t="shared" si="136"/>
        <v>2858.93</v>
      </c>
      <c r="W571" s="8" t="str">
        <f t="shared" si="137"/>
        <v>High</v>
      </c>
      <c r="X571" s="15">
        <v>0</v>
      </c>
      <c r="Y571" s="15">
        <f t="shared" si="138"/>
        <v>0</v>
      </c>
      <c r="Z571" t="str">
        <f t="shared" si="139"/>
        <v>No</v>
      </c>
      <c r="AA571" s="17">
        <v>12</v>
      </c>
      <c r="AB571" s="8">
        <f t="shared" si="140"/>
        <v>34307.159999999996</v>
      </c>
      <c r="AC571" s="8">
        <f t="shared" si="141"/>
        <v>16884.599999999999</v>
      </c>
      <c r="AD571" s="8">
        <f t="shared" si="142"/>
        <v>17422.559999999998</v>
      </c>
      <c r="AE571" s="15">
        <f t="shared" si="143"/>
        <v>0.50784034586366222</v>
      </c>
      <c r="AF571" s="34">
        <f>MIN(Y571,'Scenario Modeling'!$B$2)</f>
        <v>0</v>
      </c>
      <c r="AG571">
        <f>ROUND(AA571 * (1 + 'Scenario Modeling'!$B$4), 0)</f>
        <v>12</v>
      </c>
      <c r="AH571">
        <f>T571 * (1 + 'Scenario Modeling'!$B$3)</f>
        <v>1407.05</v>
      </c>
      <c r="AI571" s="8">
        <f t="shared" si="144"/>
        <v>34307.159999999996</v>
      </c>
      <c r="AJ571" s="8">
        <f t="shared" si="145"/>
        <v>17422.559999999998</v>
      </c>
    </row>
    <row r="572" spans="1:36">
      <c r="A572" t="s">
        <v>584</v>
      </c>
      <c r="B572" s="4">
        <v>45760</v>
      </c>
      <c r="C572" s="28">
        <v>45760</v>
      </c>
      <c r="D572" s="28" t="str">
        <f t="shared" si="130"/>
        <v>Q2-2025</v>
      </c>
      <c r="E572" s="4">
        <v>45761</v>
      </c>
      <c r="F572" s="4">
        <v>45761</v>
      </c>
      <c r="G572" s="17">
        <f t="shared" si="131"/>
        <v>1</v>
      </c>
      <c r="H572" s="17">
        <f t="shared" si="132"/>
        <v>1</v>
      </c>
      <c r="I572" t="str">
        <f t="shared" si="133"/>
        <v>Yes</v>
      </c>
      <c r="J572" s="2">
        <f t="shared" si="134"/>
        <v>44988</v>
      </c>
      <c r="K572" t="s">
        <v>647</v>
      </c>
      <c r="L572" t="s">
        <v>652</v>
      </c>
      <c r="M572" t="s">
        <v>666</v>
      </c>
      <c r="N572" t="str">
        <f t="shared" si="135"/>
        <v>Asia - Japan - Osaka</v>
      </c>
      <c r="O572" t="s">
        <v>706</v>
      </c>
      <c r="P572" t="s">
        <v>708</v>
      </c>
      <c r="Q572" t="s">
        <v>715</v>
      </c>
      <c r="R572" t="s">
        <v>727</v>
      </c>
      <c r="S572" t="s">
        <v>1302</v>
      </c>
      <c r="T572" s="6">
        <v>138.9</v>
      </c>
      <c r="U572" s="8">
        <v>289.92</v>
      </c>
      <c r="V572" s="8">
        <f t="shared" si="136"/>
        <v>289.92</v>
      </c>
      <c r="W572" s="8" t="str">
        <f t="shared" si="137"/>
        <v>Low</v>
      </c>
      <c r="X572" s="15">
        <v>2.9000000000000001E-2</v>
      </c>
      <c r="Y572" s="15">
        <f t="shared" si="138"/>
        <v>2.9000000000000001E-2</v>
      </c>
      <c r="Z572" t="str">
        <f t="shared" si="139"/>
        <v>No</v>
      </c>
      <c r="AA572" s="17">
        <v>12</v>
      </c>
      <c r="AB572" s="8">
        <f t="shared" si="140"/>
        <v>3378.1478400000001</v>
      </c>
      <c r="AC572" s="8">
        <f t="shared" si="141"/>
        <v>1666.8000000000002</v>
      </c>
      <c r="AD572" s="8">
        <f t="shared" si="142"/>
        <v>1711.3478399999999</v>
      </c>
      <c r="AE572" s="15">
        <f t="shared" si="143"/>
        <v>0.50659353025828491</v>
      </c>
      <c r="AF572" s="34">
        <f>MIN(Y572,'Scenario Modeling'!$B$2)</f>
        <v>2.9000000000000001E-2</v>
      </c>
      <c r="AG572">
        <f>ROUND(AA572 * (1 + 'Scenario Modeling'!$B$4), 0)</f>
        <v>12</v>
      </c>
      <c r="AH572">
        <f>T572 * (1 + 'Scenario Modeling'!$B$3)</f>
        <v>138.9</v>
      </c>
      <c r="AI572" s="8">
        <f t="shared" si="144"/>
        <v>3378.1478400000001</v>
      </c>
      <c r="AJ572" s="8">
        <f t="shared" si="145"/>
        <v>1711.3478399999999</v>
      </c>
    </row>
    <row r="573" spans="1:36">
      <c r="A573" t="s">
        <v>585</v>
      </c>
      <c r="B573" s="4">
        <v>45078</v>
      </c>
      <c r="C573" s="28">
        <v>45078</v>
      </c>
      <c r="D573" s="28" t="str">
        <f t="shared" si="130"/>
        <v>Q2-2023</v>
      </c>
      <c r="E573" s="4">
        <v>45078</v>
      </c>
      <c r="F573" s="4">
        <v>45078</v>
      </c>
      <c r="G573" s="17">
        <f t="shared" si="131"/>
        <v>0</v>
      </c>
      <c r="H573" s="17">
        <f t="shared" si="132"/>
        <v>0</v>
      </c>
      <c r="I573" t="str">
        <f t="shared" si="133"/>
        <v>Yes</v>
      </c>
      <c r="J573" s="2">
        <f t="shared" si="134"/>
        <v>44955</v>
      </c>
      <c r="K573" t="s">
        <v>647</v>
      </c>
      <c r="L573" t="s">
        <v>654</v>
      </c>
      <c r="M573" t="s">
        <v>668</v>
      </c>
      <c r="N573" t="str">
        <f t="shared" si="135"/>
        <v>Asia - India - Bengaluru</v>
      </c>
      <c r="O573" t="s">
        <v>701</v>
      </c>
      <c r="P573" t="s">
        <v>707</v>
      </c>
      <c r="Q573" t="s">
        <v>718</v>
      </c>
      <c r="R573" t="s">
        <v>733</v>
      </c>
      <c r="S573" t="s">
        <v>1303</v>
      </c>
      <c r="T573" s="6">
        <v>669.37</v>
      </c>
      <c r="U573" s="8">
        <v>997.2</v>
      </c>
      <c r="V573" s="8">
        <f t="shared" si="136"/>
        <v>997.2</v>
      </c>
      <c r="W573" s="8" t="str">
        <f t="shared" si="137"/>
        <v>Medium</v>
      </c>
      <c r="X573" s="15">
        <v>8.2000000000000003E-2</v>
      </c>
      <c r="Y573" s="15">
        <f t="shared" si="138"/>
        <v>8.2000000000000003E-2</v>
      </c>
      <c r="Z573" t="str">
        <f t="shared" si="139"/>
        <v>No</v>
      </c>
      <c r="AA573" s="17">
        <v>5</v>
      </c>
      <c r="AB573" s="8">
        <f t="shared" si="140"/>
        <v>4577.1480000000001</v>
      </c>
      <c r="AC573" s="8">
        <f t="shared" si="141"/>
        <v>3346.85</v>
      </c>
      <c r="AD573" s="8">
        <f t="shared" si="142"/>
        <v>1230.2980000000002</v>
      </c>
      <c r="AE573" s="15">
        <f t="shared" si="143"/>
        <v>0.26879139586484863</v>
      </c>
      <c r="AF573" s="34">
        <f>MIN(Y573,'Scenario Modeling'!$B$2)</f>
        <v>8.2000000000000003E-2</v>
      </c>
      <c r="AG573">
        <f>ROUND(AA573 * (1 + 'Scenario Modeling'!$B$4), 0)</f>
        <v>5</v>
      </c>
      <c r="AH573">
        <f>T573 * (1 + 'Scenario Modeling'!$B$3)</f>
        <v>669.37</v>
      </c>
      <c r="AI573" s="8">
        <f t="shared" si="144"/>
        <v>4577.1480000000001</v>
      </c>
      <c r="AJ573" s="8">
        <f t="shared" si="145"/>
        <v>1230.2980000000002</v>
      </c>
    </row>
    <row r="574" spans="1:36">
      <c r="A574" t="s">
        <v>586</v>
      </c>
      <c r="B574" s="4">
        <v>45740</v>
      </c>
      <c r="C574" s="28">
        <v>45740</v>
      </c>
      <c r="D574" s="28" t="str">
        <f t="shared" si="130"/>
        <v>Q1-2025</v>
      </c>
      <c r="E574" s="4">
        <v>45751</v>
      </c>
      <c r="F574" s="4">
        <v>45751</v>
      </c>
      <c r="G574" s="17">
        <f t="shared" si="131"/>
        <v>11</v>
      </c>
      <c r="H574" s="17">
        <f t="shared" si="132"/>
        <v>11</v>
      </c>
      <c r="I574" t="str">
        <f t="shared" si="133"/>
        <v>No</v>
      </c>
      <c r="J574" s="2">
        <f t="shared" si="134"/>
        <v>44955</v>
      </c>
      <c r="K574" t="s">
        <v>647</v>
      </c>
      <c r="L574" t="s">
        <v>654</v>
      </c>
      <c r="M574" t="s">
        <v>691</v>
      </c>
      <c r="N574" t="str">
        <f t="shared" si="135"/>
        <v>Asia - India - Mumbai</v>
      </c>
      <c r="O574" t="s">
        <v>702</v>
      </c>
      <c r="P574" t="s">
        <v>709</v>
      </c>
      <c r="Q574" t="s">
        <v>713</v>
      </c>
      <c r="R574" t="s">
        <v>730</v>
      </c>
      <c r="S574" t="s">
        <v>1304</v>
      </c>
      <c r="T574" s="6">
        <v>23.83</v>
      </c>
      <c r="U574" s="8">
        <v>47.29</v>
      </c>
      <c r="V574" s="8">
        <f t="shared" si="136"/>
        <v>47.29</v>
      </c>
      <c r="W574" s="8" t="str">
        <f t="shared" si="137"/>
        <v>Low</v>
      </c>
      <c r="X574" s="15">
        <v>6.4000000000000001E-2</v>
      </c>
      <c r="Y574" s="15">
        <f t="shared" si="138"/>
        <v>6.4000000000000001E-2</v>
      </c>
      <c r="Z574" t="str">
        <f t="shared" si="139"/>
        <v>No</v>
      </c>
      <c r="AA574" s="17">
        <v>19</v>
      </c>
      <c r="AB574" s="8">
        <f t="shared" si="140"/>
        <v>841.00536</v>
      </c>
      <c r="AC574" s="8">
        <f t="shared" si="141"/>
        <v>452.77</v>
      </c>
      <c r="AD574" s="8">
        <f t="shared" si="142"/>
        <v>388.23536000000001</v>
      </c>
      <c r="AE574" s="15">
        <f t="shared" si="143"/>
        <v>0.46163244429262618</v>
      </c>
      <c r="AF574" s="34">
        <f>MIN(Y574,'Scenario Modeling'!$B$2)</f>
        <v>6.4000000000000001E-2</v>
      </c>
      <c r="AG574">
        <f>ROUND(AA574 * (1 + 'Scenario Modeling'!$B$4), 0)</f>
        <v>19</v>
      </c>
      <c r="AH574">
        <f>T574 * (1 + 'Scenario Modeling'!$B$3)</f>
        <v>23.83</v>
      </c>
      <c r="AI574" s="8">
        <f t="shared" si="144"/>
        <v>841.00536</v>
      </c>
      <c r="AJ574" s="8">
        <f t="shared" si="145"/>
        <v>388.23536000000001</v>
      </c>
    </row>
    <row r="575" spans="1:36">
      <c r="A575" t="s">
        <v>587</v>
      </c>
      <c r="B575" s="4">
        <v>45293</v>
      </c>
      <c r="C575" s="28">
        <v>45293</v>
      </c>
      <c r="D575" s="28" t="str">
        <f t="shared" si="130"/>
        <v>Q1-2024</v>
      </c>
      <c r="E575" s="4">
        <v>45293</v>
      </c>
      <c r="F575" s="4">
        <v>45293</v>
      </c>
      <c r="G575" s="17">
        <f t="shared" si="131"/>
        <v>0</v>
      </c>
      <c r="H575" s="17">
        <f t="shared" si="132"/>
        <v>0</v>
      </c>
      <c r="I575" t="str">
        <f t="shared" si="133"/>
        <v>Yes</v>
      </c>
      <c r="J575" s="2">
        <f t="shared" si="134"/>
        <v>44928</v>
      </c>
      <c r="K575" t="s">
        <v>648</v>
      </c>
      <c r="L575" t="s">
        <v>653</v>
      </c>
      <c r="M575" t="s">
        <v>688</v>
      </c>
      <c r="N575" t="str">
        <f t="shared" si="135"/>
        <v>Americas - Canada - Vancouver</v>
      </c>
      <c r="O575" t="s">
        <v>702</v>
      </c>
      <c r="P575" t="s">
        <v>711</v>
      </c>
      <c r="Q575" t="s">
        <v>720</v>
      </c>
      <c r="R575" t="s">
        <v>731</v>
      </c>
      <c r="S575" t="s">
        <v>1305</v>
      </c>
      <c r="T575" s="6">
        <v>444.41</v>
      </c>
      <c r="U575" s="8">
        <v>754.24</v>
      </c>
      <c r="V575" s="8">
        <f t="shared" si="136"/>
        <v>754.24</v>
      </c>
      <c r="W575" s="8" t="str">
        <f t="shared" si="137"/>
        <v>Low</v>
      </c>
      <c r="X575" s="15">
        <v>0.20699999999999999</v>
      </c>
      <c r="Y575" s="15">
        <f t="shared" si="138"/>
        <v>0.20699999999999999</v>
      </c>
      <c r="Z575" t="str">
        <f t="shared" si="139"/>
        <v>Yes</v>
      </c>
      <c r="AA575" s="17">
        <v>32</v>
      </c>
      <c r="AB575" s="8">
        <f t="shared" si="140"/>
        <v>19139.594240000002</v>
      </c>
      <c r="AC575" s="8">
        <f t="shared" si="141"/>
        <v>14221.12</v>
      </c>
      <c r="AD575" s="8">
        <f t="shared" si="142"/>
        <v>4918.4742400000014</v>
      </c>
      <c r="AE575" s="15">
        <f t="shared" si="143"/>
        <v>0.25697902360546598</v>
      </c>
      <c r="AF575" s="34">
        <f>MIN(Y575,'Scenario Modeling'!$B$2)</f>
        <v>0.20699999999999999</v>
      </c>
      <c r="AG575">
        <f>ROUND(AA575 * (1 + 'Scenario Modeling'!$B$4), 0)</f>
        <v>32</v>
      </c>
      <c r="AH575">
        <f>T575 * (1 + 'Scenario Modeling'!$B$3)</f>
        <v>444.41</v>
      </c>
      <c r="AI575" s="8">
        <f t="shared" si="144"/>
        <v>19139.594240000002</v>
      </c>
      <c r="AJ575" s="8">
        <f t="shared" si="145"/>
        <v>4918.4742400000014</v>
      </c>
    </row>
    <row r="576" spans="1:36">
      <c r="A576" t="s">
        <v>588</v>
      </c>
      <c r="B576" s="4">
        <v>45279</v>
      </c>
      <c r="C576" s="28">
        <v>45279</v>
      </c>
      <c r="D576" s="28" t="str">
        <f t="shared" si="130"/>
        <v>Q4-2023</v>
      </c>
      <c r="E576" s="4">
        <v>45292</v>
      </c>
      <c r="F576" s="4">
        <v>45292</v>
      </c>
      <c r="G576" s="17">
        <f t="shared" si="131"/>
        <v>13</v>
      </c>
      <c r="H576" s="17">
        <f t="shared" si="132"/>
        <v>13</v>
      </c>
      <c r="I576" t="str">
        <f t="shared" si="133"/>
        <v>No</v>
      </c>
      <c r="J576" s="2">
        <f t="shared" si="134"/>
        <v>44928</v>
      </c>
      <c r="K576" t="s">
        <v>648</v>
      </c>
      <c r="L576" t="s">
        <v>653</v>
      </c>
      <c r="M576" t="s">
        <v>667</v>
      </c>
      <c r="N576" t="str">
        <f t="shared" si="135"/>
        <v>Americas - Canada - Toronto</v>
      </c>
      <c r="O576" t="s">
        <v>706</v>
      </c>
      <c r="P576" t="s">
        <v>707</v>
      </c>
      <c r="Q576" t="s">
        <v>723</v>
      </c>
      <c r="R576" t="s">
        <v>732</v>
      </c>
      <c r="S576" t="s">
        <v>1306</v>
      </c>
      <c r="T576" s="6">
        <v>856.1</v>
      </c>
      <c r="U576" s="8">
        <v>901.48</v>
      </c>
      <c r="V576" s="8">
        <f t="shared" si="136"/>
        <v>901.48</v>
      </c>
      <c r="W576" s="8" t="str">
        <f t="shared" si="137"/>
        <v>Medium</v>
      </c>
      <c r="X576" s="15">
        <v>5.6000000000000001E-2</v>
      </c>
      <c r="Y576" s="15">
        <f t="shared" si="138"/>
        <v>5.6000000000000001E-2</v>
      </c>
      <c r="Z576" t="str">
        <f t="shared" si="139"/>
        <v>No</v>
      </c>
      <c r="AA576" s="17">
        <v>17</v>
      </c>
      <c r="AB576" s="8">
        <f t="shared" si="140"/>
        <v>14466.95104</v>
      </c>
      <c r="AC576" s="8">
        <f t="shared" si="141"/>
        <v>14553.7</v>
      </c>
      <c r="AD576" s="8">
        <f t="shared" si="142"/>
        <v>-86.748960000000807</v>
      </c>
      <c r="AE576" s="15">
        <f t="shared" si="143"/>
        <v>-5.9963540182134192E-3</v>
      </c>
      <c r="AF576" s="34">
        <f>MIN(Y576,'Scenario Modeling'!$B$2)</f>
        <v>5.6000000000000001E-2</v>
      </c>
      <c r="AG576">
        <f>ROUND(AA576 * (1 + 'Scenario Modeling'!$B$4), 0)</f>
        <v>17</v>
      </c>
      <c r="AH576">
        <f>T576 * (1 + 'Scenario Modeling'!$B$3)</f>
        <v>856.1</v>
      </c>
      <c r="AI576" s="8">
        <f t="shared" si="144"/>
        <v>14466.95104</v>
      </c>
      <c r="AJ576" s="8">
        <f t="shared" si="145"/>
        <v>-86.748960000000807</v>
      </c>
    </row>
    <row r="577" spans="1:36">
      <c r="A577" t="s">
        <v>589</v>
      </c>
      <c r="B577" s="4">
        <v>45042</v>
      </c>
      <c r="C577" s="28">
        <v>45042</v>
      </c>
      <c r="D577" s="28" t="str">
        <f t="shared" si="130"/>
        <v>Q2-2023</v>
      </c>
      <c r="E577" s="4">
        <v>45042</v>
      </c>
      <c r="F577" s="4">
        <v>45042</v>
      </c>
      <c r="G577" s="17">
        <f t="shared" si="131"/>
        <v>0</v>
      </c>
      <c r="H577" s="17">
        <f t="shared" si="132"/>
        <v>0</v>
      </c>
      <c r="I577" t="str">
        <f t="shared" si="133"/>
        <v>Yes</v>
      </c>
      <c r="J577" s="2">
        <f t="shared" si="134"/>
        <v>44936</v>
      </c>
      <c r="K577" t="s">
        <v>649</v>
      </c>
      <c r="L577" t="s">
        <v>657</v>
      </c>
      <c r="M577" t="s">
        <v>673</v>
      </c>
      <c r="N577" t="str">
        <f t="shared" si="135"/>
        <v>Europe - France - Marseille</v>
      </c>
      <c r="O577" t="s">
        <v>704</v>
      </c>
      <c r="P577" t="s">
        <v>711</v>
      </c>
      <c r="Q577" t="s">
        <v>724</v>
      </c>
      <c r="R577" t="s">
        <v>727</v>
      </c>
      <c r="S577" t="s">
        <v>1307</v>
      </c>
      <c r="T577" s="6">
        <v>81.489999999999995</v>
      </c>
      <c r="U577" s="8">
        <v>113.08</v>
      </c>
      <c r="V577" s="8">
        <f t="shared" si="136"/>
        <v>113.08</v>
      </c>
      <c r="W577" s="8" t="str">
        <f t="shared" si="137"/>
        <v>Low</v>
      </c>
      <c r="X577" s="15">
        <v>0.121</v>
      </c>
      <c r="Y577" s="15">
        <f t="shared" si="138"/>
        <v>0.121</v>
      </c>
      <c r="Z577" t="str">
        <f t="shared" si="139"/>
        <v>No</v>
      </c>
      <c r="AA577" s="17">
        <v>5</v>
      </c>
      <c r="AB577" s="8">
        <f t="shared" si="140"/>
        <v>496.98660000000001</v>
      </c>
      <c r="AC577" s="8">
        <f t="shared" si="141"/>
        <v>407.45</v>
      </c>
      <c r="AD577" s="8">
        <f t="shared" si="142"/>
        <v>89.536600000000021</v>
      </c>
      <c r="AE577" s="15">
        <f t="shared" si="143"/>
        <v>0.18015898215364362</v>
      </c>
      <c r="AF577" s="34">
        <f>MIN(Y577,'Scenario Modeling'!$B$2)</f>
        <v>0.121</v>
      </c>
      <c r="AG577">
        <f>ROUND(AA577 * (1 + 'Scenario Modeling'!$B$4), 0)</f>
        <v>5</v>
      </c>
      <c r="AH577">
        <f>T577 * (1 + 'Scenario Modeling'!$B$3)</f>
        <v>81.489999999999995</v>
      </c>
      <c r="AI577" s="8">
        <f t="shared" si="144"/>
        <v>496.98660000000001</v>
      </c>
      <c r="AJ577" s="8">
        <f t="shared" si="145"/>
        <v>89.536600000000021</v>
      </c>
    </row>
    <row r="578" spans="1:36">
      <c r="A578" t="s">
        <v>590</v>
      </c>
      <c r="B578" s="4">
        <v>45872</v>
      </c>
      <c r="C578" s="28">
        <v>45872</v>
      </c>
      <c r="D578" s="28" t="str">
        <f t="shared" si="130"/>
        <v>Q3-2025</v>
      </c>
      <c r="E578" s="4">
        <v>45885</v>
      </c>
      <c r="F578" s="4">
        <v>45885</v>
      </c>
      <c r="G578" s="17">
        <f t="shared" si="131"/>
        <v>13</v>
      </c>
      <c r="H578" s="17">
        <f t="shared" si="132"/>
        <v>13</v>
      </c>
      <c r="I578" t="str">
        <f t="shared" si="133"/>
        <v>No</v>
      </c>
      <c r="J578" s="2">
        <f t="shared" si="134"/>
        <v>44928</v>
      </c>
      <c r="K578" t="s">
        <v>648</v>
      </c>
      <c r="L578" t="s">
        <v>653</v>
      </c>
      <c r="M578" t="s">
        <v>681</v>
      </c>
      <c r="N578" t="str">
        <f t="shared" si="135"/>
        <v>Americas - Canada - Montreal</v>
      </c>
      <c r="O578" t="s">
        <v>706</v>
      </c>
      <c r="P578" t="s">
        <v>710</v>
      </c>
      <c r="Q578" t="s">
        <v>719</v>
      </c>
      <c r="R578" t="s">
        <v>729</v>
      </c>
      <c r="S578" t="s">
        <v>1308</v>
      </c>
      <c r="T578" s="6">
        <v>698.66</v>
      </c>
      <c r="U578" s="8">
        <v>868.62</v>
      </c>
      <c r="V578" s="8">
        <f t="shared" si="136"/>
        <v>868.62</v>
      </c>
      <c r="W578" s="8" t="str">
        <f t="shared" si="137"/>
        <v>Medium</v>
      </c>
      <c r="X578" s="15">
        <v>7.1999999999999995E-2</v>
      </c>
      <c r="Y578" s="15">
        <f t="shared" si="138"/>
        <v>7.1999999999999995E-2</v>
      </c>
      <c r="Z578" t="str">
        <f t="shared" si="139"/>
        <v>No</v>
      </c>
      <c r="AA578" s="17">
        <v>15</v>
      </c>
      <c r="AB578" s="8">
        <f t="shared" si="140"/>
        <v>12091.190399999999</v>
      </c>
      <c r="AC578" s="8">
        <f t="shared" si="141"/>
        <v>10479.9</v>
      </c>
      <c r="AD578" s="8">
        <f t="shared" si="142"/>
        <v>1611.2903999999999</v>
      </c>
      <c r="AE578" s="15">
        <f t="shared" si="143"/>
        <v>0.13326151906432637</v>
      </c>
      <c r="AF578" s="34">
        <f>MIN(Y578,'Scenario Modeling'!$B$2)</f>
        <v>7.1999999999999995E-2</v>
      </c>
      <c r="AG578">
        <f>ROUND(AA578 * (1 + 'Scenario Modeling'!$B$4), 0)</f>
        <v>15</v>
      </c>
      <c r="AH578">
        <f>T578 * (1 + 'Scenario Modeling'!$B$3)</f>
        <v>698.66</v>
      </c>
      <c r="AI578" s="8">
        <f t="shared" si="144"/>
        <v>12091.190399999999</v>
      </c>
      <c r="AJ578" s="8">
        <f t="shared" si="145"/>
        <v>1611.2903999999999</v>
      </c>
    </row>
    <row r="579" spans="1:36">
      <c r="A579" t="s">
        <v>591</v>
      </c>
      <c r="B579" s="4">
        <v>45140</v>
      </c>
      <c r="C579" s="28">
        <v>45140</v>
      </c>
      <c r="D579" s="28" t="str">
        <f t="shared" ref="D579:D633" si="146">"Q"&amp;ROUNDUP(MONTH(B579)/3,0)&amp;"-"&amp;YEAR(B579)</f>
        <v>Q3-2023</v>
      </c>
      <c r="E579" s="4">
        <v>45157</v>
      </c>
      <c r="F579" s="4">
        <v>45157</v>
      </c>
      <c r="G579" s="17">
        <f t="shared" ref="G579:G633" si="147">E579-B579</f>
        <v>17</v>
      </c>
      <c r="H579" s="17">
        <f t="shared" ref="H579:H633" si="148">F579-B579</f>
        <v>17</v>
      </c>
      <c r="I579" t="str">
        <f t="shared" ref="I579:I633" si="149">IF(H579&lt;=7, "Yes", "No")</f>
        <v>No</v>
      </c>
      <c r="J579" s="2">
        <f t="shared" ref="J579:J633" si="150">_xlfn.MINIFS($B$2:$B$633, $L$2:$L$633, L579)</f>
        <v>44928</v>
      </c>
      <c r="K579" t="s">
        <v>648</v>
      </c>
      <c r="L579" t="s">
        <v>653</v>
      </c>
      <c r="M579" t="s">
        <v>688</v>
      </c>
      <c r="N579" t="str">
        <f t="shared" ref="N579:N633" si="151">_xlfn.TEXTJOIN(" - ", TRUE, K579:M579)</f>
        <v>Americas - Canada - Vancouver</v>
      </c>
      <c r="O579" t="s">
        <v>701</v>
      </c>
      <c r="P579" t="s">
        <v>708</v>
      </c>
      <c r="Q579" t="s">
        <v>721</v>
      </c>
      <c r="R579" t="s">
        <v>729</v>
      </c>
      <c r="S579" t="s">
        <v>1309</v>
      </c>
      <c r="T579" s="6">
        <v>175.38</v>
      </c>
      <c r="U579" s="8">
        <v>347.9</v>
      </c>
      <c r="V579" s="8">
        <f t="shared" ref="V579:V633" si="152">ABS(U579)</f>
        <v>347.9</v>
      </c>
      <c r="W579" s="8" t="str">
        <f t="shared" ref="W579:W633" si="153">IF(V579 &lt;= _xlfn.PERCENTILE.INC($V$2:$V$633, 0.33), "Low", IF(V579 &lt;= _xlfn.PERCENTILE.INC($V$2:$V$633, 0.67), "Medium", "High"))</f>
        <v>Low</v>
      </c>
      <c r="X579" s="15">
        <v>7.1999999999999995E-2</v>
      </c>
      <c r="Y579" s="15">
        <f t="shared" ref="Y579:Y633" si="154">IF(X579&gt;30%,AVERAGEIF($X$2:$X$633,"&lt;30%"),X579)</f>
        <v>7.1999999999999995E-2</v>
      </c>
      <c r="Z579" t="str">
        <f t="shared" ref="Z579:Z633" si="155">IF(Y579&gt;0.2, "Yes", "No")</f>
        <v>No</v>
      </c>
      <c r="AA579" s="17">
        <v>43</v>
      </c>
      <c r="AB579" s="8">
        <f t="shared" ref="AB579:AB633" si="156">U579*AA579*(1-Y579)</f>
        <v>13882.6016</v>
      </c>
      <c r="AC579" s="8">
        <f t="shared" ref="AC579:AC633" si="157">T579*AA579</f>
        <v>7541.34</v>
      </c>
      <c r="AD579" s="8">
        <f t="shared" ref="AD579:AD634" si="158">AB579-AC579</f>
        <v>6341.2615999999998</v>
      </c>
      <c r="AE579" s="15">
        <f t="shared" ref="AE579:AE634" si="159" xml:space="preserve"> IF(AB579=0, 0, AD579 / AB579)</f>
        <v>0.45677761148169804</v>
      </c>
      <c r="AF579" s="34">
        <f>MIN(Y579,'Scenario Modeling'!$B$2)</f>
        <v>7.1999999999999995E-2</v>
      </c>
      <c r="AG579">
        <f>ROUND(AA579 * (1 + 'Scenario Modeling'!$B$4), 0)</f>
        <v>43</v>
      </c>
      <c r="AH579">
        <f>T579 * (1 + 'Scenario Modeling'!$B$3)</f>
        <v>175.38</v>
      </c>
      <c r="AI579" s="8">
        <f t="shared" ref="AI579:AI633" si="160">V579 * AG579 * (1 - AF579)</f>
        <v>13882.6016</v>
      </c>
      <c r="AJ579" s="8">
        <f t="shared" ref="AJ579:AJ633" si="161">AI579 - (AH579 * AG579)</f>
        <v>6341.2615999999998</v>
      </c>
    </row>
    <row r="580" spans="1:36">
      <c r="A580" t="s">
        <v>592</v>
      </c>
      <c r="B580" s="4">
        <v>45092</v>
      </c>
      <c r="C580" s="28">
        <v>45092</v>
      </c>
      <c r="D580" s="28" t="str">
        <f t="shared" si="146"/>
        <v>Q2-2023</v>
      </c>
      <c r="E580" s="4">
        <v>45119</v>
      </c>
      <c r="F580" s="4">
        <v>45119</v>
      </c>
      <c r="G580" s="17">
        <f t="shared" si="147"/>
        <v>27</v>
      </c>
      <c r="H580" s="17">
        <f t="shared" si="148"/>
        <v>27</v>
      </c>
      <c r="I580" t="str">
        <f t="shared" si="149"/>
        <v>No</v>
      </c>
      <c r="J580" s="2">
        <f t="shared" si="150"/>
        <v>44945</v>
      </c>
      <c r="K580" t="s">
        <v>649</v>
      </c>
      <c r="L580" t="s">
        <v>658</v>
      </c>
      <c r="M580" t="s">
        <v>693</v>
      </c>
      <c r="N580" t="str">
        <f t="shared" si="151"/>
        <v>Europe - United Kingdom - Manchester</v>
      </c>
      <c r="O580" t="s">
        <v>704</v>
      </c>
      <c r="P580" t="s">
        <v>711</v>
      </c>
      <c r="Q580" t="s">
        <v>714</v>
      </c>
      <c r="R580" t="s">
        <v>733</v>
      </c>
      <c r="S580" t="s">
        <v>1310</v>
      </c>
      <c r="T580" s="6">
        <v>751.28</v>
      </c>
      <c r="U580" s="8">
        <v>1111.8800000000001</v>
      </c>
      <c r="V580" s="8">
        <f t="shared" si="152"/>
        <v>1111.8800000000001</v>
      </c>
      <c r="W580" s="8" t="str">
        <f t="shared" si="153"/>
        <v>Medium</v>
      </c>
      <c r="X580" s="15">
        <v>0.13500000000000001</v>
      </c>
      <c r="Y580" s="15">
        <f t="shared" si="154"/>
        <v>0.13500000000000001</v>
      </c>
      <c r="Z580" t="str">
        <f t="shared" si="155"/>
        <v>No</v>
      </c>
      <c r="AA580" s="17">
        <v>7</v>
      </c>
      <c r="AB580" s="8">
        <f t="shared" si="156"/>
        <v>6732.4334000000008</v>
      </c>
      <c r="AC580" s="8">
        <f t="shared" si="157"/>
        <v>5258.96</v>
      </c>
      <c r="AD580" s="8">
        <f t="shared" si="158"/>
        <v>1473.4734000000008</v>
      </c>
      <c r="AE580" s="15">
        <f t="shared" si="159"/>
        <v>0.21886193482433863</v>
      </c>
      <c r="AF580" s="34">
        <f>MIN(Y580,'Scenario Modeling'!$B$2)</f>
        <v>0.13500000000000001</v>
      </c>
      <c r="AG580">
        <f>ROUND(AA580 * (1 + 'Scenario Modeling'!$B$4), 0)</f>
        <v>7</v>
      </c>
      <c r="AH580">
        <f>T580 * (1 + 'Scenario Modeling'!$B$3)</f>
        <v>751.28</v>
      </c>
      <c r="AI580" s="8">
        <f t="shared" si="160"/>
        <v>6732.4334000000008</v>
      </c>
      <c r="AJ580" s="8">
        <f t="shared" si="161"/>
        <v>1473.4734000000008</v>
      </c>
    </row>
    <row r="581" spans="1:36">
      <c r="A581" t="s">
        <v>593</v>
      </c>
      <c r="B581" s="4">
        <v>45607</v>
      </c>
      <c r="C581" s="28">
        <v>45607</v>
      </c>
      <c r="D581" s="28" t="str">
        <f t="shared" si="146"/>
        <v>Q4-2024</v>
      </c>
      <c r="E581" s="4">
        <v>45620</v>
      </c>
      <c r="F581" s="4">
        <v>45620</v>
      </c>
      <c r="G581" s="17">
        <f t="shared" si="147"/>
        <v>13</v>
      </c>
      <c r="H581" s="17">
        <f t="shared" si="148"/>
        <v>13</v>
      </c>
      <c r="I581" t="str">
        <f t="shared" si="149"/>
        <v>No</v>
      </c>
      <c r="J581" s="2">
        <f t="shared" si="150"/>
        <v>44945</v>
      </c>
      <c r="K581" t="s">
        <v>649</v>
      </c>
      <c r="L581" t="s">
        <v>658</v>
      </c>
      <c r="M581" t="s">
        <v>683</v>
      </c>
      <c r="N581" t="str">
        <f t="shared" si="151"/>
        <v>Europe - United Kingdom - London</v>
      </c>
      <c r="O581" t="s">
        <v>701</v>
      </c>
      <c r="P581" t="s">
        <v>707</v>
      </c>
      <c r="Q581" t="s">
        <v>718</v>
      </c>
      <c r="R581" t="s">
        <v>729</v>
      </c>
      <c r="S581" t="s">
        <v>1311</v>
      </c>
      <c r="T581" s="6">
        <v>164.53</v>
      </c>
      <c r="U581" s="8">
        <v>327.72</v>
      </c>
      <c r="V581" s="8">
        <f t="shared" si="152"/>
        <v>327.72</v>
      </c>
      <c r="W581" s="8" t="str">
        <f t="shared" si="153"/>
        <v>Low</v>
      </c>
      <c r="X581" s="15">
        <v>6.7000000000000004E-2</v>
      </c>
      <c r="Y581" s="15">
        <f t="shared" si="154"/>
        <v>6.7000000000000004E-2</v>
      </c>
      <c r="Z581" t="str">
        <f t="shared" si="155"/>
        <v>No</v>
      </c>
      <c r="AA581" s="17">
        <v>14</v>
      </c>
      <c r="AB581" s="8">
        <f t="shared" si="156"/>
        <v>4280.6786400000001</v>
      </c>
      <c r="AC581" s="8">
        <f t="shared" si="157"/>
        <v>2303.42</v>
      </c>
      <c r="AD581" s="8">
        <f t="shared" si="158"/>
        <v>1977.25864</v>
      </c>
      <c r="AE581" s="15">
        <f t="shared" si="159"/>
        <v>0.46190307805960412</v>
      </c>
      <c r="AF581" s="34">
        <f>MIN(Y581,'Scenario Modeling'!$B$2)</f>
        <v>6.7000000000000004E-2</v>
      </c>
      <c r="AG581">
        <f>ROUND(AA581 * (1 + 'Scenario Modeling'!$B$4), 0)</f>
        <v>14</v>
      </c>
      <c r="AH581">
        <f>T581 * (1 + 'Scenario Modeling'!$B$3)</f>
        <v>164.53</v>
      </c>
      <c r="AI581" s="8">
        <f t="shared" si="160"/>
        <v>4280.6786400000001</v>
      </c>
      <c r="AJ581" s="8">
        <f t="shared" si="161"/>
        <v>1977.25864</v>
      </c>
    </row>
    <row r="582" spans="1:36">
      <c r="A582" t="s">
        <v>594</v>
      </c>
      <c r="B582" s="4">
        <v>45849</v>
      </c>
      <c r="C582" s="28">
        <v>45849</v>
      </c>
      <c r="D582" s="28" t="str">
        <f t="shared" si="146"/>
        <v>Q3-2025</v>
      </c>
      <c r="E582" s="4">
        <v>45872</v>
      </c>
      <c r="F582" s="4">
        <v>45872</v>
      </c>
      <c r="G582" s="17">
        <f t="shared" si="147"/>
        <v>23</v>
      </c>
      <c r="H582" s="17">
        <f t="shared" si="148"/>
        <v>23</v>
      </c>
      <c r="I582" t="str">
        <f t="shared" si="149"/>
        <v>No</v>
      </c>
      <c r="J582" s="2">
        <f t="shared" si="150"/>
        <v>44946</v>
      </c>
      <c r="K582" t="s">
        <v>646</v>
      </c>
      <c r="L582" t="s">
        <v>650</v>
      </c>
      <c r="M582" t="s">
        <v>678</v>
      </c>
      <c r="N582" t="str">
        <f t="shared" si="151"/>
        <v>Africa - Kenya - Nakuru</v>
      </c>
      <c r="O582" t="s">
        <v>705</v>
      </c>
      <c r="P582" t="s">
        <v>707</v>
      </c>
      <c r="Q582" t="s">
        <v>712</v>
      </c>
      <c r="R582" t="s">
        <v>730</v>
      </c>
      <c r="S582" t="s">
        <v>1312</v>
      </c>
      <c r="T582" s="6">
        <v>389.93</v>
      </c>
      <c r="U582" s="8">
        <v>486.13</v>
      </c>
      <c r="V582" s="8">
        <f t="shared" si="152"/>
        <v>486.13</v>
      </c>
      <c r="W582" s="8" t="str">
        <f t="shared" si="153"/>
        <v>Low</v>
      </c>
      <c r="X582" s="15">
        <v>0.13200000000000001</v>
      </c>
      <c r="Y582" s="15">
        <f t="shared" si="154"/>
        <v>0.13200000000000001</v>
      </c>
      <c r="Z582" t="str">
        <f t="shared" si="155"/>
        <v>No</v>
      </c>
      <c r="AA582" s="17">
        <v>17</v>
      </c>
      <c r="AB582" s="8">
        <f t="shared" si="156"/>
        <v>7173.3342799999991</v>
      </c>
      <c r="AC582" s="8">
        <f t="shared" si="157"/>
        <v>6628.81</v>
      </c>
      <c r="AD582" s="8">
        <f t="shared" si="158"/>
        <v>544.52427999999873</v>
      </c>
      <c r="AE582" s="15">
        <f t="shared" si="159"/>
        <v>7.5909508569562828E-2</v>
      </c>
      <c r="AF582" s="34">
        <f>MIN(Y582,'Scenario Modeling'!$B$2)</f>
        <v>0.13200000000000001</v>
      </c>
      <c r="AG582">
        <f>ROUND(AA582 * (1 + 'Scenario Modeling'!$B$4), 0)</f>
        <v>17</v>
      </c>
      <c r="AH582">
        <f>T582 * (1 + 'Scenario Modeling'!$B$3)</f>
        <v>389.93</v>
      </c>
      <c r="AI582" s="8">
        <f t="shared" si="160"/>
        <v>7173.3342799999991</v>
      </c>
      <c r="AJ582" s="8">
        <f t="shared" si="161"/>
        <v>544.52427999999873</v>
      </c>
    </row>
    <row r="583" spans="1:36">
      <c r="A583" t="s">
        <v>595</v>
      </c>
      <c r="B583" s="4">
        <v>45080</v>
      </c>
      <c r="C583" s="28">
        <v>45080</v>
      </c>
      <c r="D583" s="28" t="str">
        <f t="shared" si="146"/>
        <v>Q2-2023</v>
      </c>
      <c r="E583" s="4">
        <v>45108</v>
      </c>
      <c r="F583" s="4">
        <v>45108</v>
      </c>
      <c r="G583" s="17">
        <f t="shared" si="147"/>
        <v>28</v>
      </c>
      <c r="H583" s="17">
        <f t="shared" si="148"/>
        <v>28</v>
      </c>
      <c r="I583" t="str">
        <f t="shared" si="149"/>
        <v>No</v>
      </c>
      <c r="J583" s="2">
        <f t="shared" si="150"/>
        <v>44955</v>
      </c>
      <c r="K583" t="s">
        <v>648</v>
      </c>
      <c r="L583" t="s">
        <v>655</v>
      </c>
      <c r="M583" t="s">
        <v>672</v>
      </c>
      <c r="N583" t="str">
        <f t="shared" si="151"/>
        <v>Americas - Brazil - Brasília</v>
      </c>
      <c r="O583" t="s">
        <v>705</v>
      </c>
      <c r="P583" t="s">
        <v>709</v>
      </c>
      <c r="Q583" t="s">
        <v>720</v>
      </c>
      <c r="R583" t="s">
        <v>727</v>
      </c>
      <c r="S583" t="s">
        <v>1313</v>
      </c>
      <c r="T583" s="6">
        <v>860.4</v>
      </c>
      <c r="U583" s="8">
        <v>2066.6</v>
      </c>
      <c r="V583" s="8">
        <f t="shared" si="152"/>
        <v>2066.6</v>
      </c>
      <c r="W583" s="8" t="str">
        <f t="shared" si="153"/>
        <v>High</v>
      </c>
      <c r="X583" s="15">
        <v>0.01</v>
      </c>
      <c r="Y583" s="15">
        <f t="shared" si="154"/>
        <v>0.01</v>
      </c>
      <c r="Z583" t="str">
        <f t="shared" si="155"/>
        <v>No</v>
      </c>
      <c r="AA583" s="17">
        <v>3</v>
      </c>
      <c r="AB583" s="8">
        <f t="shared" si="156"/>
        <v>6137.8019999999988</v>
      </c>
      <c r="AC583" s="8">
        <f t="shared" si="157"/>
        <v>2581.1999999999998</v>
      </c>
      <c r="AD583" s="8">
        <f t="shared" si="158"/>
        <v>3556.601999999999</v>
      </c>
      <c r="AE583" s="15">
        <f t="shared" si="159"/>
        <v>0.57945857491004105</v>
      </c>
      <c r="AF583" s="34">
        <f>MIN(Y583,'Scenario Modeling'!$B$2)</f>
        <v>0.01</v>
      </c>
      <c r="AG583">
        <f>ROUND(AA583 * (1 + 'Scenario Modeling'!$B$4), 0)</f>
        <v>3</v>
      </c>
      <c r="AH583">
        <f>T583 * (1 + 'Scenario Modeling'!$B$3)</f>
        <v>860.4</v>
      </c>
      <c r="AI583" s="8">
        <f t="shared" si="160"/>
        <v>6137.8019999999988</v>
      </c>
      <c r="AJ583" s="8">
        <f t="shared" si="161"/>
        <v>3556.601999999999</v>
      </c>
    </row>
    <row r="584" spans="1:36">
      <c r="A584" t="s">
        <v>596</v>
      </c>
      <c r="B584" s="4">
        <v>44955</v>
      </c>
      <c r="C584" s="28">
        <v>44955</v>
      </c>
      <c r="D584" s="28" t="str">
        <f t="shared" si="146"/>
        <v>Q1-2023</v>
      </c>
      <c r="E584" s="4">
        <v>44963</v>
      </c>
      <c r="F584" s="4">
        <v>44963</v>
      </c>
      <c r="G584" s="17">
        <f t="shared" si="147"/>
        <v>8</v>
      </c>
      <c r="H584" s="17">
        <f t="shared" si="148"/>
        <v>8</v>
      </c>
      <c r="I584" t="str">
        <f t="shared" si="149"/>
        <v>No</v>
      </c>
      <c r="J584" s="2">
        <f t="shared" si="150"/>
        <v>44955</v>
      </c>
      <c r="K584" t="s">
        <v>648</v>
      </c>
      <c r="L584" t="s">
        <v>655</v>
      </c>
      <c r="M584" t="s">
        <v>672</v>
      </c>
      <c r="N584" t="str">
        <f t="shared" si="151"/>
        <v>Americas - Brazil - Brasília</v>
      </c>
      <c r="O584" t="s">
        <v>701</v>
      </c>
      <c r="P584" t="s">
        <v>709</v>
      </c>
      <c r="Q584" t="s">
        <v>726</v>
      </c>
      <c r="R584" t="s">
        <v>732</v>
      </c>
      <c r="S584" t="s">
        <v>1314</v>
      </c>
      <c r="T584" s="6">
        <v>41.84</v>
      </c>
      <c r="U584" s="8">
        <v>86.2</v>
      </c>
      <c r="V584" s="8">
        <f t="shared" si="152"/>
        <v>86.2</v>
      </c>
      <c r="W584" s="8" t="str">
        <f t="shared" si="153"/>
        <v>Low</v>
      </c>
      <c r="X584" s="15">
        <v>0.22600000000000001</v>
      </c>
      <c r="Y584" s="15">
        <f t="shared" si="154"/>
        <v>0.22600000000000001</v>
      </c>
      <c r="Z584" t="str">
        <f t="shared" si="155"/>
        <v>Yes</v>
      </c>
      <c r="AA584" s="17">
        <v>27</v>
      </c>
      <c r="AB584" s="8">
        <f t="shared" si="156"/>
        <v>1801.4076000000002</v>
      </c>
      <c r="AC584" s="8">
        <f t="shared" si="157"/>
        <v>1129.68</v>
      </c>
      <c r="AD584" s="8">
        <f t="shared" si="158"/>
        <v>671.72760000000017</v>
      </c>
      <c r="AE584" s="15">
        <f t="shared" si="159"/>
        <v>0.37289039970742882</v>
      </c>
      <c r="AF584" s="34">
        <f>MIN(Y584,'Scenario Modeling'!$B$2)</f>
        <v>0.22600000000000001</v>
      </c>
      <c r="AG584">
        <f>ROUND(AA584 * (1 + 'Scenario Modeling'!$B$4), 0)</f>
        <v>27</v>
      </c>
      <c r="AH584">
        <f>T584 * (1 + 'Scenario Modeling'!$B$3)</f>
        <v>41.84</v>
      </c>
      <c r="AI584" s="8">
        <f t="shared" si="160"/>
        <v>1801.4076000000002</v>
      </c>
      <c r="AJ584" s="8">
        <f t="shared" si="161"/>
        <v>671.72760000000017</v>
      </c>
    </row>
    <row r="585" spans="1:36">
      <c r="A585" t="s">
        <v>597</v>
      </c>
      <c r="B585" s="4">
        <v>45541</v>
      </c>
      <c r="C585" s="28">
        <v>45541</v>
      </c>
      <c r="D585" s="28" t="str">
        <f t="shared" si="146"/>
        <v>Q3-2024</v>
      </c>
      <c r="E585" s="4">
        <v>45539</v>
      </c>
      <c r="F585" s="4">
        <f>B585+14</f>
        <v>45555</v>
      </c>
      <c r="G585" s="17">
        <f t="shared" si="147"/>
        <v>-2</v>
      </c>
      <c r="H585" s="17">
        <f t="shared" si="148"/>
        <v>14</v>
      </c>
      <c r="I585" t="str">
        <f t="shared" si="149"/>
        <v>No</v>
      </c>
      <c r="J585" s="2">
        <f t="shared" si="150"/>
        <v>44988</v>
      </c>
      <c r="K585" t="s">
        <v>647</v>
      </c>
      <c r="L585" t="s">
        <v>652</v>
      </c>
      <c r="M585" t="s">
        <v>666</v>
      </c>
      <c r="N585" t="str">
        <f t="shared" si="151"/>
        <v>Asia - Japan - Osaka</v>
      </c>
      <c r="O585" t="s">
        <v>701</v>
      </c>
      <c r="P585" t="s">
        <v>711</v>
      </c>
      <c r="Q585" t="s">
        <v>720</v>
      </c>
      <c r="R585" t="s">
        <v>731</v>
      </c>
      <c r="S585" t="s">
        <v>1315</v>
      </c>
      <c r="T585" s="6">
        <v>1368.17</v>
      </c>
      <c r="U585" s="8">
        <v>2307.75</v>
      </c>
      <c r="V585" s="8">
        <f t="shared" si="152"/>
        <v>2307.75</v>
      </c>
      <c r="W585" s="8" t="str">
        <f t="shared" si="153"/>
        <v>High</v>
      </c>
      <c r="X585" s="15">
        <v>0.16300000000000001</v>
      </c>
      <c r="Y585" s="15">
        <f t="shared" si="154"/>
        <v>0.16300000000000001</v>
      </c>
      <c r="Z585" t="str">
        <f t="shared" si="155"/>
        <v>No</v>
      </c>
      <c r="AA585" s="17">
        <v>21</v>
      </c>
      <c r="AB585" s="8">
        <f t="shared" si="156"/>
        <v>40563.321749999996</v>
      </c>
      <c r="AC585" s="8">
        <f t="shared" si="157"/>
        <v>28731.57</v>
      </c>
      <c r="AD585" s="8">
        <f t="shared" si="158"/>
        <v>11831.751749999996</v>
      </c>
      <c r="AE585" s="15">
        <f t="shared" si="159"/>
        <v>0.29168596750831921</v>
      </c>
      <c r="AF585" s="34">
        <f>MIN(Y585,'Scenario Modeling'!$B$2)</f>
        <v>0.16300000000000001</v>
      </c>
      <c r="AG585">
        <f>ROUND(AA585 * (1 + 'Scenario Modeling'!$B$4), 0)</f>
        <v>21</v>
      </c>
      <c r="AH585">
        <f>T585 * (1 + 'Scenario Modeling'!$B$3)</f>
        <v>1368.17</v>
      </c>
      <c r="AI585" s="8">
        <f t="shared" si="160"/>
        <v>40563.321749999996</v>
      </c>
      <c r="AJ585" s="8">
        <f t="shared" si="161"/>
        <v>11831.751749999996</v>
      </c>
    </row>
    <row r="586" spans="1:36">
      <c r="A586" t="s">
        <v>598</v>
      </c>
      <c r="B586" s="4">
        <v>45507</v>
      </c>
      <c r="C586" s="28">
        <v>45507</v>
      </c>
      <c r="D586" s="28" t="str">
        <f t="shared" si="146"/>
        <v>Q3-2024</v>
      </c>
      <c r="E586" s="4">
        <v>45513</v>
      </c>
      <c r="F586" s="4">
        <v>45513</v>
      </c>
      <c r="G586" s="17">
        <f t="shared" si="147"/>
        <v>6</v>
      </c>
      <c r="H586" s="17">
        <f t="shared" si="148"/>
        <v>6</v>
      </c>
      <c r="I586" t="str">
        <f t="shared" si="149"/>
        <v>Yes</v>
      </c>
      <c r="J586" s="2">
        <f t="shared" si="150"/>
        <v>44946</v>
      </c>
      <c r="K586" t="s">
        <v>646</v>
      </c>
      <c r="L586" t="s">
        <v>650</v>
      </c>
      <c r="M586" t="s">
        <v>675</v>
      </c>
      <c r="N586" t="str">
        <f t="shared" si="151"/>
        <v>Africa - Kenya - Mombasa</v>
      </c>
      <c r="O586" t="s">
        <v>704</v>
      </c>
      <c r="P586" t="s">
        <v>709</v>
      </c>
      <c r="Q586" t="s">
        <v>722</v>
      </c>
      <c r="R586" t="s">
        <v>731</v>
      </c>
      <c r="S586" t="s">
        <v>1316</v>
      </c>
      <c r="T586" s="6">
        <v>643.21</v>
      </c>
      <c r="U586" s="8">
        <v>1112.81</v>
      </c>
      <c r="V586" s="8">
        <f t="shared" si="152"/>
        <v>1112.81</v>
      </c>
      <c r="W586" s="8" t="str">
        <f t="shared" si="153"/>
        <v>Medium</v>
      </c>
      <c r="X586" s="15">
        <v>0.14099999999999999</v>
      </c>
      <c r="Y586" s="15">
        <f t="shared" si="154"/>
        <v>0.14099999999999999</v>
      </c>
      <c r="Z586" t="str">
        <f t="shared" si="155"/>
        <v>No</v>
      </c>
      <c r="AA586" s="17">
        <v>4</v>
      </c>
      <c r="AB586" s="8">
        <f t="shared" si="156"/>
        <v>3823.6151599999998</v>
      </c>
      <c r="AC586" s="8">
        <f t="shared" si="157"/>
        <v>2572.84</v>
      </c>
      <c r="AD586" s="8">
        <f t="shared" si="158"/>
        <v>1250.7751599999997</v>
      </c>
      <c r="AE586" s="15">
        <f t="shared" si="159"/>
        <v>0.32711847496702562</v>
      </c>
      <c r="AF586" s="34">
        <f>MIN(Y586,'Scenario Modeling'!$B$2)</f>
        <v>0.14099999999999999</v>
      </c>
      <c r="AG586">
        <f>ROUND(AA586 * (1 + 'Scenario Modeling'!$B$4), 0)</f>
        <v>4</v>
      </c>
      <c r="AH586">
        <f>T586 * (1 + 'Scenario Modeling'!$B$3)</f>
        <v>643.21</v>
      </c>
      <c r="AI586" s="8">
        <f t="shared" si="160"/>
        <v>3823.6151599999998</v>
      </c>
      <c r="AJ586" s="8">
        <f t="shared" si="161"/>
        <v>1250.7751599999997</v>
      </c>
    </row>
    <row r="587" spans="1:36">
      <c r="A587" t="s">
        <v>599</v>
      </c>
      <c r="B587" s="4">
        <v>45764</v>
      </c>
      <c r="C587" s="28">
        <v>45764</v>
      </c>
      <c r="D587" s="28" t="str">
        <f t="shared" si="146"/>
        <v>Q2-2025</v>
      </c>
      <c r="E587" s="4">
        <v>45764</v>
      </c>
      <c r="F587" s="4">
        <v>45764</v>
      </c>
      <c r="G587" s="17">
        <f t="shared" si="147"/>
        <v>0</v>
      </c>
      <c r="H587" s="17">
        <f t="shared" si="148"/>
        <v>0</v>
      </c>
      <c r="I587" t="str">
        <f t="shared" si="149"/>
        <v>Yes</v>
      </c>
      <c r="J587" s="2">
        <f t="shared" si="150"/>
        <v>44955</v>
      </c>
      <c r="K587" t="s">
        <v>648</v>
      </c>
      <c r="L587" t="s">
        <v>655</v>
      </c>
      <c r="M587" t="s">
        <v>670</v>
      </c>
      <c r="N587" t="str">
        <f t="shared" si="151"/>
        <v>Americas - Brazil - São Paulo</v>
      </c>
      <c r="O587" t="s">
        <v>701</v>
      </c>
      <c r="P587" t="s">
        <v>710</v>
      </c>
      <c r="Q587" t="s">
        <v>716</v>
      </c>
      <c r="R587" t="s">
        <v>730</v>
      </c>
      <c r="S587" t="s">
        <v>1317</v>
      </c>
      <c r="T587" s="6">
        <v>719.41</v>
      </c>
      <c r="U587" s="8">
        <v>1125.99</v>
      </c>
      <c r="V587" s="8">
        <f t="shared" si="152"/>
        <v>1125.99</v>
      </c>
      <c r="W587" s="8" t="str">
        <f t="shared" si="153"/>
        <v>Medium</v>
      </c>
      <c r="X587" s="15">
        <v>4.1000000000000002E-2</v>
      </c>
      <c r="Y587" s="15">
        <f t="shared" si="154"/>
        <v>4.1000000000000002E-2</v>
      </c>
      <c r="Z587" t="str">
        <f t="shared" si="155"/>
        <v>No</v>
      </c>
      <c r="AA587" s="17">
        <v>21</v>
      </c>
      <c r="AB587" s="8">
        <f t="shared" si="156"/>
        <v>22676.312610000001</v>
      </c>
      <c r="AC587" s="8">
        <f t="shared" si="157"/>
        <v>15107.609999999999</v>
      </c>
      <c r="AD587" s="8">
        <f t="shared" si="158"/>
        <v>7568.7026100000021</v>
      </c>
      <c r="AE587" s="15">
        <f t="shared" si="159"/>
        <v>0.33377131194876403</v>
      </c>
      <c r="AF587" s="34">
        <f>MIN(Y587,'Scenario Modeling'!$B$2)</f>
        <v>4.1000000000000002E-2</v>
      </c>
      <c r="AG587">
        <f>ROUND(AA587 * (1 + 'Scenario Modeling'!$B$4), 0)</f>
        <v>21</v>
      </c>
      <c r="AH587">
        <f>T587 * (1 + 'Scenario Modeling'!$B$3)</f>
        <v>719.41</v>
      </c>
      <c r="AI587" s="8">
        <f t="shared" si="160"/>
        <v>22676.312610000001</v>
      </c>
      <c r="AJ587" s="8">
        <f t="shared" si="161"/>
        <v>7568.7026100000021</v>
      </c>
    </row>
    <row r="588" spans="1:36">
      <c r="A588" t="s">
        <v>600</v>
      </c>
      <c r="B588" s="4">
        <v>45049</v>
      </c>
      <c r="C588" s="28">
        <v>45049</v>
      </c>
      <c r="D588" s="28" t="str">
        <f t="shared" si="146"/>
        <v>Q2-2023</v>
      </c>
      <c r="E588" s="4">
        <v>45062</v>
      </c>
      <c r="F588" s="4">
        <v>45062</v>
      </c>
      <c r="G588" s="17">
        <f t="shared" si="147"/>
        <v>13</v>
      </c>
      <c r="H588" s="17">
        <f t="shared" si="148"/>
        <v>13</v>
      </c>
      <c r="I588" t="str">
        <f t="shared" si="149"/>
        <v>No</v>
      </c>
      <c r="J588" s="2">
        <f t="shared" si="150"/>
        <v>44939</v>
      </c>
      <c r="K588" t="s">
        <v>648</v>
      </c>
      <c r="L588" t="s">
        <v>660</v>
      </c>
      <c r="M588" t="s">
        <v>700</v>
      </c>
      <c r="N588" t="str">
        <f t="shared" si="151"/>
        <v>Americas - USA - New York</v>
      </c>
      <c r="O588" t="s">
        <v>701</v>
      </c>
      <c r="P588" t="s">
        <v>709</v>
      </c>
      <c r="Q588" t="s">
        <v>716</v>
      </c>
      <c r="R588" t="s">
        <v>730</v>
      </c>
      <c r="S588" t="s">
        <v>1318</v>
      </c>
      <c r="T588" s="6">
        <v>64.5</v>
      </c>
      <c r="U588" s="8">
        <v>123.62</v>
      </c>
      <c r="V588" s="8">
        <f t="shared" si="152"/>
        <v>123.62</v>
      </c>
      <c r="W588" s="8" t="str">
        <f t="shared" si="153"/>
        <v>Low</v>
      </c>
      <c r="X588" s="15">
        <v>0</v>
      </c>
      <c r="Y588" s="15">
        <f t="shared" si="154"/>
        <v>0</v>
      </c>
      <c r="Z588" t="str">
        <f t="shared" si="155"/>
        <v>No</v>
      </c>
      <c r="AA588" s="17">
        <v>3</v>
      </c>
      <c r="AB588" s="8">
        <f t="shared" si="156"/>
        <v>370.86</v>
      </c>
      <c r="AC588" s="8">
        <f t="shared" si="157"/>
        <v>193.5</v>
      </c>
      <c r="AD588" s="8">
        <f t="shared" si="158"/>
        <v>177.36</v>
      </c>
      <c r="AE588" s="15">
        <f t="shared" si="159"/>
        <v>0.47823976702798904</v>
      </c>
      <c r="AF588" s="34">
        <f>MIN(Y588,'Scenario Modeling'!$B$2)</f>
        <v>0</v>
      </c>
      <c r="AG588">
        <f>ROUND(AA588 * (1 + 'Scenario Modeling'!$B$4), 0)</f>
        <v>3</v>
      </c>
      <c r="AH588">
        <f>T588 * (1 + 'Scenario Modeling'!$B$3)</f>
        <v>64.5</v>
      </c>
      <c r="AI588" s="8">
        <f t="shared" si="160"/>
        <v>370.86</v>
      </c>
      <c r="AJ588" s="8">
        <f t="shared" si="161"/>
        <v>177.36</v>
      </c>
    </row>
    <row r="589" spans="1:36">
      <c r="A589" t="s">
        <v>601</v>
      </c>
      <c r="B589" s="4">
        <v>45364</v>
      </c>
      <c r="C589" s="28">
        <v>45364</v>
      </c>
      <c r="D589" s="28" t="str">
        <f t="shared" si="146"/>
        <v>Q1-2024</v>
      </c>
      <c r="E589" s="4">
        <v>45388</v>
      </c>
      <c r="F589" s="4">
        <v>45388</v>
      </c>
      <c r="G589" s="17">
        <f t="shared" si="147"/>
        <v>24</v>
      </c>
      <c r="H589" s="17">
        <f t="shared" si="148"/>
        <v>24</v>
      </c>
      <c r="I589" t="str">
        <f t="shared" si="149"/>
        <v>No</v>
      </c>
      <c r="J589" s="2">
        <f t="shared" si="150"/>
        <v>44941</v>
      </c>
      <c r="K589" t="s">
        <v>646</v>
      </c>
      <c r="L589" t="s">
        <v>651</v>
      </c>
      <c r="M589" t="s">
        <v>669</v>
      </c>
      <c r="N589" t="str">
        <f t="shared" si="151"/>
        <v>Africa - Nigeria - Abuja</v>
      </c>
      <c r="O589" t="s">
        <v>704</v>
      </c>
      <c r="P589" t="s">
        <v>710</v>
      </c>
      <c r="Q589" t="s">
        <v>716</v>
      </c>
      <c r="R589" t="s">
        <v>727</v>
      </c>
      <c r="S589" t="s">
        <v>1319</v>
      </c>
      <c r="T589" s="6">
        <v>1232.78</v>
      </c>
      <c r="U589" s="8">
        <v>1731.75</v>
      </c>
      <c r="V589" s="8">
        <f t="shared" si="152"/>
        <v>1731.75</v>
      </c>
      <c r="W589" s="8" t="str">
        <f t="shared" si="153"/>
        <v>High</v>
      </c>
      <c r="X589" s="15">
        <v>9.2999999999999999E-2</v>
      </c>
      <c r="Y589" s="15">
        <f t="shared" si="154"/>
        <v>9.2999999999999999E-2</v>
      </c>
      <c r="Z589" t="str">
        <f t="shared" si="155"/>
        <v>No</v>
      </c>
      <c r="AA589" s="17">
        <v>16</v>
      </c>
      <c r="AB589" s="8">
        <f t="shared" si="156"/>
        <v>25131.155999999999</v>
      </c>
      <c r="AC589" s="8">
        <f t="shared" si="157"/>
        <v>19724.48</v>
      </c>
      <c r="AD589" s="8">
        <f t="shared" si="158"/>
        <v>5406.6759999999995</v>
      </c>
      <c r="AE589" s="15">
        <f t="shared" si="159"/>
        <v>0.21513837246484005</v>
      </c>
      <c r="AF589" s="34">
        <f>MIN(Y589,'Scenario Modeling'!$B$2)</f>
        <v>9.2999999999999999E-2</v>
      </c>
      <c r="AG589">
        <f>ROUND(AA589 * (1 + 'Scenario Modeling'!$B$4), 0)</f>
        <v>16</v>
      </c>
      <c r="AH589">
        <f>T589 * (1 + 'Scenario Modeling'!$B$3)</f>
        <v>1232.78</v>
      </c>
      <c r="AI589" s="8">
        <f t="shared" si="160"/>
        <v>25131.155999999999</v>
      </c>
      <c r="AJ589" s="8">
        <f t="shared" si="161"/>
        <v>5406.6759999999995</v>
      </c>
    </row>
    <row r="590" spans="1:36">
      <c r="A590" t="s">
        <v>602</v>
      </c>
      <c r="B590" s="4">
        <v>45459</v>
      </c>
      <c r="C590" s="28">
        <v>45459</v>
      </c>
      <c r="D590" s="28" t="str">
        <f t="shared" si="146"/>
        <v>Q2-2024</v>
      </c>
      <c r="E590" s="4">
        <v>45464</v>
      </c>
      <c r="F590" s="4">
        <v>45464</v>
      </c>
      <c r="G590" s="17">
        <f t="shared" si="147"/>
        <v>5</v>
      </c>
      <c r="H590" s="17">
        <f t="shared" si="148"/>
        <v>5</v>
      </c>
      <c r="I590" t="str">
        <f t="shared" si="149"/>
        <v>Yes</v>
      </c>
      <c r="J590" s="2">
        <f t="shared" si="150"/>
        <v>44988</v>
      </c>
      <c r="K590" t="s">
        <v>647</v>
      </c>
      <c r="L590" t="s">
        <v>652</v>
      </c>
      <c r="M590" t="s">
        <v>689</v>
      </c>
      <c r="N590" t="str">
        <f t="shared" si="151"/>
        <v>Asia - Japan - Tokyo</v>
      </c>
      <c r="O590" t="s">
        <v>705</v>
      </c>
      <c r="P590" t="s">
        <v>710</v>
      </c>
      <c r="Q590" t="s">
        <v>721</v>
      </c>
      <c r="R590" t="s">
        <v>730</v>
      </c>
      <c r="S590" t="s">
        <v>1320</v>
      </c>
      <c r="T590" s="6">
        <v>1367.13</v>
      </c>
      <c r="U590" s="8">
        <v>3062.01</v>
      </c>
      <c r="V590" s="8">
        <f t="shared" si="152"/>
        <v>3062.01</v>
      </c>
      <c r="W590" s="8" t="str">
        <f t="shared" si="153"/>
        <v>High</v>
      </c>
      <c r="X590" s="15">
        <v>0.10299999999999999</v>
      </c>
      <c r="Y590" s="15">
        <f t="shared" si="154"/>
        <v>0.10299999999999999</v>
      </c>
      <c r="Z590" t="str">
        <f t="shared" si="155"/>
        <v>No</v>
      </c>
      <c r="AA590" s="17">
        <v>25</v>
      </c>
      <c r="AB590" s="8">
        <f t="shared" si="156"/>
        <v>68665.574250000005</v>
      </c>
      <c r="AC590" s="8">
        <f t="shared" si="157"/>
        <v>34178.25</v>
      </c>
      <c r="AD590" s="8">
        <f t="shared" si="158"/>
        <v>34487.324250000005</v>
      </c>
      <c r="AE590" s="15">
        <f t="shared" si="159"/>
        <v>0.50225057645971705</v>
      </c>
      <c r="AF590" s="34">
        <f>MIN(Y590,'Scenario Modeling'!$B$2)</f>
        <v>0.10299999999999999</v>
      </c>
      <c r="AG590">
        <f>ROUND(AA590 * (1 + 'Scenario Modeling'!$B$4), 0)</f>
        <v>25</v>
      </c>
      <c r="AH590">
        <f>T590 * (1 + 'Scenario Modeling'!$B$3)</f>
        <v>1367.13</v>
      </c>
      <c r="AI590" s="8">
        <f t="shared" si="160"/>
        <v>68665.574250000005</v>
      </c>
      <c r="AJ590" s="8">
        <f t="shared" si="161"/>
        <v>34487.324250000005</v>
      </c>
    </row>
    <row r="591" spans="1:36">
      <c r="A591" t="s">
        <v>603</v>
      </c>
      <c r="B591" s="4">
        <v>45703</v>
      </c>
      <c r="C591" s="28">
        <v>45703</v>
      </c>
      <c r="D591" s="28" t="str">
        <f t="shared" si="146"/>
        <v>Q1-2025</v>
      </c>
      <c r="E591" s="4">
        <v>45715</v>
      </c>
      <c r="F591" s="4">
        <v>45715</v>
      </c>
      <c r="G591" s="17">
        <f t="shared" si="147"/>
        <v>12</v>
      </c>
      <c r="H591" s="17">
        <f t="shared" si="148"/>
        <v>12</v>
      </c>
      <c r="I591" t="str">
        <f t="shared" si="149"/>
        <v>No</v>
      </c>
      <c r="J591" s="2">
        <f t="shared" si="150"/>
        <v>44936</v>
      </c>
      <c r="K591" t="s">
        <v>649</v>
      </c>
      <c r="L591" t="s">
        <v>657</v>
      </c>
      <c r="M591" t="s">
        <v>679</v>
      </c>
      <c r="N591" t="str">
        <f t="shared" si="151"/>
        <v>Europe - France - Lyon</v>
      </c>
      <c r="O591" t="s">
        <v>703</v>
      </c>
      <c r="P591" t="s">
        <v>711</v>
      </c>
      <c r="Q591" t="s">
        <v>723</v>
      </c>
      <c r="R591" t="s">
        <v>733</v>
      </c>
      <c r="S591" t="s">
        <v>1321</v>
      </c>
      <c r="T591" s="6">
        <v>1027.26</v>
      </c>
      <c r="U591" s="8">
        <v>2200.41</v>
      </c>
      <c r="V591" s="8">
        <f t="shared" si="152"/>
        <v>2200.41</v>
      </c>
      <c r="W591" s="8" t="str">
        <f t="shared" si="153"/>
        <v>High</v>
      </c>
      <c r="X591" s="15">
        <v>8.7999999999999995E-2</v>
      </c>
      <c r="Y591" s="15">
        <f t="shared" si="154"/>
        <v>8.7999999999999995E-2</v>
      </c>
      <c r="Z591" t="str">
        <f t="shared" si="155"/>
        <v>No</v>
      </c>
      <c r="AA591" s="17">
        <v>6</v>
      </c>
      <c r="AB591" s="8">
        <f t="shared" si="156"/>
        <v>12040.64352</v>
      </c>
      <c r="AC591" s="8">
        <f t="shared" si="157"/>
        <v>6163.5599999999995</v>
      </c>
      <c r="AD591" s="8">
        <f t="shared" si="158"/>
        <v>5877.0835200000001</v>
      </c>
      <c r="AE591" s="15">
        <f t="shared" si="159"/>
        <v>0.48810377204822358</v>
      </c>
      <c r="AF591" s="34">
        <f>MIN(Y591,'Scenario Modeling'!$B$2)</f>
        <v>8.7999999999999995E-2</v>
      </c>
      <c r="AG591">
        <f>ROUND(AA591 * (1 + 'Scenario Modeling'!$B$4), 0)</f>
        <v>6</v>
      </c>
      <c r="AH591">
        <f>T591 * (1 + 'Scenario Modeling'!$B$3)</f>
        <v>1027.26</v>
      </c>
      <c r="AI591" s="8">
        <f t="shared" si="160"/>
        <v>12040.64352</v>
      </c>
      <c r="AJ591" s="8">
        <f t="shared" si="161"/>
        <v>5877.0835200000001</v>
      </c>
    </row>
    <row r="592" spans="1:36">
      <c r="A592" t="s">
        <v>604</v>
      </c>
      <c r="B592" s="4">
        <v>45019</v>
      </c>
      <c r="C592" s="28">
        <v>45019</v>
      </c>
      <c r="D592" s="28" t="str">
        <f t="shared" si="146"/>
        <v>Q2-2023</v>
      </c>
      <c r="E592" s="4">
        <v>45032</v>
      </c>
      <c r="F592" s="4">
        <v>45032</v>
      </c>
      <c r="G592" s="17">
        <f t="shared" si="147"/>
        <v>13</v>
      </c>
      <c r="H592" s="17">
        <f t="shared" si="148"/>
        <v>13</v>
      </c>
      <c r="I592" t="str">
        <f t="shared" si="149"/>
        <v>No</v>
      </c>
      <c r="J592" s="2">
        <f t="shared" si="150"/>
        <v>44936</v>
      </c>
      <c r="K592" t="s">
        <v>649</v>
      </c>
      <c r="L592" t="s">
        <v>657</v>
      </c>
      <c r="M592" t="s">
        <v>673</v>
      </c>
      <c r="N592" t="str">
        <f t="shared" si="151"/>
        <v>Europe - France - Marseille</v>
      </c>
      <c r="O592" t="s">
        <v>703</v>
      </c>
      <c r="P592" t="s">
        <v>709</v>
      </c>
      <c r="Q592" t="s">
        <v>724</v>
      </c>
      <c r="R592" t="s">
        <v>733</v>
      </c>
      <c r="S592" t="s">
        <v>1322</v>
      </c>
      <c r="T592" s="6">
        <v>790.54</v>
      </c>
      <c r="U592" s="8">
        <v>601.49</v>
      </c>
      <c r="V592" s="8">
        <f t="shared" si="152"/>
        <v>601.49</v>
      </c>
      <c r="W592" s="8" t="str">
        <f t="shared" si="153"/>
        <v>Low</v>
      </c>
      <c r="X592" s="15">
        <v>0</v>
      </c>
      <c r="Y592" s="15">
        <f t="shared" si="154"/>
        <v>0</v>
      </c>
      <c r="Z592" t="str">
        <f t="shared" si="155"/>
        <v>No</v>
      </c>
      <c r="AA592" s="17">
        <v>15</v>
      </c>
      <c r="AB592" s="8">
        <f t="shared" si="156"/>
        <v>9022.35</v>
      </c>
      <c r="AC592" s="8">
        <f t="shared" si="157"/>
        <v>11858.099999999999</v>
      </c>
      <c r="AD592" s="8">
        <f t="shared" si="158"/>
        <v>-2835.7499999999982</v>
      </c>
      <c r="AE592" s="15">
        <f t="shared" si="159"/>
        <v>-0.31430281467688553</v>
      </c>
      <c r="AF592" s="34">
        <f>MIN(Y592,'Scenario Modeling'!$B$2)</f>
        <v>0</v>
      </c>
      <c r="AG592">
        <f>ROUND(AA592 * (1 + 'Scenario Modeling'!$B$4), 0)</f>
        <v>15</v>
      </c>
      <c r="AH592">
        <f>T592 * (1 + 'Scenario Modeling'!$B$3)</f>
        <v>790.54</v>
      </c>
      <c r="AI592" s="8">
        <f t="shared" si="160"/>
        <v>9022.35</v>
      </c>
      <c r="AJ592" s="8">
        <f t="shared" si="161"/>
        <v>-2835.7499999999982</v>
      </c>
    </row>
    <row r="593" spans="1:36">
      <c r="A593" t="s">
        <v>605</v>
      </c>
      <c r="B593" s="4">
        <v>45899</v>
      </c>
      <c r="C593" s="28">
        <v>45899</v>
      </c>
      <c r="D593" s="28" t="str">
        <f t="shared" si="146"/>
        <v>Q3-2025</v>
      </c>
      <c r="E593" s="4">
        <v>45922</v>
      </c>
      <c r="F593" s="4">
        <v>45922</v>
      </c>
      <c r="G593" s="17">
        <f t="shared" si="147"/>
        <v>23</v>
      </c>
      <c r="H593" s="17">
        <f t="shared" si="148"/>
        <v>23</v>
      </c>
      <c r="I593" t="str">
        <f t="shared" si="149"/>
        <v>No</v>
      </c>
      <c r="J593" s="2">
        <f t="shared" si="150"/>
        <v>44936</v>
      </c>
      <c r="K593" t="s">
        <v>649</v>
      </c>
      <c r="L593" t="s">
        <v>657</v>
      </c>
      <c r="M593" t="s">
        <v>673</v>
      </c>
      <c r="N593" t="str">
        <f t="shared" si="151"/>
        <v>Europe - France - Marseille</v>
      </c>
      <c r="O593" t="s">
        <v>701</v>
      </c>
      <c r="P593" t="s">
        <v>711</v>
      </c>
      <c r="Q593" t="s">
        <v>718</v>
      </c>
      <c r="R593" t="s">
        <v>727</v>
      </c>
      <c r="S593" t="s">
        <v>1323</v>
      </c>
      <c r="T593" s="6">
        <v>663.9</v>
      </c>
      <c r="U593" s="8">
        <v>947.77</v>
      </c>
      <c r="V593" s="8">
        <f t="shared" si="152"/>
        <v>947.77</v>
      </c>
      <c r="W593" s="8" t="str">
        <f t="shared" si="153"/>
        <v>Medium</v>
      </c>
      <c r="X593" s="15">
        <v>0.17399999999999999</v>
      </c>
      <c r="Y593" s="15">
        <f t="shared" si="154"/>
        <v>0.17399999999999999</v>
      </c>
      <c r="Z593" t="str">
        <f t="shared" si="155"/>
        <v>No</v>
      </c>
      <c r="AA593" s="17">
        <v>15</v>
      </c>
      <c r="AB593" s="8">
        <f t="shared" si="156"/>
        <v>11742.8703</v>
      </c>
      <c r="AC593" s="8">
        <f t="shared" si="157"/>
        <v>9958.5</v>
      </c>
      <c r="AD593" s="8">
        <f t="shared" si="158"/>
        <v>1784.3703000000005</v>
      </c>
      <c r="AE593" s="15">
        <f t="shared" si="159"/>
        <v>0.1519535049280073</v>
      </c>
      <c r="AF593" s="34">
        <f>MIN(Y593,'Scenario Modeling'!$B$2)</f>
        <v>0.17399999999999999</v>
      </c>
      <c r="AG593">
        <f>ROUND(AA593 * (1 + 'Scenario Modeling'!$B$4), 0)</f>
        <v>15</v>
      </c>
      <c r="AH593">
        <f>T593 * (1 + 'Scenario Modeling'!$B$3)</f>
        <v>663.9</v>
      </c>
      <c r="AI593" s="8">
        <f t="shared" si="160"/>
        <v>11742.8703</v>
      </c>
      <c r="AJ593" s="8">
        <f t="shared" si="161"/>
        <v>1784.3703000000005</v>
      </c>
    </row>
    <row r="594" spans="1:36">
      <c r="A594" t="s">
        <v>606</v>
      </c>
      <c r="B594" s="4">
        <v>44984</v>
      </c>
      <c r="C594" s="28">
        <v>44984</v>
      </c>
      <c r="D594" s="28" t="str">
        <f t="shared" si="146"/>
        <v>Q1-2023</v>
      </c>
      <c r="E594" s="4">
        <v>44983</v>
      </c>
      <c r="F594" s="4">
        <f>B594+10</f>
        <v>44994</v>
      </c>
      <c r="G594" s="17">
        <f t="shared" si="147"/>
        <v>-1</v>
      </c>
      <c r="H594" s="17">
        <f t="shared" si="148"/>
        <v>10</v>
      </c>
      <c r="I594" t="str">
        <f t="shared" si="149"/>
        <v>No</v>
      </c>
      <c r="J594" s="2">
        <f t="shared" si="150"/>
        <v>44939</v>
      </c>
      <c r="K594" t="s">
        <v>648</v>
      </c>
      <c r="L594" t="s">
        <v>660</v>
      </c>
      <c r="M594" t="s">
        <v>686</v>
      </c>
      <c r="N594" t="str">
        <f t="shared" si="151"/>
        <v>Americas - USA - San Francisco</v>
      </c>
      <c r="O594" t="s">
        <v>703</v>
      </c>
      <c r="P594" t="s">
        <v>708</v>
      </c>
      <c r="Q594" t="s">
        <v>716</v>
      </c>
      <c r="R594" t="s">
        <v>729</v>
      </c>
      <c r="S594" t="s">
        <v>1324</v>
      </c>
      <c r="T594" s="6">
        <v>1015.91</v>
      </c>
      <c r="U594" s="8">
        <v>2331.48</v>
      </c>
      <c r="V594" s="8">
        <f t="shared" si="152"/>
        <v>2331.48</v>
      </c>
      <c r="W594" s="8" t="str">
        <f t="shared" si="153"/>
        <v>High</v>
      </c>
      <c r="X594" s="15">
        <v>0.14599999999999999</v>
      </c>
      <c r="Y594" s="15">
        <f t="shared" si="154"/>
        <v>0.14599999999999999</v>
      </c>
      <c r="Z594" t="str">
        <f t="shared" si="155"/>
        <v>No</v>
      </c>
      <c r="AA594" s="17">
        <v>26</v>
      </c>
      <c r="AB594" s="8">
        <f t="shared" si="156"/>
        <v>51768.181920000003</v>
      </c>
      <c r="AC594" s="8">
        <f t="shared" si="157"/>
        <v>26413.66</v>
      </c>
      <c r="AD594" s="8">
        <f t="shared" si="158"/>
        <v>25354.521920000003</v>
      </c>
      <c r="AE594" s="15">
        <f t="shared" si="159"/>
        <v>0.48977037592669626</v>
      </c>
      <c r="AF594" s="34">
        <f>MIN(Y594,'Scenario Modeling'!$B$2)</f>
        <v>0.14599999999999999</v>
      </c>
      <c r="AG594">
        <f>ROUND(AA594 * (1 + 'Scenario Modeling'!$B$4), 0)</f>
        <v>26</v>
      </c>
      <c r="AH594">
        <f>T594 * (1 + 'Scenario Modeling'!$B$3)</f>
        <v>1015.91</v>
      </c>
      <c r="AI594" s="8">
        <f t="shared" si="160"/>
        <v>51768.181920000003</v>
      </c>
      <c r="AJ594" s="8">
        <f t="shared" si="161"/>
        <v>25354.521920000003</v>
      </c>
    </row>
    <row r="595" spans="1:36">
      <c r="A595" t="s">
        <v>607</v>
      </c>
      <c r="B595" s="4">
        <v>45504</v>
      </c>
      <c r="C595" s="28">
        <v>45504</v>
      </c>
      <c r="D595" s="28" t="str">
        <f t="shared" si="146"/>
        <v>Q3-2024</v>
      </c>
      <c r="E595" s="4">
        <v>45519</v>
      </c>
      <c r="F595" s="4">
        <v>45519</v>
      </c>
      <c r="G595" s="17">
        <f t="shared" si="147"/>
        <v>15</v>
      </c>
      <c r="H595" s="17">
        <f t="shared" si="148"/>
        <v>15</v>
      </c>
      <c r="I595" t="str">
        <f t="shared" si="149"/>
        <v>No</v>
      </c>
      <c r="J595" s="2">
        <f t="shared" si="150"/>
        <v>44988</v>
      </c>
      <c r="K595" t="s">
        <v>647</v>
      </c>
      <c r="L595" t="s">
        <v>652</v>
      </c>
      <c r="M595" t="s">
        <v>689</v>
      </c>
      <c r="N595" t="str">
        <f t="shared" si="151"/>
        <v>Asia - Japan - Tokyo</v>
      </c>
      <c r="O595" t="s">
        <v>701</v>
      </c>
      <c r="P595" t="s">
        <v>709</v>
      </c>
      <c r="Q595" t="s">
        <v>721</v>
      </c>
      <c r="R595" t="s">
        <v>732</v>
      </c>
      <c r="S595" t="s">
        <v>1325</v>
      </c>
      <c r="T595" s="6">
        <v>1252.52</v>
      </c>
      <c r="U595" s="8">
        <v>1417.24</v>
      </c>
      <c r="V595" s="8">
        <f t="shared" si="152"/>
        <v>1417.24</v>
      </c>
      <c r="W595" s="8" t="str">
        <f t="shared" si="153"/>
        <v>Medium</v>
      </c>
      <c r="X595" s="15">
        <v>0.192</v>
      </c>
      <c r="Y595" s="15">
        <f t="shared" si="154"/>
        <v>0.192</v>
      </c>
      <c r="Z595" t="str">
        <f t="shared" si="155"/>
        <v>No</v>
      </c>
      <c r="AA595" s="17">
        <v>5</v>
      </c>
      <c r="AB595" s="8">
        <f t="shared" si="156"/>
        <v>5725.6496000000006</v>
      </c>
      <c r="AC595" s="8">
        <f t="shared" si="157"/>
        <v>6262.6</v>
      </c>
      <c r="AD595" s="8">
        <f t="shared" si="158"/>
        <v>-536.95039999999972</v>
      </c>
      <c r="AE595" s="15">
        <f t="shared" si="159"/>
        <v>-9.3779821943696953E-2</v>
      </c>
      <c r="AF595" s="34">
        <f>MIN(Y595,'Scenario Modeling'!$B$2)</f>
        <v>0.192</v>
      </c>
      <c r="AG595">
        <f>ROUND(AA595 * (1 + 'Scenario Modeling'!$B$4), 0)</f>
        <v>5</v>
      </c>
      <c r="AH595">
        <f>T595 * (1 + 'Scenario Modeling'!$B$3)</f>
        <v>1252.52</v>
      </c>
      <c r="AI595" s="8">
        <f t="shared" si="160"/>
        <v>5725.6496000000006</v>
      </c>
      <c r="AJ595" s="8">
        <f t="shared" si="161"/>
        <v>-536.95039999999972</v>
      </c>
    </row>
    <row r="596" spans="1:36">
      <c r="A596" t="s">
        <v>608</v>
      </c>
      <c r="B596" s="4">
        <v>45823</v>
      </c>
      <c r="C596" s="28">
        <v>45823</v>
      </c>
      <c r="D596" s="28" t="str">
        <f t="shared" si="146"/>
        <v>Q2-2025</v>
      </c>
      <c r="E596" s="4">
        <v>45850</v>
      </c>
      <c r="F596" s="4">
        <v>45850</v>
      </c>
      <c r="G596" s="17">
        <f t="shared" si="147"/>
        <v>27</v>
      </c>
      <c r="H596" s="17">
        <f t="shared" si="148"/>
        <v>27</v>
      </c>
      <c r="I596" t="str">
        <f t="shared" si="149"/>
        <v>No</v>
      </c>
      <c r="J596" s="2">
        <f t="shared" si="150"/>
        <v>44936</v>
      </c>
      <c r="K596" t="s">
        <v>649</v>
      </c>
      <c r="L596" t="s">
        <v>657</v>
      </c>
      <c r="M596" t="s">
        <v>673</v>
      </c>
      <c r="N596" t="str">
        <f t="shared" si="151"/>
        <v>Europe - France - Marseille</v>
      </c>
      <c r="O596" t="s">
        <v>704</v>
      </c>
      <c r="P596" t="s">
        <v>711</v>
      </c>
      <c r="Q596" t="s">
        <v>712</v>
      </c>
      <c r="R596" t="s">
        <v>733</v>
      </c>
      <c r="S596" t="s">
        <v>1326</v>
      </c>
      <c r="T596" s="6">
        <v>318.83</v>
      </c>
      <c r="U596" s="8">
        <v>699.5</v>
      </c>
      <c r="V596" s="8">
        <f t="shared" si="152"/>
        <v>699.5</v>
      </c>
      <c r="W596" s="8" t="str">
        <f t="shared" si="153"/>
        <v>Low</v>
      </c>
      <c r="X596" s="15">
        <v>0.08</v>
      </c>
      <c r="Y596" s="15">
        <f t="shared" si="154"/>
        <v>0.08</v>
      </c>
      <c r="Z596" t="str">
        <f t="shared" si="155"/>
        <v>No</v>
      </c>
      <c r="AA596" s="17">
        <v>13</v>
      </c>
      <c r="AB596" s="8">
        <f t="shared" si="156"/>
        <v>8366.02</v>
      </c>
      <c r="AC596" s="8">
        <f t="shared" si="157"/>
        <v>4144.79</v>
      </c>
      <c r="AD596" s="8">
        <f t="shared" si="158"/>
        <v>4221.2300000000005</v>
      </c>
      <c r="AE596" s="15">
        <f t="shared" si="159"/>
        <v>0.50456848059172699</v>
      </c>
      <c r="AF596" s="34">
        <f>MIN(Y596,'Scenario Modeling'!$B$2)</f>
        <v>0.08</v>
      </c>
      <c r="AG596">
        <f>ROUND(AA596 * (1 + 'Scenario Modeling'!$B$4), 0)</f>
        <v>13</v>
      </c>
      <c r="AH596">
        <f>T596 * (1 + 'Scenario Modeling'!$B$3)</f>
        <v>318.83</v>
      </c>
      <c r="AI596" s="8">
        <f t="shared" si="160"/>
        <v>8366.02</v>
      </c>
      <c r="AJ596" s="8">
        <f t="shared" si="161"/>
        <v>4221.2300000000005</v>
      </c>
    </row>
    <row r="597" spans="1:36">
      <c r="A597" t="s">
        <v>609</v>
      </c>
      <c r="B597" s="4">
        <v>45473</v>
      </c>
      <c r="C597" s="28">
        <v>45473</v>
      </c>
      <c r="D597" s="28" t="str">
        <f t="shared" si="146"/>
        <v>Q2-2024</v>
      </c>
      <c r="E597" s="4">
        <v>45494</v>
      </c>
      <c r="F597" s="4">
        <v>45494</v>
      </c>
      <c r="G597" s="17">
        <f t="shared" si="147"/>
        <v>21</v>
      </c>
      <c r="H597" s="17">
        <f t="shared" si="148"/>
        <v>21</v>
      </c>
      <c r="I597" t="str">
        <f t="shared" si="149"/>
        <v>No</v>
      </c>
      <c r="J597" s="2">
        <f t="shared" si="150"/>
        <v>44946</v>
      </c>
      <c r="K597" t="s">
        <v>646</v>
      </c>
      <c r="L597" t="s">
        <v>650</v>
      </c>
      <c r="M597" t="s">
        <v>662</v>
      </c>
      <c r="N597" t="str">
        <f t="shared" si="151"/>
        <v>Africa - Kenya - Kisumu</v>
      </c>
      <c r="O597" t="s">
        <v>705</v>
      </c>
      <c r="P597" t="s">
        <v>707</v>
      </c>
      <c r="Q597" t="s">
        <v>723</v>
      </c>
      <c r="R597" t="s">
        <v>731</v>
      </c>
      <c r="S597" t="s">
        <v>1327</v>
      </c>
      <c r="T597" s="6">
        <v>753.43</v>
      </c>
      <c r="U597" s="8">
        <v>1787.2</v>
      </c>
      <c r="V597" s="8">
        <f t="shared" si="152"/>
        <v>1787.2</v>
      </c>
      <c r="W597" s="8" t="str">
        <f t="shared" si="153"/>
        <v>High</v>
      </c>
      <c r="X597" s="15">
        <v>7.2999999999999995E-2</v>
      </c>
      <c r="Y597" s="15">
        <f t="shared" si="154"/>
        <v>7.2999999999999995E-2</v>
      </c>
      <c r="Z597" t="str">
        <f t="shared" si="155"/>
        <v>No</v>
      </c>
      <c r="AA597" s="17">
        <v>9</v>
      </c>
      <c r="AB597" s="8">
        <f t="shared" si="156"/>
        <v>14910.609600000002</v>
      </c>
      <c r="AC597" s="8">
        <f t="shared" si="157"/>
        <v>6780.87</v>
      </c>
      <c r="AD597" s="8">
        <f t="shared" si="158"/>
        <v>8129.7396000000017</v>
      </c>
      <c r="AE597" s="15">
        <f t="shared" si="159"/>
        <v>0.54523187301476939</v>
      </c>
      <c r="AF597" s="34">
        <f>MIN(Y597,'Scenario Modeling'!$B$2)</f>
        <v>7.2999999999999995E-2</v>
      </c>
      <c r="AG597">
        <f>ROUND(AA597 * (1 + 'Scenario Modeling'!$B$4), 0)</f>
        <v>9</v>
      </c>
      <c r="AH597">
        <f>T597 * (1 + 'Scenario Modeling'!$B$3)</f>
        <v>753.43</v>
      </c>
      <c r="AI597" s="8">
        <f t="shared" si="160"/>
        <v>14910.609600000002</v>
      </c>
      <c r="AJ597" s="8">
        <f t="shared" si="161"/>
        <v>8129.7396000000017</v>
      </c>
    </row>
    <row r="598" spans="1:36">
      <c r="A598" t="s">
        <v>610</v>
      </c>
      <c r="B598" s="4">
        <v>45705</v>
      </c>
      <c r="C598" s="28">
        <v>45705</v>
      </c>
      <c r="D598" s="28" t="str">
        <f t="shared" si="146"/>
        <v>Q1-2025</v>
      </c>
      <c r="E598" s="4">
        <v>45703</v>
      </c>
      <c r="F598" s="4">
        <f>B598+3</f>
        <v>45708</v>
      </c>
      <c r="G598" s="17">
        <f t="shared" si="147"/>
        <v>-2</v>
      </c>
      <c r="H598" s="17">
        <f t="shared" si="148"/>
        <v>3</v>
      </c>
      <c r="I598" t="str">
        <f t="shared" si="149"/>
        <v>Yes</v>
      </c>
      <c r="J598" s="2">
        <f t="shared" si="150"/>
        <v>44928</v>
      </c>
      <c r="K598" t="s">
        <v>648</v>
      </c>
      <c r="L598" t="s">
        <v>653</v>
      </c>
      <c r="M598" t="s">
        <v>667</v>
      </c>
      <c r="N598" t="str">
        <f t="shared" si="151"/>
        <v>Americas - Canada - Toronto</v>
      </c>
      <c r="O598" t="s">
        <v>705</v>
      </c>
      <c r="P598" t="s">
        <v>707</v>
      </c>
      <c r="Q598" t="s">
        <v>726</v>
      </c>
      <c r="R598" t="s">
        <v>727</v>
      </c>
      <c r="S598" t="s">
        <v>1328</v>
      </c>
      <c r="T598" s="6">
        <v>1133.47</v>
      </c>
      <c r="U598" s="8">
        <v>1698.75</v>
      </c>
      <c r="V598" s="8">
        <f t="shared" si="152"/>
        <v>1698.75</v>
      </c>
      <c r="W598" s="8" t="str">
        <f t="shared" si="153"/>
        <v>High</v>
      </c>
      <c r="X598" s="15">
        <v>4.2999999999999997E-2</v>
      </c>
      <c r="Y598" s="15">
        <f t="shared" si="154"/>
        <v>4.2999999999999997E-2</v>
      </c>
      <c r="Z598" t="str">
        <f t="shared" si="155"/>
        <v>No</v>
      </c>
      <c r="AA598" s="17">
        <v>5</v>
      </c>
      <c r="AB598" s="8">
        <f t="shared" si="156"/>
        <v>8128.5187499999993</v>
      </c>
      <c r="AC598" s="8">
        <f t="shared" si="157"/>
        <v>5667.35</v>
      </c>
      <c r="AD598" s="8">
        <f t="shared" si="158"/>
        <v>2461.1687499999989</v>
      </c>
      <c r="AE598" s="15">
        <f t="shared" si="159"/>
        <v>0.30278194904821976</v>
      </c>
      <c r="AF598" s="34">
        <f>MIN(Y598,'Scenario Modeling'!$B$2)</f>
        <v>4.2999999999999997E-2</v>
      </c>
      <c r="AG598">
        <f>ROUND(AA598 * (1 + 'Scenario Modeling'!$B$4), 0)</f>
        <v>5</v>
      </c>
      <c r="AH598">
        <f>T598 * (1 + 'Scenario Modeling'!$B$3)</f>
        <v>1133.47</v>
      </c>
      <c r="AI598" s="8">
        <f t="shared" si="160"/>
        <v>8128.5187499999993</v>
      </c>
      <c r="AJ598" s="8">
        <f t="shared" si="161"/>
        <v>2461.1687499999989</v>
      </c>
    </row>
    <row r="599" spans="1:36">
      <c r="A599" t="s">
        <v>611</v>
      </c>
      <c r="B599" s="4">
        <v>44933</v>
      </c>
      <c r="C599" s="28">
        <v>44933</v>
      </c>
      <c r="D599" s="28" t="str">
        <f t="shared" si="146"/>
        <v>Q1-2023</v>
      </c>
      <c r="E599" s="4">
        <v>44956</v>
      </c>
      <c r="F599" s="4">
        <v>44956</v>
      </c>
      <c r="G599" s="17">
        <f t="shared" si="147"/>
        <v>23</v>
      </c>
      <c r="H599" s="17">
        <f t="shared" si="148"/>
        <v>23</v>
      </c>
      <c r="I599" t="str">
        <f t="shared" si="149"/>
        <v>No</v>
      </c>
      <c r="J599" s="2">
        <f t="shared" si="150"/>
        <v>44933</v>
      </c>
      <c r="K599" t="s">
        <v>646</v>
      </c>
      <c r="L599" t="s">
        <v>661</v>
      </c>
      <c r="M599" t="s">
        <v>695</v>
      </c>
      <c r="N599" t="str">
        <f t="shared" si="151"/>
        <v>Africa - South Africa - Cape Town</v>
      </c>
      <c r="O599" t="s">
        <v>704</v>
      </c>
      <c r="P599" t="s">
        <v>708</v>
      </c>
      <c r="Q599" t="s">
        <v>720</v>
      </c>
      <c r="R599" t="s">
        <v>728</v>
      </c>
      <c r="S599" t="s">
        <v>1329</v>
      </c>
      <c r="T599" s="6">
        <v>299.02</v>
      </c>
      <c r="U599" s="8">
        <v>724.7</v>
      </c>
      <c r="V599" s="8">
        <f t="shared" si="152"/>
        <v>724.7</v>
      </c>
      <c r="W599" s="8" t="str">
        <f t="shared" si="153"/>
        <v>Low</v>
      </c>
      <c r="X599" s="15">
        <v>0.14000000000000001</v>
      </c>
      <c r="Y599" s="15">
        <f t="shared" si="154"/>
        <v>0.14000000000000001</v>
      </c>
      <c r="Z599" t="str">
        <f t="shared" si="155"/>
        <v>No</v>
      </c>
      <c r="AA599" s="17">
        <v>5</v>
      </c>
      <c r="AB599" s="8">
        <f t="shared" si="156"/>
        <v>3116.21</v>
      </c>
      <c r="AC599" s="8">
        <f t="shared" si="157"/>
        <v>1495.1</v>
      </c>
      <c r="AD599" s="8">
        <f t="shared" si="158"/>
        <v>1621.1100000000001</v>
      </c>
      <c r="AE599" s="15">
        <f t="shared" si="159"/>
        <v>0.52021847051386139</v>
      </c>
      <c r="AF599" s="34">
        <f>MIN(Y599,'Scenario Modeling'!$B$2)</f>
        <v>0.14000000000000001</v>
      </c>
      <c r="AG599">
        <f>ROUND(AA599 * (1 + 'Scenario Modeling'!$B$4), 0)</f>
        <v>5</v>
      </c>
      <c r="AH599">
        <f>T599 * (1 + 'Scenario Modeling'!$B$3)</f>
        <v>299.02</v>
      </c>
      <c r="AI599" s="8">
        <f t="shared" si="160"/>
        <v>3116.21</v>
      </c>
      <c r="AJ599" s="8">
        <f t="shared" si="161"/>
        <v>1621.1100000000001</v>
      </c>
    </row>
    <row r="600" spans="1:36">
      <c r="A600" t="s">
        <v>612</v>
      </c>
      <c r="B600" s="4">
        <v>45726</v>
      </c>
      <c r="C600" s="28">
        <v>45726</v>
      </c>
      <c r="D600" s="28" t="str">
        <f t="shared" si="146"/>
        <v>Q1-2025</v>
      </c>
      <c r="E600" s="4">
        <v>45751</v>
      </c>
      <c r="F600" s="4">
        <v>45751</v>
      </c>
      <c r="G600" s="17">
        <f t="shared" si="147"/>
        <v>25</v>
      </c>
      <c r="H600" s="17">
        <f t="shared" si="148"/>
        <v>25</v>
      </c>
      <c r="I600" t="str">
        <f t="shared" si="149"/>
        <v>No</v>
      </c>
      <c r="J600" s="2">
        <f t="shared" si="150"/>
        <v>44988</v>
      </c>
      <c r="K600" t="s">
        <v>647</v>
      </c>
      <c r="L600" t="s">
        <v>652</v>
      </c>
      <c r="M600" t="s">
        <v>666</v>
      </c>
      <c r="N600" t="str">
        <f t="shared" si="151"/>
        <v>Asia - Japan - Osaka</v>
      </c>
      <c r="O600" t="s">
        <v>701</v>
      </c>
      <c r="P600" t="s">
        <v>711</v>
      </c>
      <c r="Q600" t="s">
        <v>722</v>
      </c>
      <c r="R600" t="s">
        <v>728</v>
      </c>
      <c r="S600" t="s">
        <v>1330</v>
      </c>
      <c r="T600" s="6">
        <v>783.72</v>
      </c>
      <c r="U600" s="8">
        <v>1355.94</v>
      </c>
      <c r="V600" s="8">
        <f t="shared" si="152"/>
        <v>1355.94</v>
      </c>
      <c r="W600" s="8" t="str">
        <f t="shared" si="153"/>
        <v>Medium</v>
      </c>
      <c r="X600" s="15">
        <v>0.187</v>
      </c>
      <c r="Y600" s="15">
        <f t="shared" si="154"/>
        <v>0.187</v>
      </c>
      <c r="Z600" t="str">
        <f t="shared" si="155"/>
        <v>No</v>
      </c>
      <c r="AA600" s="17">
        <v>4</v>
      </c>
      <c r="AB600" s="8">
        <f t="shared" si="156"/>
        <v>4409.5168800000001</v>
      </c>
      <c r="AC600" s="8">
        <f t="shared" si="157"/>
        <v>3134.88</v>
      </c>
      <c r="AD600" s="8">
        <f t="shared" si="158"/>
        <v>1274.63688</v>
      </c>
      <c r="AE600" s="15">
        <f t="shared" si="159"/>
        <v>0.28906497348525856</v>
      </c>
      <c r="AF600" s="34">
        <f>MIN(Y600,'Scenario Modeling'!$B$2)</f>
        <v>0.187</v>
      </c>
      <c r="AG600">
        <f>ROUND(AA600 * (1 + 'Scenario Modeling'!$B$4), 0)</f>
        <v>4</v>
      </c>
      <c r="AH600">
        <f>T600 * (1 + 'Scenario Modeling'!$B$3)</f>
        <v>783.72</v>
      </c>
      <c r="AI600" s="8">
        <f t="shared" si="160"/>
        <v>4409.5168800000001</v>
      </c>
      <c r="AJ600" s="8">
        <f t="shared" si="161"/>
        <v>1274.63688</v>
      </c>
    </row>
    <row r="601" spans="1:36">
      <c r="A601" t="s">
        <v>613</v>
      </c>
      <c r="B601" s="4">
        <v>45521</v>
      </c>
      <c r="C601" s="28">
        <v>45521</v>
      </c>
      <c r="D601" s="28" t="str">
        <f t="shared" si="146"/>
        <v>Q3-2024</v>
      </c>
      <c r="E601" s="4">
        <v>45519</v>
      </c>
      <c r="F601" s="4">
        <f>B601+4</f>
        <v>45525</v>
      </c>
      <c r="G601" s="17">
        <f t="shared" si="147"/>
        <v>-2</v>
      </c>
      <c r="H601" s="17">
        <f t="shared" si="148"/>
        <v>4</v>
      </c>
      <c r="I601" t="str">
        <f t="shared" si="149"/>
        <v>Yes</v>
      </c>
      <c r="J601" s="2">
        <f t="shared" si="150"/>
        <v>44955</v>
      </c>
      <c r="K601" t="s">
        <v>648</v>
      </c>
      <c r="L601" t="s">
        <v>655</v>
      </c>
      <c r="M601" t="s">
        <v>692</v>
      </c>
      <c r="N601" t="str">
        <f t="shared" si="151"/>
        <v>Americas - Brazil - Rio de Janeiro</v>
      </c>
      <c r="O601" t="s">
        <v>704</v>
      </c>
      <c r="P601" t="s">
        <v>711</v>
      </c>
      <c r="Q601" t="s">
        <v>724</v>
      </c>
      <c r="R601" t="s">
        <v>732</v>
      </c>
      <c r="S601" t="s">
        <v>1331</v>
      </c>
      <c r="T601" s="6">
        <v>165.3</v>
      </c>
      <c r="U601" s="8">
        <v>275.07</v>
      </c>
      <c r="V601" s="8">
        <f t="shared" si="152"/>
        <v>275.07</v>
      </c>
      <c r="W601" s="8" t="str">
        <f t="shared" si="153"/>
        <v>Low</v>
      </c>
      <c r="X601" s="15">
        <v>0.13300000000000001</v>
      </c>
      <c r="Y601" s="15">
        <f t="shared" si="154"/>
        <v>0.13300000000000001</v>
      </c>
      <c r="Z601" t="str">
        <f t="shared" si="155"/>
        <v>No</v>
      </c>
      <c r="AA601" s="17">
        <v>25</v>
      </c>
      <c r="AB601" s="8">
        <f t="shared" si="156"/>
        <v>5962.1422499999999</v>
      </c>
      <c r="AC601" s="8">
        <f t="shared" si="157"/>
        <v>4132.5</v>
      </c>
      <c r="AD601" s="8">
        <f t="shared" si="158"/>
        <v>1829.6422499999999</v>
      </c>
      <c r="AE601" s="15">
        <f t="shared" si="159"/>
        <v>0.30687665159280625</v>
      </c>
      <c r="AF601" s="34">
        <f>MIN(Y601,'Scenario Modeling'!$B$2)</f>
        <v>0.13300000000000001</v>
      </c>
      <c r="AG601">
        <f>ROUND(AA601 * (1 + 'Scenario Modeling'!$B$4), 0)</f>
        <v>25</v>
      </c>
      <c r="AH601">
        <f>T601 * (1 + 'Scenario Modeling'!$B$3)</f>
        <v>165.3</v>
      </c>
      <c r="AI601" s="8">
        <f t="shared" si="160"/>
        <v>5962.1422499999999</v>
      </c>
      <c r="AJ601" s="8">
        <f t="shared" si="161"/>
        <v>1829.6422499999999</v>
      </c>
    </row>
    <row r="602" spans="1:36">
      <c r="A602" t="s">
        <v>614</v>
      </c>
      <c r="B602" s="4">
        <v>45360</v>
      </c>
      <c r="C602" s="28">
        <v>45360</v>
      </c>
      <c r="D602" s="28" t="str">
        <f t="shared" si="146"/>
        <v>Q1-2024</v>
      </c>
      <c r="E602" s="4">
        <v>45373</v>
      </c>
      <c r="F602" s="4">
        <v>45373</v>
      </c>
      <c r="G602" s="17">
        <f t="shared" si="147"/>
        <v>13</v>
      </c>
      <c r="H602" s="17">
        <f t="shared" si="148"/>
        <v>13</v>
      </c>
      <c r="I602" t="str">
        <f t="shared" si="149"/>
        <v>No</v>
      </c>
      <c r="J602" s="2">
        <f t="shared" si="150"/>
        <v>44945</v>
      </c>
      <c r="K602" t="s">
        <v>649</v>
      </c>
      <c r="L602" t="s">
        <v>658</v>
      </c>
      <c r="M602" t="s">
        <v>693</v>
      </c>
      <c r="N602" t="str">
        <f t="shared" si="151"/>
        <v>Europe - United Kingdom - Manchester</v>
      </c>
      <c r="O602" t="s">
        <v>704</v>
      </c>
      <c r="P602" t="s">
        <v>708</v>
      </c>
      <c r="Q602" t="s">
        <v>718</v>
      </c>
      <c r="R602" t="s">
        <v>731</v>
      </c>
      <c r="S602" t="s">
        <v>1332</v>
      </c>
      <c r="T602" s="6">
        <v>985.45</v>
      </c>
      <c r="U602" s="8">
        <v>1802.44</v>
      </c>
      <c r="V602" s="8">
        <f t="shared" si="152"/>
        <v>1802.44</v>
      </c>
      <c r="W602" s="8" t="str">
        <f t="shared" si="153"/>
        <v>High</v>
      </c>
      <c r="X602" s="15">
        <v>8.9999999999999993E-3</v>
      </c>
      <c r="Y602" s="15">
        <f t="shared" si="154"/>
        <v>8.9999999999999993E-3</v>
      </c>
      <c r="Z602" t="str">
        <f t="shared" si="155"/>
        <v>No</v>
      </c>
      <c r="AA602" s="17">
        <v>19</v>
      </c>
      <c r="AB602" s="8">
        <f t="shared" si="156"/>
        <v>33938.142760000002</v>
      </c>
      <c r="AC602" s="8">
        <f t="shared" si="157"/>
        <v>18723.55</v>
      </c>
      <c r="AD602" s="8">
        <f t="shared" si="158"/>
        <v>15214.592760000003</v>
      </c>
      <c r="AE602" s="15">
        <f t="shared" si="159"/>
        <v>0.44830363486867486</v>
      </c>
      <c r="AF602" s="34">
        <f>MIN(Y602,'Scenario Modeling'!$B$2)</f>
        <v>8.9999999999999993E-3</v>
      </c>
      <c r="AG602">
        <f>ROUND(AA602 * (1 + 'Scenario Modeling'!$B$4), 0)</f>
        <v>19</v>
      </c>
      <c r="AH602">
        <f>T602 * (1 + 'Scenario Modeling'!$B$3)</f>
        <v>985.45</v>
      </c>
      <c r="AI602" s="8">
        <f t="shared" si="160"/>
        <v>33938.142760000002</v>
      </c>
      <c r="AJ602" s="8">
        <f t="shared" si="161"/>
        <v>15214.592760000003</v>
      </c>
    </row>
    <row r="603" spans="1:36">
      <c r="A603" t="s">
        <v>615</v>
      </c>
      <c r="B603" s="4">
        <v>45523</v>
      </c>
      <c r="C603" s="28">
        <v>45523</v>
      </c>
      <c r="D603" s="28" t="str">
        <f t="shared" si="146"/>
        <v>Q3-2024</v>
      </c>
      <c r="E603" s="4">
        <v>45537</v>
      </c>
      <c r="F603" s="4">
        <v>45537</v>
      </c>
      <c r="G603" s="17">
        <f t="shared" si="147"/>
        <v>14</v>
      </c>
      <c r="H603" s="17">
        <f t="shared" si="148"/>
        <v>14</v>
      </c>
      <c r="I603" t="str">
        <f t="shared" si="149"/>
        <v>No</v>
      </c>
      <c r="J603" s="2">
        <f t="shared" si="150"/>
        <v>44928</v>
      </c>
      <c r="K603" t="s">
        <v>648</v>
      </c>
      <c r="L603" t="s">
        <v>653</v>
      </c>
      <c r="M603" t="s">
        <v>667</v>
      </c>
      <c r="N603" t="str">
        <f t="shared" si="151"/>
        <v>Americas - Canada - Toronto</v>
      </c>
      <c r="O603" t="s">
        <v>704</v>
      </c>
      <c r="P603" t="s">
        <v>710</v>
      </c>
      <c r="Q603" t="s">
        <v>712</v>
      </c>
      <c r="R603" t="s">
        <v>728</v>
      </c>
      <c r="S603" t="s">
        <v>1333</v>
      </c>
      <c r="T603" s="6">
        <v>1337.01</v>
      </c>
      <c r="U603" s="8">
        <v>1269.78</v>
      </c>
      <c r="V603" s="8">
        <f t="shared" si="152"/>
        <v>1269.78</v>
      </c>
      <c r="W603" s="8" t="str">
        <f t="shared" si="153"/>
        <v>Medium</v>
      </c>
      <c r="X603" s="15">
        <v>0.16</v>
      </c>
      <c r="Y603" s="15">
        <f t="shared" si="154"/>
        <v>0.16</v>
      </c>
      <c r="Z603" t="str">
        <f t="shared" si="155"/>
        <v>No</v>
      </c>
      <c r="AA603" s="17">
        <v>7</v>
      </c>
      <c r="AB603" s="8">
        <f t="shared" si="156"/>
        <v>7466.3063999999986</v>
      </c>
      <c r="AC603" s="8">
        <f t="shared" si="157"/>
        <v>9359.07</v>
      </c>
      <c r="AD603" s="8">
        <f t="shared" si="158"/>
        <v>-1892.7636000000011</v>
      </c>
      <c r="AE603" s="15">
        <f t="shared" si="159"/>
        <v>-0.25350735672996244</v>
      </c>
      <c r="AF603" s="34">
        <f>MIN(Y603,'Scenario Modeling'!$B$2)</f>
        <v>0.16</v>
      </c>
      <c r="AG603">
        <f>ROUND(AA603 * (1 + 'Scenario Modeling'!$B$4), 0)</f>
        <v>7</v>
      </c>
      <c r="AH603">
        <f>T603 * (1 + 'Scenario Modeling'!$B$3)</f>
        <v>1337.01</v>
      </c>
      <c r="AI603" s="8">
        <f t="shared" si="160"/>
        <v>7466.3063999999986</v>
      </c>
      <c r="AJ603" s="8">
        <f t="shared" si="161"/>
        <v>-1892.7636000000011</v>
      </c>
    </row>
    <row r="604" spans="1:36">
      <c r="A604" t="s">
        <v>616</v>
      </c>
      <c r="B604" s="4">
        <v>45880</v>
      </c>
      <c r="C604" s="28">
        <v>45880</v>
      </c>
      <c r="D604" s="28" t="str">
        <f t="shared" si="146"/>
        <v>Q3-2025</v>
      </c>
      <c r="E604" s="4">
        <v>45897</v>
      </c>
      <c r="F604" s="4">
        <v>45897</v>
      </c>
      <c r="G604" s="17">
        <f t="shared" si="147"/>
        <v>17</v>
      </c>
      <c r="H604" s="17">
        <f t="shared" si="148"/>
        <v>17</v>
      </c>
      <c r="I604" t="str">
        <f t="shared" si="149"/>
        <v>No</v>
      </c>
      <c r="J604" s="2">
        <f t="shared" si="150"/>
        <v>44936</v>
      </c>
      <c r="K604" t="s">
        <v>649</v>
      </c>
      <c r="L604" t="s">
        <v>657</v>
      </c>
      <c r="M604" t="s">
        <v>690</v>
      </c>
      <c r="N604" t="str">
        <f t="shared" si="151"/>
        <v>Europe - France - Paris</v>
      </c>
      <c r="O604" t="s">
        <v>702</v>
      </c>
      <c r="P604" t="s">
        <v>708</v>
      </c>
      <c r="Q604" t="s">
        <v>721</v>
      </c>
      <c r="R604" t="s">
        <v>729</v>
      </c>
      <c r="S604" t="s">
        <v>1334</v>
      </c>
      <c r="T604" s="6">
        <v>416.16</v>
      </c>
      <c r="U604" s="8">
        <v>571.9</v>
      </c>
      <c r="V604" s="8">
        <f t="shared" si="152"/>
        <v>571.9</v>
      </c>
      <c r="W604" s="8" t="str">
        <f t="shared" si="153"/>
        <v>Low</v>
      </c>
      <c r="X604" s="15">
        <v>7.0999999999999994E-2</v>
      </c>
      <c r="Y604" s="15">
        <f t="shared" si="154"/>
        <v>7.0999999999999994E-2</v>
      </c>
      <c r="Z604" t="str">
        <f t="shared" si="155"/>
        <v>No</v>
      </c>
      <c r="AA604" s="17">
        <v>2</v>
      </c>
      <c r="AB604" s="8">
        <f t="shared" si="156"/>
        <v>1062.5902000000001</v>
      </c>
      <c r="AC604" s="8">
        <f t="shared" si="157"/>
        <v>832.32</v>
      </c>
      <c r="AD604" s="8">
        <f t="shared" si="158"/>
        <v>230.27020000000005</v>
      </c>
      <c r="AE604" s="15">
        <f t="shared" si="159"/>
        <v>0.21670649701079497</v>
      </c>
      <c r="AF604" s="34">
        <f>MIN(Y604,'Scenario Modeling'!$B$2)</f>
        <v>7.0999999999999994E-2</v>
      </c>
      <c r="AG604">
        <f>ROUND(AA604 * (1 + 'Scenario Modeling'!$B$4), 0)</f>
        <v>2</v>
      </c>
      <c r="AH604">
        <f>T604 * (1 + 'Scenario Modeling'!$B$3)</f>
        <v>416.16</v>
      </c>
      <c r="AI604" s="8">
        <f t="shared" si="160"/>
        <v>1062.5902000000001</v>
      </c>
      <c r="AJ604" s="8">
        <f t="shared" si="161"/>
        <v>230.27020000000005</v>
      </c>
    </row>
    <row r="605" spans="1:36">
      <c r="A605" t="s">
        <v>617</v>
      </c>
      <c r="B605" s="4">
        <v>45793</v>
      </c>
      <c r="C605" s="28">
        <v>45793</v>
      </c>
      <c r="D605" s="28" t="str">
        <f t="shared" si="146"/>
        <v>Q2-2025</v>
      </c>
      <c r="E605" s="4">
        <v>45795</v>
      </c>
      <c r="F605" s="4">
        <v>45795</v>
      </c>
      <c r="G605" s="17">
        <f t="shared" si="147"/>
        <v>2</v>
      </c>
      <c r="H605" s="17">
        <f t="shared" si="148"/>
        <v>2</v>
      </c>
      <c r="I605" t="str">
        <f t="shared" si="149"/>
        <v>Yes</v>
      </c>
      <c r="J605" s="2">
        <f t="shared" si="150"/>
        <v>44988</v>
      </c>
      <c r="K605" t="s">
        <v>647</v>
      </c>
      <c r="L605" t="s">
        <v>652</v>
      </c>
      <c r="M605" t="s">
        <v>689</v>
      </c>
      <c r="N605" t="str">
        <f t="shared" si="151"/>
        <v>Asia - Japan - Tokyo</v>
      </c>
      <c r="O605" t="s">
        <v>706</v>
      </c>
      <c r="P605" t="s">
        <v>707</v>
      </c>
      <c r="Q605" t="s">
        <v>713</v>
      </c>
      <c r="R605" t="s">
        <v>728</v>
      </c>
      <c r="S605" t="s">
        <v>1335</v>
      </c>
      <c r="T605" s="6">
        <v>1144.3800000000001</v>
      </c>
      <c r="U605" s="8">
        <v>2755.04</v>
      </c>
      <c r="V605" s="8">
        <f t="shared" si="152"/>
        <v>2755.04</v>
      </c>
      <c r="W605" s="8" t="str">
        <f t="shared" si="153"/>
        <v>High</v>
      </c>
      <c r="X605" s="15">
        <v>0.15</v>
      </c>
      <c r="Y605" s="15">
        <f t="shared" si="154"/>
        <v>0.15</v>
      </c>
      <c r="Z605" t="str">
        <f t="shared" si="155"/>
        <v>No</v>
      </c>
      <c r="AA605" s="17">
        <v>17</v>
      </c>
      <c r="AB605" s="8">
        <f t="shared" si="156"/>
        <v>39810.328000000001</v>
      </c>
      <c r="AC605" s="8">
        <f t="shared" si="157"/>
        <v>19454.460000000003</v>
      </c>
      <c r="AD605" s="8">
        <f t="shared" si="158"/>
        <v>20355.867999999999</v>
      </c>
      <c r="AE605" s="15">
        <f t="shared" si="159"/>
        <v>0.51132128326096682</v>
      </c>
      <c r="AF605" s="34">
        <f>MIN(Y605,'Scenario Modeling'!$B$2)</f>
        <v>0.15</v>
      </c>
      <c r="AG605">
        <f>ROUND(AA605 * (1 + 'Scenario Modeling'!$B$4), 0)</f>
        <v>17</v>
      </c>
      <c r="AH605">
        <f>T605 * (1 + 'Scenario Modeling'!$B$3)</f>
        <v>1144.3800000000001</v>
      </c>
      <c r="AI605" s="8">
        <f t="shared" si="160"/>
        <v>39810.328000000001</v>
      </c>
      <c r="AJ605" s="8">
        <f t="shared" si="161"/>
        <v>20355.867999999999</v>
      </c>
    </row>
    <row r="606" spans="1:36">
      <c r="A606" t="s">
        <v>618</v>
      </c>
      <c r="B606" s="4">
        <v>45026</v>
      </c>
      <c r="C606" s="28">
        <v>45026</v>
      </c>
      <c r="D606" s="28" t="str">
        <f t="shared" si="146"/>
        <v>Q2-2023</v>
      </c>
      <c r="E606" s="4">
        <v>45041</v>
      </c>
      <c r="F606" s="4">
        <v>45041</v>
      </c>
      <c r="G606" s="17">
        <f t="shared" si="147"/>
        <v>15</v>
      </c>
      <c r="H606" s="17">
        <f t="shared" si="148"/>
        <v>15</v>
      </c>
      <c r="I606" t="str">
        <f t="shared" si="149"/>
        <v>No</v>
      </c>
      <c r="J606" s="2">
        <f t="shared" si="150"/>
        <v>44945</v>
      </c>
      <c r="K606" t="s">
        <v>649</v>
      </c>
      <c r="L606" t="s">
        <v>658</v>
      </c>
      <c r="M606" t="s">
        <v>683</v>
      </c>
      <c r="N606" t="str">
        <f t="shared" si="151"/>
        <v>Europe - United Kingdom - London</v>
      </c>
      <c r="O606" t="s">
        <v>705</v>
      </c>
      <c r="P606" t="s">
        <v>707</v>
      </c>
      <c r="Q606" t="s">
        <v>726</v>
      </c>
      <c r="R606" t="s">
        <v>728</v>
      </c>
      <c r="S606" t="s">
        <v>1336</v>
      </c>
      <c r="T606" s="6">
        <v>405.66</v>
      </c>
      <c r="U606" s="8">
        <v>962.51</v>
      </c>
      <c r="V606" s="8">
        <f t="shared" si="152"/>
        <v>962.51</v>
      </c>
      <c r="W606" s="8" t="str">
        <f t="shared" si="153"/>
        <v>Medium</v>
      </c>
      <c r="X606" s="15">
        <v>0.19</v>
      </c>
      <c r="Y606" s="15">
        <f t="shared" si="154"/>
        <v>0.19</v>
      </c>
      <c r="Z606" t="str">
        <f t="shared" si="155"/>
        <v>No</v>
      </c>
      <c r="AA606" s="17">
        <v>7</v>
      </c>
      <c r="AB606" s="8">
        <f t="shared" si="156"/>
        <v>5457.4317000000001</v>
      </c>
      <c r="AC606" s="8">
        <f t="shared" si="157"/>
        <v>2839.6200000000003</v>
      </c>
      <c r="AD606" s="8">
        <f t="shared" si="158"/>
        <v>2617.8116999999997</v>
      </c>
      <c r="AE606" s="15">
        <f t="shared" si="159"/>
        <v>0.47967832561239376</v>
      </c>
      <c r="AF606" s="34">
        <f>MIN(Y606,'Scenario Modeling'!$B$2)</f>
        <v>0.19</v>
      </c>
      <c r="AG606">
        <f>ROUND(AA606 * (1 + 'Scenario Modeling'!$B$4), 0)</f>
        <v>7</v>
      </c>
      <c r="AH606">
        <f>T606 * (1 + 'Scenario Modeling'!$B$3)</f>
        <v>405.66</v>
      </c>
      <c r="AI606" s="8">
        <f t="shared" si="160"/>
        <v>5457.4317000000001</v>
      </c>
      <c r="AJ606" s="8">
        <f t="shared" si="161"/>
        <v>2617.8116999999997</v>
      </c>
    </row>
    <row r="607" spans="1:36">
      <c r="A607" t="s">
        <v>619</v>
      </c>
      <c r="B607" s="4">
        <v>45186</v>
      </c>
      <c r="C607" s="28">
        <v>45186</v>
      </c>
      <c r="D607" s="28" t="str">
        <f t="shared" si="146"/>
        <v>Q3-2023</v>
      </c>
      <c r="E607" s="4">
        <v>45201</v>
      </c>
      <c r="F607" s="4">
        <v>45201</v>
      </c>
      <c r="G607" s="17">
        <f t="shared" si="147"/>
        <v>15</v>
      </c>
      <c r="H607" s="17">
        <f t="shared" si="148"/>
        <v>15</v>
      </c>
      <c r="I607" t="str">
        <f t="shared" si="149"/>
        <v>No</v>
      </c>
      <c r="J607" s="2">
        <f t="shared" si="150"/>
        <v>44955</v>
      </c>
      <c r="K607" t="s">
        <v>648</v>
      </c>
      <c r="L607" t="s">
        <v>655</v>
      </c>
      <c r="M607" t="s">
        <v>692</v>
      </c>
      <c r="N607" t="str">
        <f t="shared" si="151"/>
        <v>Americas - Brazil - Rio de Janeiro</v>
      </c>
      <c r="O607" t="s">
        <v>705</v>
      </c>
      <c r="P607" t="s">
        <v>707</v>
      </c>
      <c r="Q607" t="s">
        <v>717</v>
      </c>
      <c r="R607" t="s">
        <v>731</v>
      </c>
      <c r="S607" t="s">
        <v>1337</v>
      </c>
      <c r="T607" s="6">
        <v>689.33</v>
      </c>
      <c r="U607" s="8">
        <v>668.27</v>
      </c>
      <c r="V607" s="8">
        <f t="shared" si="152"/>
        <v>668.27</v>
      </c>
      <c r="W607" s="8" t="str">
        <f t="shared" si="153"/>
        <v>Low</v>
      </c>
      <c r="X607" s="15">
        <v>0.186</v>
      </c>
      <c r="Y607" s="15">
        <f t="shared" si="154"/>
        <v>0.186</v>
      </c>
      <c r="Z607" t="str">
        <f t="shared" si="155"/>
        <v>No</v>
      </c>
      <c r="AA607" s="17">
        <v>13</v>
      </c>
      <c r="AB607" s="8">
        <f t="shared" si="156"/>
        <v>7071.6331400000008</v>
      </c>
      <c r="AC607" s="8">
        <f t="shared" si="157"/>
        <v>8961.2900000000009</v>
      </c>
      <c r="AD607" s="8">
        <f t="shared" si="158"/>
        <v>-1889.6568600000001</v>
      </c>
      <c r="AE607" s="15">
        <f t="shared" si="159"/>
        <v>-0.26721647214861033</v>
      </c>
      <c r="AF607" s="34">
        <f>MIN(Y607,'Scenario Modeling'!$B$2)</f>
        <v>0.186</v>
      </c>
      <c r="AG607">
        <f>ROUND(AA607 * (1 + 'Scenario Modeling'!$B$4), 0)</f>
        <v>13</v>
      </c>
      <c r="AH607">
        <f>T607 * (1 + 'Scenario Modeling'!$B$3)</f>
        <v>689.33</v>
      </c>
      <c r="AI607" s="8">
        <f t="shared" si="160"/>
        <v>7071.6331400000008</v>
      </c>
      <c r="AJ607" s="8">
        <f t="shared" si="161"/>
        <v>-1889.6568600000001</v>
      </c>
    </row>
    <row r="608" spans="1:36">
      <c r="A608" t="s">
        <v>620</v>
      </c>
      <c r="B608" s="4">
        <v>45038</v>
      </c>
      <c r="C608" s="28">
        <v>45038</v>
      </c>
      <c r="D608" s="28" t="str">
        <f t="shared" si="146"/>
        <v>Q2-2023</v>
      </c>
      <c r="E608" s="4">
        <v>45060</v>
      </c>
      <c r="F608" s="4">
        <v>45060</v>
      </c>
      <c r="G608" s="17">
        <f t="shared" si="147"/>
        <v>22</v>
      </c>
      <c r="H608" s="17">
        <f t="shared" si="148"/>
        <v>22</v>
      </c>
      <c r="I608" t="str">
        <f t="shared" si="149"/>
        <v>No</v>
      </c>
      <c r="J608" s="2">
        <f t="shared" si="150"/>
        <v>44988</v>
      </c>
      <c r="K608" t="s">
        <v>647</v>
      </c>
      <c r="L608" t="s">
        <v>652</v>
      </c>
      <c r="M608" t="s">
        <v>694</v>
      </c>
      <c r="N608" t="str">
        <f t="shared" si="151"/>
        <v>Asia - Japan - Nagoya</v>
      </c>
      <c r="O608" t="s">
        <v>706</v>
      </c>
      <c r="P608" t="s">
        <v>707</v>
      </c>
      <c r="Q608" t="s">
        <v>720</v>
      </c>
      <c r="R608" t="s">
        <v>733</v>
      </c>
      <c r="S608" t="s">
        <v>1338</v>
      </c>
      <c r="T608" s="6">
        <v>1209.22</v>
      </c>
      <c r="U608" s="8">
        <v>1404.33</v>
      </c>
      <c r="V608" s="8">
        <f t="shared" si="152"/>
        <v>1404.33</v>
      </c>
      <c r="W608" s="8" t="str">
        <f t="shared" si="153"/>
        <v>Medium</v>
      </c>
      <c r="X608" s="15">
        <v>0.10299999999999999</v>
      </c>
      <c r="Y608" s="15">
        <f t="shared" si="154"/>
        <v>0.10299999999999999</v>
      </c>
      <c r="Z608" t="str">
        <f t="shared" si="155"/>
        <v>No</v>
      </c>
      <c r="AA608" s="17">
        <v>11</v>
      </c>
      <c r="AB608" s="8">
        <f t="shared" si="156"/>
        <v>13856.52411</v>
      </c>
      <c r="AC608" s="8">
        <f t="shared" si="157"/>
        <v>13301.42</v>
      </c>
      <c r="AD608" s="8">
        <f t="shared" si="158"/>
        <v>555.10411000000022</v>
      </c>
      <c r="AE608" s="15">
        <f t="shared" si="159"/>
        <v>4.0060848275751328E-2</v>
      </c>
      <c r="AF608" s="34">
        <f>MIN(Y608,'Scenario Modeling'!$B$2)</f>
        <v>0.10299999999999999</v>
      </c>
      <c r="AG608">
        <f>ROUND(AA608 * (1 + 'Scenario Modeling'!$B$4), 0)</f>
        <v>11</v>
      </c>
      <c r="AH608">
        <f>T608 * (1 + 'Scenario Modeling'!$B$3)</f>
        <v>1209.22</v>
      </c>
      <c r="AI608" s="8">
        <f t="shared" si="160"/>
        <v>13856.52411</v>
      </c>
      <c r="AJ608" s="8">
        <f t="shared" si="161"/>
        <v>555.10411000000022</v>
      </c>
    </row>
    <row r="609" spans="1:36">
      <c r="A609" t="s">
        <v>621</v>
      </c>
      <c r="B609" s="4">
        <v>45827</v>
      </c>
      <c r="C609" s="28">
        <v>45827</v>
      </c>
      <c r="D609" s="28" t="str">
        <f t="shared" si="146"/>
        <v>Q2-2025</v>
      </c>
      <c r="E609" s="4">
        <v>45829</v>
      </c>
      <c r="F609" s="4">
        <v>45829</v>
      </c>
      <c r="G609" s="17">
        <f t="shared" si="147"/>
        <v>2</v>
      </c>
      <c r="H609" s="17">
        <f t="shared" si="148"/>
        <v>2</v>
      </c>
      <c r="I609" t="str">
        <f t="shared" si="149"/>
        <v>Yes</v>
      </c>
      <c r="J609" s="2">
        <f t="shared" si="150"/>
        <v>44933</v>
      </c>
      <c r="K609" t="s">
        <v>646</v>
      </c>
      <c r="L609" t="s">
        <v>661</v>
      </c>
      <c r="M609" t="s">
        <v>682</v>
      </c>
      <c r="N609" t="str">
        <f t="shared" si="151"/>
        <v>Africa - South Africa - Johannesburg</v>
      </c>
      <c r="O609" t="s">
        <v>705</v>
      </c>
      <c r="P609" t="s">
        <v>710</v>
      </c>
      <c r="Q609" t="s">
        <v>722</v>
      </c>
      <c r="R609" t="s">
        <v>730</v>
      </c>
      <c r="S609" t="s">
        <v>1339</v>
      </c>
      <c r="T609" s="6">
        <v>1466.27</v>
      </c>
      <c r="U609" s="8">
        <v>3589.89</v>
      </c>
      <c r="V609" s="8">
        <f t="shared" si="152"/>
        <v>3589.89</v>
      </c>
      <c r="W609" s="8" t="str">
        <f t="shared" si="153"/>
        <v>High</v>
      </c>
      <c r="X609" s="15">
        <v>9.7000000000000003E-2</v>
      </c>
      <c r="Y609" s="15">
        <f t="shared" si="154"/>
        <v>9.7000000000000003E-2</v>
      </c>
      <c r="Z609" t="str">
        <f t="shared" si="155"/>
        <v>No</v>
      </c>
      <c r="AA609" s="17">
        <v>9</v>
      </c>
      <c r="AB609" s="8">
        <f t="shared" si="156"/>
        <v>29175.036029999999</v>
      </c>
      <c r="AC609" s="8">
        <f t="shared" si="157"/>
        <v>13196.43</v>
      </c>
      <c r="AD609" s="8">
        <f t="shared" si="158"/>
        <v>15978.606029999999</v>
      </c>
      <c r="AE609" s="15">
        <f t="shared" si="159"/>
        <v>0.54768076425234147</v>
      </c>
      <c r="AF609" s="34">
        <f>MIN(Y609,'Scenario Modeling'!$B$2)</f>
        <v>9.7000000000000003E-2</v>
      </c>
      <c r="AG609">
        <f>ROUND(AA609 * (1 + 'Scenario Modeling'!$B$4), 0)</f>
        <v>9</v>
      </c>
      <c r="AH609">
        <f>T609 * (1 + 'Scenario Modeling'!$B$3)</f>
        <v>1466.27</v>
      </c>
      <c r="AI609" s="8">
        <f t="shared" si="160"/>
        <v>29175.036029999999</v>
      </c>
      <c r="AJ609" s="8">
        <f t="shared" si="161"/>
        <v>15978.606029999999</v>
      </c>
    </row>
    <row r="610" spans="1:36">
      <c r="A610" t="s">
        <v>622</v>
      </c>
      <c r="B610" s="4">
        <v>45623</v>
      </c>
      <c r="C610" s="28">
        <v>45623</v>
      </c>
      <c r="D610" s="28" t="str">
        <f t="shared" si="146"/>
        <v>Q4-2024</v>
      </c>
      <c r="E610" s="4">
        <v>45650</v>
      </c>
      <c r="F610" s="4">
        <v>45650</v>
      </c>
      <c r="G610" s="17">
        <f t="shared" si="147"/>
        <v>27</v>
      </c>
      <c r="H610" s="17">
        <f t="shared" si="148"/>
        <v>27</v>
      </c>
      <c r="I610" t="str">
        <f t="shared" si="149"/>
        <v>No</v>
      </c>
      <c r="J610" s="2">
        <f t="shared" si="150"/>
        <v>44946</v>
      </c>
      <c r="K610" t="s">
        <v>646</v>
      </c>
      <c r="L610" t="s">
        <v>650</v>
      </c>
      <c r="M610" t="s">
        <v>675</v>
      </c>
      <c r="N610" t="str">
        <f t="shared" si="151"/>
        <v>Africa - Kenya - Mombasa</v>
      </c>
      <c r="O610" t="s">
        <v>701</v>
      </c>
      <c r="P610" t="s">
        <v>710</v>
      </c>
      <c r="Q610" t="s">
        <v>717</v>
      </c>
      <c r="R610" t="s">
        <v>728</v>
      </c>
      <c r="S610" t="s">
        <v>1340</v>
      </c>
      <c r="T610" s="6">
        <v>143.33000000000001</v>
      </c>
      <c r="U610" s="8">
        <v>233.51</v>
      </c>
      <c r="V610" s="8">
        <f t="shared" si="152"/>
        <v>233.51</v>
      </c>
      <c r="W610" s="8" t="str">
        <f t="shared" si="153"/>
        <v>Low</v>
      </c>
      <c r="X610" s="15">
        <v>0.16300000000000001</v>
      </c>
      <c r="Y610" s="15">
        <f t="shared" si="154"/>
        <v>0.16300000000000001</v>
      </c>
      <c r="Z610" t="str">
        <f t="shared" si="155"/>
        <v>No</v>
      </c>
      <c r="AA610" s="17">
        <v>14</v>
      </c>
      <c r="AB610" s="8">
        <f t="shared" si="156"/>
        <v>2736.27018</v>
      </c>
      <c r="AC610" s="8">
        <f t="shared" si="157"/>
        <v>2006.6200000000001</v>
      </c>
      <c r="AD610" s="8">
        <f t="shared" si="158"/>
        <v>729.65017999999986</v>
      </c>
      <c r="AE610" s="15">
        <f t="shared" si="159"/>
        <v>0.26665867476580835</v>
      </c>
      <c r="AF610" s="34">
        <f>MIN(Y610,'Scenario Modeling'!$B$2)</f>
        <v>0.16300000000000001</v>
      </c>
      <c r="AG610">
        <f>ROUND(AA610 * (1 + 'Scenario Modeling'!$B$4), 0)</f>
        <v>14</v>
      </c>
      <c r="AH610">
        <f>T610 * (1 + 'Scenario Modeling'!$B$3)</f>
        <v>143.33000000000001</v>
      </c>
      <c r="AI610" s="8">
        <f t="shared" si="160"/>
        <v>2736.27018</v>
      </c>
      <c r="AJ610" s="8">
        <f t="shared" si="161"/>
        <v>729.65017999999986</v>
      </c>
    </row>
    <row r="611" spans="1:36">
      <c r="A611" t="s">
        <v>623</v>
      </c>
      <c r="B611" s="4">
        <v>45319</v>
      </c>
      <c r="C611" s="28">
        <v>45319</v>
      </c>
      <c r="D611" s="28" t="str">
        <f t="shared" si="146"/>
        <v>Q1-2024</v>
      </c>
      <c r="E611" s="4">
        <v>45318</v>
      </c>
      <c r="F611" s="4">
        <f>B611+6</f>
        <v>45325</v>
      </c>
      <c r="G611" s="17">
        <f t="shared" si="147"/>
        <v>-1</v>
      </c>
      <c r="H611" s="17">
        <f t="shared" si="148"/>
        <v>6</v>
      </c>
      <c r="I611" t="str">
        <f t="shared" si="149"/>
        <v>Yes</v>
      </c>
      <c r="J611" s="2">
        <f t="shared" si="150"/>
        <v>44933</v>
      </c>
      <c r="K611" t="s">
        <v>646</v>
      </c>
      <c r="L611" t="s">
        <v>661</v>
      </c>
      <c r="M611" t="s">
        <v>695</v>
      </c>
      <c r="N611" t="str">
        <f t="shared" si="151"/>
        <v>Africa - South Africa - Cape Town</v>
      </c>
      <c r="O611" t="s">
        <v>706</v>
      </c>
      <c r="P611" t="s">
        <v>711</v>
      </c>
      <c r="Q611" t="s">
        <v>719</v>
      </c>
      <c r="R611" t="s">
        <v>727</v>
      </c>
      <c r="S611" t="s">
        <v>1341</v>
      </c>
      <c r="T611" s="6">
        <v>109.75</v>
      </c>
      <c r="U611" s="8">
        <v>124.25</v>
      </c>
      <c r="V611" s="8">
        <f t="shared" si="152"/>
        <v>124.25</v>
      </c>
      <c r="W611" s="8" t="str">
        <f t="shared" si="153"/>
        <v>Low</v>
      </c>
      <c r="X611" s="15">
        <v>0.12</v>
      </c>
      <c r="Y611" s="15">
        <f t="shared" si="154"/>
        <v>0.12</v>
      </c>
      <c r="Z611" t="str">
        <f t="shared" si="155"/>
        <v>No</v>
      </c>
      <c r="AA611" s="17">
        <v>19</v>
      </c>
      <c r="AB611" s="8">
        <f t="shared" si="156"/>
        <v>2077.46</v>
      </c>
      <c r="AC611" s="8">
        <f t="shared" si="157"/>
        <v>2085.25</v>
      </c>
      <c r="AD611" s="8">
        <f t="shared" si="158"/>
        <v>-7.7899999999999636</v>
      </c>
      <c r="AE611" s="15">
        <f t="shared" si="159"/>
        <v>-3.7497713554051405E-3</v>
      </c>
      <c r="AF611" s="34">
        <f>MIN(Y611,'Scenario Modeling'!$B$2)</f>
        <v>0.12</v>
      </c>
      <c r="AG611">
        <f>ROUND(AA611 * (1 + 'Scenario Modeling'!$B$4), 0)</f>
        <v>19</v>
      </c>
      <c r="AH611">
        <f>T611 * (1 + 'Scenario Modeling'!$B$3)</f>
        <v>109.75</v>
      </c>
      <c r="AI611" s="8">
        <f t="shared" si="160"/>
        <v>2077.46</v>
      </c>
      <c r="AJ611" s="8">
        <f t="shared" si="161"/>
        <v>-7.7899999999999636</v>
      </c>
    </row>
    <row r="612" spans="1:36">
      <c r="A612" t="s">
        <v>624</v>
      </c>
      <c r="B612" s="4">
        <v>45032</v>
      </c>
      <c r="C612" s="28">
        <v>45032</v>
      </c>
      <c r="D612" s="28" t="str">
        <f t="shared" si="146"/>
        <v>Q2-2023</v>
      </c>
      <c r="E612" s="4">
        <v>45039</v>
      </c>
      <c r="F612" s="4">
        <v>45039</v>
      </c>
      <c r="G612" s="17">
        <f t="shared" si="147"/>
        <v>7</v>
      </c>
      <c r="H612" s="17">
        <f t="shared" si="148"/>
        <v>7</v>
      </c>
      <c r="I612" t="str">
        <f t="shared" si="149"/>
        <v>Yes</v>
      </c>
      <c r="J612" s="2">
        <f t="shared" si="150"/>
        <v>44939</v>
      </c>
      <c r="K612" t="s">
        <v>648</v>
      </c>
      <c r="L612" t="s">
        <v>660</v>
      </c>
      <c r="M612" t="s">
        <v>697</v>
      </c>
      <c r="N612" t="str">
        <f t="shared" si="151"/>
        <v>Americas - USA - Austin</v>
      </c>
      <c r="O612" t="s">
        <v>701</v>
      </c>
      <c r="P612" t="s">
        <v>710</v>
      </c>
      <c r="Q612" t="s">
        <v>719</v>
      </c>
      <c r="R612" t="s">
        <v>728</v>
      </c>
      <c r="S612" t="s">
        <v>1342</v>
      </c>
      <c r="T612" s="6">
        <v>1099.1500000000001</v>
      </c>
      <c r="U612" s="8">
        <v>1431.37</v>
      </c>
      <c r="V612" s="8">
        <f t="shared" si="152"/>
        <v>1431.37</v>
      </c>
      <c r="W612" s="8" t="str">
        <f t="shared" si="153"/>
        <v>Medium</v>
      </c>
      <c r="X612" s="15">
        <v>0.104</v>
      </c>
      <c r="Y612" s="15">
        <f t="shared" si="154"/>
        <v>0.104</v>
      </c>
      <c r="Z612" t="str">
        <f t="shared" si="155"/>
        <v>No</v>
      </c>
      <c r="AA612" s="17">
        <v>8</v>
      </c>
      <c r="AB612" s="8">
        <f t="shared" si="156"/>
        <v>10260.060159999999</v>
      </c>
      <c r="AC612" s="8">
        <f t="shared" si="157"/>
        <v>8793.2000000000007</v>
      </c>
      <c r="AD612" s="8">
        <f t="shared" si="158"/>
        <v>1466.8601599999984</v>
      </c>
      <c r="AE612" s="15">
        <f t="shared" si="159"/>
        <v>0.14296798821109433</v>
      </c>
      <c r="AF612" s="34">
        <f>MIN(Y612,'Scenario Modeling'!$B$2)</f>
        <v>0.104</v>
      </c>
      <c r="AG612">
        <f>ROUND(AA612 * (1 + 'Scenario Modeling'!$B$4), 0)</f>
        <v>8</v>
      </c>
      <c r="AH612">
        <f>T612 * (1 + 'Scenario Modeling'!$B$3)</f>
        <v>1099.1500000000001</v>
      </c>
      <c r="AI612" s="8">
        <f t="shared" si="160"/>
        <v>10260.060159999999</v>
      </c>
      <c r="AJ612" s="8">
        <f t="shared" si="161"/>
        <v>1466.8601599999984</v>
      </c>
    </row>
    <row r="613" spans="1:36">
      <c r="A613" t="s">
        <v>625</v>
      </c>
      <c r="B613" s="4">
        <v>45323</v>
      </c>
      <c r="C613" s="28">
        <v>45323</v>
      </c>
      <c r="D613" s="28" t="str">
        <f t="shared" si="146"/>
        <v>Q1-2024</v>
      </c>
      <c r="E613" s="4">
        <v>45323</v>
      </c>
      <c r="F613" s="4">
        <v>45323</v>
      </c>
      <c r="G613" s="17">
        <f t="shared" si="147"/>
        <v>0</v>
      </c>
      <c r="H613" s="17">
        <f t="shared" si="148"/>
        <v>0</v>
      </c>
      <c r="I613" t="str">
        <f t="shared" si="149"/>
        <v>Yes</v>
      </c>
      <c r="J613" s="2">
        <f t="shared" si="150"/>
        <v>44939</v>
      </c>
      <c r="K613" t="s">
        <v>648</v>
      </c>
      <c r="L613" t="s">
        <v>660</v>
      </c>
      <c r="M613" t="s">
        <v>697</v>
      </c>
      <c r="N613" t="str">
        <f t="shared" si="151"/>
        <v>Americas - USA - Austin</v>
      </c>
      <c r="O613" t="s">
        <v>704</v>
      </c>
      <c r="P613" t="s">
        <v>710</v>
      </c>
      <c r="Q613" t="s">
        <v>722</v>
      </c>
      <c r="R613" t="s">
        <v>728</v>
      </c>
      <c r="S613" t="s">
        <v>1343</v>
      </c>
      <c r="T613" s="6">
        <v>714.43</v>
      </c>
      <c r="U613" s="8">
        <v>1595.52</v>
      </c>
      <c r="V613" s="8">
        <f t="shared" si="152"/>
        <v>1595.52</v>
      </c>
      <c r="W613" s="8" t="str">
        <f t="shared" si="153"/>
        <v>Medium</v>
      </c>
      <c r="X613" s="15">
        <v>0.19400000000000001</v>
      </c>
      <c r="Y613" s="15">
        <f t="shared" si="154"/>
        <v>0.19400000000000001</v>
      </c>
      <c r="Z613" t="str">
        <f t="shared" si="155"/>
        <v>No</v>
      </c>
      <c r="AA613" s="17">
        <v>14</v>
      </c>
      <c r="AB613" s="8">
        <f t="shared" si="156"/>
        <v>18003.847679999999</v>
      </c>
      <c r="AC613" s="8">
        <f t="shared" si="157"/>
        <v>10002.019999999999</v>
      </c>
      <c r="AD613" s="8">
        <f t="shared" si="158"/>
        <v>8001.8276800000003</v>
      </c>
      <c r="AE613" s="15">
        <f t="shared" si="159"/>
        <v>0.44445097638151093</v>
      </c>
      <c r="AF613" s="34">
        <f>MIN(Y613,'Scenario Modeling'!$B$2)</f>
        <v>0.19400000000000001</v>
      </c>
      <c r="AG613">
        <f>ROUND(AA613 * (1 + 'Scenario Modeling'!$B$4), 0)</f>
        <v>14</v>
      </c>
      <c r="AH613">
        <f>T613 * (1 + 'Scenario Modeling'!$B$3)</f>
        <v>714.43</v>
      </c>
      <c r="AI613" s="8">
        <f t="shared" si="160"/>
        <v>18003.847679999999</v>
      </c>
      <c r="AJ613" s="8">
        <f t="shared" si="161"/>
        <v>8001.8276800000003</v>
      </c>
    </row>
    <row r="614" spans="1:36">
      <c r="A614" t="s">
        <v>626</v>
      </c>
      <c r="B614" s="4">
        <v>45584</v>
      </c>
      <c r="C614" s="28">
        <v>45584</v>
      </c>
      <c r="D614" s="28" t="str">
        <f t="shared" si="146"/>
        <v>Q4-2024</v>
      </c>
      <c r="E614" s="4">
        <v>45602</v>
      </c>
      <c r="F614" s="4">
        <v>45602</v>
      </c>
      <c r="G614" s="17">
        <f t="shared" si="147"/>
        <v>18</v>
      </c>
      <c r="H614" s="17">
        <f t="shared" si="148"/>
        <v>18</v>
      </c>
      <c r="I614" t="str">
        <f t="shared" si="149"/>
        <v>No</v>
      </c>
      <c r="J614" s="2">
        <f t="shared" si="150"/>
        <v>44939</v>
      </c>
      <c r="K614" t="s">
        <v>648</v>
      </c>
      <c r="L614" t="s">
        <v>660</v>
      </c>
      <c r="M614" t="s">
        <v>677</v>
      </c>
      <c r="N614" t="str">
        <f t="shared" si="151"/>
        <v>Americas - USA - Chicago</v>
      </c>
      <c r="O614" t="s">
        <v>702</v>
      </c>
      <c r="P614" t="s">
        <v>709</v>
      </c>
      <c r="Q614" t="s">
        <v>712</v>
      </c>
      <c r="R614" t="s">
        <v>732</v>
      </c>
      <c r="S614" t="s">
        <v>1344</v>
      </c>
      <c r="T614" s="6">
        <v>942.02</v>
      </c>
      <c r="U614" s="8">
        <v>1028.46</v>
      </c>
      <c r="V614" s="8">
        <f t="shared" si="152"/>
        <v>1028.46</v>
      </c>
      <c r="W614" s="8" t="str">
        <f t="shared" si="153"/>
        <v>Medium</v>
      </c>
      <c r="X614" s="15">
        <v>0</v>
      </c>
      <c r="Y614" s="15">
        <f t="shared" si="154"/>
        <v>0</v>
      </c>
      <c r="Z614" t="str">
        <f t="shared" si="155"/>
        <v>No</v>
      </c>
      <c r="AA614" s="17">
        <v>9</v>
      </c>
      <c r="AB614" s="8">
        <f t="shared" si="156"/>
        <v>9256.14</v>
      </c>
      <c r="AC614" s="8">
        <f t="shared" si="157"/>
        <v>8478.18</v>
      </c>
      <c r="AD614" s="8">
        <f t="shared" si="158"/>
        <v>777.95999999999913</v>
      </c>
      <c r="AE614" s="15">
        <f t="shared" si="159"/>
        <v>8.4047994088248354E-2</v>
      </c>
      <c r="AF614" s="34">
        <f>MIN(Y614,'Scenario Modeling'!$B$2)</f>
        <v>0</v>
      </c>
      <c r="AG614">
        <f>ROUND(AA614 * (1 + 'Scenario Modeling'!$B$4), 0)</f>
        <v>9</v>
      </c>
      <c r="AH614">
        <f>T614 * (1 + 'Scenario Modeling'!$B$3)</f>
        <v>942.02</v>
      </c>
      <c r="AI614" s="8">
        <f t="shared" si="160"/>
        <v>9256.14</v>
      </c>
      <c r="AJ614" s="8">
        <f t="shared" si="161"/>
        <v>777.95999999999913</v>
      </c>
    </row>
    <row r="615" spans="1:36">
      <c r="A615" t="s">
        <v>627</v>
      </c>
      <c r="B615" s="4">
        <v>45468</v>
      </c>
      <c r="C615" s="28">
        <v>45468</v>
      </c>
      <c r="D615" s="28" t="str">
        <f t="shared" si="146"/>
        <v>Q2-2024</v>
      </c>
      <c r="E615" s="4">
        <v>45473</v>
      </c>
      <c r="F615" s="4">
        <v>45473</v>
      </c>
      <c r="G615" s="17">
        <f t="shared" si="147"/>
        <v>5</v>
      </c>
      <c r="H615" s="17">
        <f t="shared" si="148"/>
        <v>5</v>
      </c>
      <c r="I615" t="str">
        <f t="shared" si="149"/>
        <v>Yes</v>
      </c>
      <c r="J615" s="2">
        <f t="shared" si="150"/>
        <v>44946</v>
      </c>
      <c r="K615" t="s">
        <v>646</v>
      </c>
      <c r="L615" t="s">
        <v>650</v>
      </c>
      <c r="M615" t="s">
        <v>662</v>
      </c>
      <c r="N615" t="str">
        <f t="shared" si="151"/>
        <v>Africa - Kenya - Kisumu</v>
      </c>
      <c r="O615" t="s">
        <v>702</v>
      </c>
      <c r="P615" t="s">
        <v>711</v>
      </c>
      <c r="Q615" t="s">
        <v>724</v>
      </c>
      <c r="R615" t="s">
        <v>729</v>
      </c>
      <c r="S615" t="s">
        <v>1345</v>
      </c>
      <c r="T615" s="6">
        <v>1323.55</v>
      </c>
      <c r="U615" s="8">
        <v>3230.35</v>
      </c>
      <c r="V615" s="8">
        <f t="shared" si="152"/>
        <v>3230.35</v>
      </c>
      <c r="W615" s="8" t="str">
        <f t="shared" si="153"/>
        <v>High</v>
      </c>
      <c r="X615" s="15">
        <v>2.1999999999999999E-2</v>
      </c>
      <c r="Y615" s="15">
        <f t="shared" si="154"/>
        <v>2.1999999999999999E-2</v>
      </c>
      <c r="Z615" t="str">
        <f t="shared" si="155"/>
        <v>No</v>
      </c>
      <c r="AA615" s="17">
        <v>26</v>
      </c>
      <c r="AB615" s="8">
        <f t="shared" si="156"/>
        <v>82141.339799999987</v>
      </c>
      <c r="AC615" s="8">
        <f t="shared" si="157"/>
        <v>34412.299999999996</v>
      </c>
      <c r="AD615" s="8">
        <f t="shared" si="158"/>
        <v>47729.039799999991</v>
      </c>
      <c r="AE615" s="15">
        <f t="shared" si="159"/>
        <v>0.58105991351263542</v>
      </c>
      <c r="AF615" s="34">
        <f>MIN(Y615,'Scenario Modeling'!$B$2)</f>
        <v>2.1999999999999999E-2</v>
      </c>
      <c r="AG615">
        <f>ROUND(AA615 * (1 + 'Scenario Modeling'!$B$4), 0)</f>
        <v>26</v>
      </c>
      <c r="AH615">
        <f>T615 * (1 + 'Scenario Modeling'!$B$3)</f>
        <v>1323.55</v>
      </c>
      <c r="AI615" s="8">
        <f t="shared" si="160"/>
        <v>82141.339799999987</v>
      </c>
      <c r="AJ615" s="8">
        <f t="shared" si="161"/>
        <v>47729.039799999991</v>
      </c>
    </row>
    <row r="616" spans="1:36">
      <c r="A616" t="s">
        <v>628</v>
      </c>
      <c r="B616" s="4">
        <v>45137</v>
      </c>
      <c r="C616" s="28">
        <v>45137</v>
      </c>
      <c r="D616" s="28" t="str">
        <f t="shared" si="146"/>
        <v>Q3-2023</v>
      </c>
      <c r="E616" s="4">
        <v>45157</v>
      </c>
      <c r="F616" s="4">
        <v>45157</v>
      </c>
      <c r="G616" s="17">
        <f t="shared" si="147"/>
        <v>20</v>
      </c>
      <c r="H616" s="17">
        <f t="shared" si="148"/>
        <v>20</v>
      </c>
      <c r="I616" t="str">
        <f t="shared" si="149"/>
        <v>No</v>
      </c>
      <c r="J616" s="2">
        <f t="shared" si="150"/>
        <v>44936</v>
      </c>
      <c r="K616" t="s">
        <v>649</v>
      </c>
      <c r="L616" t="s">
        <v>657</v>
      </c>
      <c r="M616" t="s">
        <v>690</v>
      </c>
      <c r="N616" t="str">
        <f t="shared" si="151"/>
        <v>Europe - France - Paris</v>
      </c>
      <c r="O616" t="s">
        <v>706</v>
      </c>
      <c r="P616" t="s">
        <v>709</v>
      </c>
      <c r="Q616" t="s">
        <v>715</v>
      </c>
      <c r="R616" t="s">
        <v>729</v>
      </c>
      <c r="S616" t="s">
        <v>1346</v>
      </c>
      <c r="T616" s="6">
        <v>1418.51</v>
      </c>
      <c r="U616" s="8">
        <v>2789.61</v>
      </c>
      <c r="V616" s="8">
        <f t="shared" si="152"/>
        <v>2789.61</v>
      </c>
      <c r="W616" s="8" t="str">
        <f t="shared" si="153"/>
        <v>High</v>
      </c>
      <c r="X616" s="15">
        <v>0.17100000000000001</v>
      </c>
      <c r="Y616" s="15">
        <f t="shared" si="154"/>
        <v>0.17100000000000001</v>
      </c>
      <c r="Z616" t="str">
        <f t="shared" si="155"/>
        <v>No</v>
      </c>
      <c r="AA616" s="17">
        <v>8</v>
      </c>
      <c r="AB616" s="8">
        <f t="shared" si="156"/>
        <v>18500.693520000001</v>
      </c>
      <c r="AC616" s="8">
        <f t="shared" si="157"/>
        <v>11348.08</v>
      </c>
      <c r="AD616" s="8">
        <f t="shared" si="158"/>
        <v>7152.6135200000008</v>
      </c>
      <c r="AE616" s="15">
        <f t="shared" si="159"/>
        <v>0.38661326464695689</v>
      </c>
      <c r="AF616" s="34">
        <f>MIN(Y616,'Scenario Modeling'!$B$2)</f>
        <v>0.17100000000000001</v>
      </c>
      <c r="AG616">
        <f>ROUND(AA616 * (1 + 'Scenario Modeling'!$B$4), 0)</f>
        <v>8</v>
      </c>
      <c r="AH616">
        <f>T616 * (1 + 'Scenario Modeling'!$B$3)</f>
        <v>1418.51</v>
      </c>
      <c r="AI616" s="8">
        <f t="shared" si="160"/>
        <v>18500.693520000001</v>
      </c>
      <c r="AJ616" s="8">
        <f t="shared" si="161"/>
        <v>7152.6135200000008</v>
      </c>
    </row>
    <row r="617" spans="1:36">
      <c r="A617" t="s">
        <v>629</v>
      </c>
      <c r="B617" s="4">
        <v>45727</v>
      </c>
      <c r="C617" s="28">
        <v>45727</v>
      </c>
      <c r="D617" s="28" t="str">
        <f t="shared" si="146"/>
        <v>Q1-2025</v>
      </c>
      <c r="E617" s="4">
        <v>45743</v>
      </c>
      <c r="F617" s="4">
        <v>45743</v>
      </c>
      <c r="G617" s="17">
        <f t="shared" si="147"/>
        <v>16</v>
      </c>
      <c r="H617" s="17">
        <f t="shared" si="148"/>
        <v>16</v>
      </c>
      <c r="I617" t="str">
        <f t="shared" si="149"/>
        <v>No</v>
      </c>
      <c r="J617" s="2">
        <f t="shared" si="150"/>
        <v>44988</v>
      </c>
      <c r="K617" t="s">
        <v>647</v>
      </c>
      <c r="L617" t="s">
        <v>652</v>
      </c>
      <c r="M617" t="s">
        <v>689</v>
      </c>
      <c r="N617" t="str">
        <f t="shared" si="151"/>
        <v>Asia - Japan - Tokyo</v>
      </c>
      <c r="O617" t="s">
        <v>706</v>
      </c>
      <c r="P617" t="s">
        <v>710</v>
      </c>
      <c r="Q617" t="s">
        <v>717</v>
      </c>
      <c r="R617" t="s">
        <v>728</v>
      </c>
      <c r="S617" t="s">
        <v>1347</v>
      </c>
      <c r="T617" s="6">
        <v>1317.58</v>
      </c>
      <c r="U617" s="8">
        <v>1897.74</v>
      </c>
      <c r="V617" s="8">
        <f t="shared" si="152"/>
        <v>1897.74</v>
      </c>
      <c r="W617" s="8" t="str">
        <f t="shared" si="153"/>
        <v>High</v>
      </c>
      <c r="X617" s="15">
        <v>8.1000000000000003E-2</v>
      </c>
      <c r="Y617" s="15">
        <f t="shared" si="154"/>
        <v>8.1000000000000003E-2</v>
      </c>
      <c r="Z617" t="str">
        <f t="shared" si="155"/>
        <v>No</v>
      </c>
      <c r="AA617" s="17">
        <v>6</v>
      </c>
      <c r="AB617" s="8">
        <f t="shared" si="156"/>
        <v>10464.138360000001</v>
      </c>
      <c r="AC617" s="8">
        <f t="shared" si="157"/>
        <v>7905.48</v>
      </c>
      <c r="AD617" s="8">
        <f t="shared" si="158"/>
        <v>2558.6583600000013</v>
      </c>
      <c r="AE617" s="15">
        <f t="shared" si="159"/>
        <v>0.24451687009230266</v>
      </c>
      <c r="AF617" s="34">
        <f>MIN(Y617,'Scenario Modeling'!$B$2)</f>
        <v>8.1000000000000003E-2</v>
      </c>
      <c r="AG617">
        <f>ROUND(AA617 * (1 + 'Scenario Modeling'!$B$4), 0)</f>
        <v>6</v>
      </c>
      <c r="AH617">
        <f>T617 * (1 + 'Scenario Modeling'!$B$3)</f>
        <v>1317.58</v>
      </c>
      <c r="AI617" s="8">
        <f t="shared" si="160"/>
        <v>10464.138360000001</v>
      </c>
      <c r="AJ617" s="8">
        <f t="shared" si="161"/>
        <v>2558.6583600000013</v>
      </c>
    </row>
    <row r="618" spans="1:36">
      <c r="A618" t="s">
        <v>630</v>
      </c>
      <c r="B618" s="4">
        <v>45208</v>
      </c>
      <c r="C618" s="28">
        <v>45208</v>
      </c>
      <c r="D618" s="28" t="str">
        <f t="shared" si="146"/>
        <v>Q4-2023</v>
      </c>
      <c r="E618" s="4">
        <v>45210</v>
      </c>
      <c r="F618" s="4">
        <v>45210</v>
      </c>
      <c r="G618" s="17">
        <f t="shared" si="147"/>
        <v>2</v>
      </c>
      <c r="H618" s="17">
        <f t="shared" si="148"/>
        <v>2</v>
      </c>
      <c r="I618" t="str">
        <f t="shared" si="149"/>
        <v>Yes</v>
      </c>
      <c r="J618" s="2">
        <f t="shared" si="150"/>
        <v>44941</v>
      </c>
      <c r="K618" t="s">
        <v>646</v>
      </c>
      <c r="L618" t="s">
        <v>651</v>
      </c>
      <c r="M618" t="s">
        <v>663</v>
      </c>
      <c r="N618" t="str">
        <f t="shared" si="151"/>
        <v>Africa - Nigeria - Port Harcourt</v>
      </c>
      <c r="O618" t="s">
        <v>702</v>
      </c>
      <c r="P618" t="s">
        <v>709</v>
      </c>
      <c r="Q618" t="s">
        <v>723</v>
      </c>
      <c r="R618" t="s">
        <v>729</v>
      </c>
      <c r="S618" t="s">
        <v>1348</v>
      </c>
      <c r="T618" s="6">
        <v>391.16</v>
      </c>
      <c r="U618" s="8">
        <v>902.47</v>
      </c>
      <c r="V618" s="8">
        <f t="shared" si="152"/>
        <v>902.47</v>
      </c>
      <c r="W618" s="8" t="str">
        <f t="shared" si="153"/>
        <v>Medium</v>
      </c>
      <c r="X618" s="15">
        <v>4.0000000000000001E-3</v>
      </c>
      <c r="Y618" s="15">
        <f t="shared" si="154"/>
        <v>4.0000000000000001E-3</v>
      </c>
      <c r="Z618" t="str">
        <f t="shared" si="155"/>
        <v>No</v>
      </c>
      <c r="AA618" s="17">
        <v>12</v>
      </c>
      <c r="AB618" s="8">
        <f t="shared" si="156"/>
        <v>10786.32144</v>
      </c>
      <c r="AC618" s="8">
        <f t="shared" si="157"/>
        <v>4693.92</v>
      </c>
      <c r="AD618" s="8">
        <f t="shared" si="158"/>
        <v>6092.4014399999996</v>
      </c>
      <c r="AE618" s="15">
        <f t="shared" si="159"/>
        <v>0.56482661618139207</v>
      </c>
      <c r="AF618" s="34">
        <f>MIN(Y618,'Scenario Modeling'!$B$2)</f>
        <v>4.0000000000000001E-3</v>
      </c>
      <c r="AG618">
        <f>ROUND(AA618 * (1 + 'Scenario Modeling'!$B$4), 0)</f>
        <v>12</v>
      </c>
      <c r="AH618">
        <f>T618 * (1 + 'Scenario Modeling'!$B$3)</f>
        <v>391.16</v>
      </c>
      <c r="AI618" s="8">
        <f t="shared" si="160"/>
        <v>10786.32144</v>
      </c>
      <c r="AJ618" s="8">
        <f t="shared" si="161"/>
        <v>6092.4014399999996</v>
      </c>
    </row>
    <row r="619" spans="1:36">
      <c r="A619" t="s">
        <v>631</v>
      </c>
      <c r="B619" s="4">
        <v>45643</v>
      </c>
      <c r="C619" s="28">
        <v>45643</v>
      </c>
      <c r="D619" s="28" t="str">
        <f t="shared" si="146"/>
        <v>Q4-2024</v>
      </c>
      <c r="E619" s="4">
        <v>45673</v>
      </c>
      <c r="F619" s="4">
        <v>45673</v>
      </c>
      <c r="G619" s="17">
        <f t="shared" si="147"/>
        <v>30</v>
      </c>
      <c r="H619" s="17">
        <f t="shared" si="148"/>
        <v>30</v>
      </c>
      <c r="I619" t="str">
        <f t="shared" si="149"/>
        <v>No</v>
      </c>
      <c r="J619" s="2">
        <f t="shared" si="150"/>
        <v>44945</v>
      </c>
      <c r="K619" t="s">
        <v>649</v>
      </c>
      <c r="L619" t="s">
        <v>658</v>
      </c>
      <c r="M619" t="s">
        <v>693</v>
      </c>
      <c r="N619" t="str">
        <f t="shared" si="151"/>
        <v>Europe - United Kingdom - Manchester</v>
      </c>
      <c r="O619" t="s">
        <v>701</v>
      </c>
      <c r="P619" t="s">
        <v>707</v>
      </c>
      <c r="Q619" t="s">
        <v>726</v>
      </c>
      <c r="R619" t="s">
        <v>732</v>
      </c>
      <c r="S619" t="s">
        <v>1349</v>
      </c>
      <c r="T619" s="6">
        <v>722.87</v>
      </c>
      <c r="U619" s="8">
        <v>-33.659999999999997</v>
      </c>
      <c r="V619" s="8">
        <f t="shared" si="152"/>
        <v>33.659999999999997</v>
      </c>
      <c r="W619" s="8" t="str">
        <f t="shared" si="153"/>
        <v>Low</v>
      </c>
      <c r="X619" s="15">
        <v>0.10199999999999999</v>
      </c>
      <c r="Y619" s="15">
        <f t="shared" si="154"/>
        <v>0.10199999999999999</v>
      </c>
      <c r="Z619" t="str">
        <f t="shared" si="155"/>
        <v>No</v>
      </c>
      <c r="AA619" s="17">
        <v>28</v>
      </c>
      <c r="AB619" s="8">
        <f t="shared" si="156"/>
        <v>-846.34703999999988</v>
      </c>
      <c r="AC619" s="8">
        <f t="shared" si="157"/>
        <v>20240.36</v>
      </c>
      <c r="AD619" s="8">
        <f t="shared" si="158"/>
        <v>-21086.707040000001</v>
      </c>
      <c r="AE619" s="15">
        <f t="shared" si="159"/>
        <v>24.914965189693348</v>
      </c>
      <c r="AF619" s="34">
        <f>MIN(Y619,'Scenario Modeling'!$B$2)</f>
        <v>0.10199999999999999</v>
      </c>
      <c r="AG619">
        <f>ROUND(AA619 * (1 + 'Scenario Modeling'!$B$4), 0)</f>
        <v>28</v>
      </c>
      <c r="AH619">
        <f>T619 * (1 + 'Scenario Modeling'!$B$3)</f>
        <v>722.87</v>
      </c>
      <c r="AI619" s="8">
        <f t="shared" si="160"/>
        <v>846.34703999999988</v>
      </c>
      <c r="AJ619" s="8">
        <f t="shared" si="161"/>
        <v>-19394.01296</v>
      </c>
    </row>
    <row r="620" spans="1:36">
      <c r="A620" t="s">
        <v>632</v>
      </c>
      <c r="B620" s="4">
        <v>45849</v>
      </c>
      <c r="C620" s="28">
        <v>45849</v>
      </c>
      <c r="D620" s="28" t="str">
        <f t="shared" si="146"/>
        <v>Q3-2025</v>
      </c>
      <c r="E620" s="4">
        <v>45854</v>
      </c>
      <c r="F620" s="4">
        <v>45854</v>
      </c>
      <c r="G620" s="17">
        <f t="shared" si="147"/>
        <v>5</v>
      </c>
      <c r="H620" s="17">
        <f t="shared" si="148"/>
        <v>5</v>
      </c>
      <c r="I620" t="str">
        <f t="shared" si="149"/>
        <v>Yes</v>
      </c>
      <c r="J620" s="2">
        <f t="shared" si="150"/>
        <v>44945</v>
      </c>
      <c r="K620" t="s">
        <v>649</v>
      </c>
      <c r="L620" t="s">
        <v>658</v>
      </c>
      <c r="M620" t="s">
        <v>683</v>
      </c>
      <c r="N620" t="str">
        <f t="shared" si="151"/>
        <v>Europe - United Kingdom - London</v>
      </c>
      <c r="O620" t="s">
        <v>706</v>
      </c>
      <c r="P620" t="s">
        <v>708</v>
      </c>
      <c r="Q620" t="s">
        <v>723</v>
      </c>
      <c r="R620" t="s">
        <v>728</v>
      </c>
      <c r="S620" t="s">
        <v>1350</v>
      </c>
      <c r="T620" s="6">
        <v>930.03</v>
      </c>
      <c r="U620" s="8">
        <v>1086.68</v>
      </c>
      <c r="V620" s="8">
        <f t="shared" si="152"/>
        <v>1086.68</v>
      </c>
      <c r="W620" s="8" t="str">
        <f t="shared" si="153"/>
        <v>Medium</v>
      </c>
      <c r="X620" s="15">
        <v>0.109</v>
      </c>
      <c r="Y620" s="15">
        <f t="shared" si="154"/>
        <v>0.109</v>
      </c>
      <c r="Z620" t="str">
        <f t="shared" si="155"/>
        <v>No</v>
      </c>
      <c r="AA620" s="17">
        <v>26</v>
      </c>
      <c r="AB620" s="8">
        <f t="shared" si="156"/>
        <v>25174.028880000002</v>
      </c>
      <c r="AC620" s="8">
        <f t="shared" si="157"/>
        <v>24180.78</v>
      </c>
      <c r="AD620" s="8">
        <f t="shared" si="158"/>
        <v>993.24888000000283</v>
      </c>
      <c r="AE620" s="15">
        <f t="shared" si="159"/>
        <v>3.9455300728168656E-2</v>
      </c>
      <c r="AF620" s="34">
        <f>MIN(Y620,'Scenario Modeling'!$B$2)</f>
        <v>0.109</v>
      </c>
      <c r="AG620">
        <f>ROUND(AA620 * (1 + 'Scenario Modeling'!$B$4), 0)</f>
        <v>26</v>
      </c>
      <c r="AH620">
        <f>T620 * (1 + 'Scenario Modeling'!$B$3)</f>
        <v>930.03</v>
      </c>
      <c r="AI620" s="8">
        <f t="shared" si="160"/>
        <v>25174.028880000002</v>
      </c>
      <c r="AJ620" s="8">
        <f t="shared" si="161"/>
        <v>993.24888000000283</v>
      </c>
    </row>
    <row r="621" spans="1:36">
      <c r="A621" t="s">
        <v>633</v>
      </c>
      <c r="B621" s="4">
        <v>45578</v>
      </c>
      <c r="C621" s="28">
        <v>45578</v>
      </c>
      <c r="D621" s="28" t="str">
        <f t="shared" si="146"/>
        <v>Q4-2024</v>
      </c>
      <c r="E621" s="4">
        <v>45589</v>
      </c>
      <c r="F621" s="4">
        <v>45589</v>
      </c>
      <c r="G621" s="17">
        <f t="shared" si="147"/>
        <v>11</v>
      </c>
      <c r="H621" s="17">
        <f t="shared" si="148"/>
        <v>11</v>
      </c>
      <c r="I621" t="str">
        <f t="shared" si="149"/>
        <v>No</v>
      </c>
      <c r="J621" s="2">
        <f t="shared" si="150"/>
        <v>44936</v>
      </c>
      <c r="K621" t="s">
        <v>649</v>
      </c>
      <c r="L621" t="s">
        <v>657</v>
      </c>
      <c r="M621" t="s">
        <v>690</v>
      </c>
      <c r="N621" t="str">
        <f t="shared" si="151"/>
        <v>Europe - France - Paris</v>
      </c>
      <c r="O621" t="s">
        <v>702</v>
      </c>
      <c r="P621" t="s">
        <v>710</v>
      </c>
      <c r="Q621" t="s">
        <v>721</v>
      </c>
      <c r="R621" t="s">
        <v>727</v>
      </c>
      <c r="S621" t="s">
        <v>1351</v>
      </c>
      <c r="T621" s="6">
        <v>816.7</v>
      </c>
      <c r="U621" s="8">
        <v>1010.75</v>
      </c>
      <c r="V621" s="8">
        <f t="shared" si="152"/>
        <v>1010.75</v>
      </c>
      <c r="W621" s="8" t="str">
        <f t="shared" si="153"/>
        <v>Medium</v>
      </c>
      <c r="X621" s="15">
        <v>4.7E-2</v>
      </c>
      <c r="Y621" s="15">
        <f t="shared" si="154"/>
        <v>4.7E-2</v>
      </c>
      <c r="Z621" t="str">
        <f t="shared" si="155"/>
        <v>No</v>
      </c>
      <c r="AA621" s="17">
        <v>43</v>
      </c>
      <c r="AB621" s="8">
        <f t="shared" si="156"/>
        <v>41419.524249999995</v>
      </c>
      <c r="AC621" s="8">
        <f t="shared" si="157"/>
        <v>35118.1</v>
      </c>
      <c r="AD621" s="8">
        <f t="shared" si="158"/>
        <v>6301.4242499999964</v>
      </c>
      <c r="AE621" s="15">
        <f t="shared" si="159"/>
        <v>0.15213656757537472</v>
      </c>
      <c r="AF621" s="34">
        <f>MIN(Y621,'Scenario Modeling'!$B$2)</f>
        <v>4.7E-2</v>
      </c>
      <c r="AG621">
        <f>ROUND(AA621 * (1 + 'Scenario Modeling'!$B$4), 0)</f>
        <v>43</v>
      </c>
      <c r="AH621">
        <f>T621 * (1 + 'Scenario Modeling'!$B$3)</f>
        <v>816.7</v>
      </c>
      <c r="AI621" s="8">
        <f t="shared" si="160"/>
        <v>41419.524249999995</v>
      </c>
      <c r="AJ621" s="8">
        <f t="shared" si="161"/>
        <v>6301.4242499999964</v>
      </c>
    </row>
    <row r="622" spans="1:36">
      <c r="A622" t="s">
        <v>634</v>
      </c>
      <c r="B622" s="4">
        <v>45177</v>
      </c>
      <c r="C622" s="28">
        <v>45177</v>
      </c>
      <c r="D622" s="28" t="str">
        <f t="shared" si="146"/>
        <v>Q3-2023</v>
      </c>
      <c r="E622" s="4">
        <v>45183</v>
      </c>
      <c r="F622" s="4">
        <v>45183</v>
      </c>
      <c r="G622" s="17">
        <f t="shared" si="147"/>
        <v>6</v>
      </c>
      <c r="H622" s="17">
        <f t="shared" si="148"/>
        <v>6</v>
      </c>
      <c r="I622" t="str">
        <f t="shared" si="149"/>
        <v>Yes</v>
      </c>
      <c r="J622" s="2">
        <f t="shared" si="150"/>
        <v>44946</v>
      </c>
      <c r="K622" t="s">
        <v>646</v>
      </c>
      <c r="L622" t="s">
        <v>650</v>
      </c>
      <c r="M622" t="s">
        <v>678</v>
      </c>
      <c r="N622" t="str">
        <f t="shared" si="151"/>
        <v>Africa - Kenya - Nakuru</v>
      </c>
      <c r="O622" t="s">
        <v>702</v>
      </c>
      <c r="P622" t="s">
        <v>711</v>
      </c>
      <c r="Q622" t="s">
        <v>714</v>
      </c>
      <c r="R622" t="s">
        <v>733</v>
      </c>
      <c r="S622" t="s">
        <v>1352</v>
      </c>
      <c r="T622" s="6">
        <v>251.03</v>
      </c>
      <c r="U622" s="8">
        <v>411.48</v>
      </c>
      <c r="V622" s="8">
        <f t="shared" si="152"/>
        <v>411.48</v>
      </c>
      <c r="W622" s="8" t="str">
        <f t="shared" si="153"/>
        <v>Low</v>
      </c>
      <c r="X622" s="15">
        <v>0.16500000000000001</v>
      </c>
      <c r="Y622" s="15">
        <f t="shared" si="154"/>
        <v>0.16500000000000001</v>
      </c>
      <c r="Z622" t="str">
        <f t="shared" si="155"/>
        <v>No</v>
      </c>
      <c r="AA622" s="17">
        <v>3</v>
      </c>
      <c r="AB622" s="8">
        <f t="shared" si="156"/>
        <v>1030.7574</v>
      </c>
      <c r="AC622" s="8">
        <f t="shared" si="157"/>
        <v>753.09</v>
      </c>
      <c r="AD622" s="8">
        <f t="shared" si="158"/>
        <v>277.66739999999993</v>
      </c>
      <c r="AE622" s="15">
        <f t="shared" si="159"/>
        <v>0.26938191275658069</v>
      </c>
      <c r="AF622" s="34">
        <f>MIN(Y622,'Scenario Modeling'!$B$2)</f>
        <v>0.16500000000000001</v>
      </c>
      <c r="AG622">
        <f>ROUND(AA622 * (1 + 'Scenario Modeling'!$B$4), 0)</f>
        <v>3</v>
      </c>
      <c r="AH622">
        <f>T622 * (1 + 'Scenario Modeling'!$B$3)</f>
        <v>251.03</v>
      </c>
      <c r="AI622" s="8">
        <f t="shared" si="160"/>
        <v>1030.7574</v>
      </c>
      <c r="AJ622" s="8">
        <f t="shared" si="161"/>
        <v>277.66739999999993</v>
      </c>
    </row>
    <row r="623" spans="1:36">
      <c r="A623" t="s">
        <v>635</v>
      </c>
      <c r="B623" s="4">
        <v>45764</v>
      </c>
      <c r="C623" s="28">
        <v>45764</v>
      </c>
      <c r="D623" s="28" t="str">
        <f t="shared" si="146"/>
        <v>Q2-2025</v>
      </c>
      <c r="E623" s="4">
        <v>45780</v>
      </c>
      <c r="F623" s="4">
        <v>45780</v>
      </c>
      <c r="G623" s="17">
        <f t="shared" si="147"/>
        <v>16</v>
      </c>
      <c r="H623" s="17">
        <f t="shared" si="148"/>
        <v>16</v>
      </c>
      <c r="I623" t="str">
        <f t="shared" si="149"/>
        <v>No</v>
      </c>
      <c r="J623" s="2">
        <f t="shared" si="150"/>
        <v>44955</v>
      </c>
      <c r="K623" t="s">
        <v>648</v>
      </c>
      <c r="L623" t="s">
        <v>655</v>
      </c>
      <c r="M623" t="s">
        <v>692</v>
      </c>
      <c r="N623" t="str">
        <f t="shared" si="151"/>
        <v>Americas - Brazil - Rio de Janeiro</v>
      </c>
      <c r="O623" t="s">
        <v>704</v>
      </c>
      <c r="P623" t="s">
        <v>709</v>
      </c>
      <c r="Q623" t="s">
        <v>713</v>
      </c>
      <c r="R623" t="s">
        <v>729</v>
      </c>
      <c r="S623" t="s">
        <v>1353</v>
      </c>
      <c r="T623" s="6">
        <v>168.68</v>
      </c>
      <c r="U623" s="8">
        <v>413.34</v>
      </c>
      <c r="V623" s="8">
        <f t="shared" si="152"/>
        <v>413.34</v>
      </c>
      <c r="W623" s="8" t="str">
        <f t="shared" si="153"/>
        <v>Low</v>
      </c>
      <c r="X623" s="15">
        <v>0.186</v>
      </c>
      <c r="Y623" s="15">
        <f t="shared" si="154"/>
        <v>0.186</v>
      </c>
      <c r="Z623" t="str">
        <f t="shared" si="155"/>
        <v>No</v>
      </c>
      <c r="AA623" s="17">
        <v>7</v>
      </c>
      <c r="AB623" s="8">
        <f t="shared" si="156"/>
        <v>2355.2113199999999</v>
      </c>
      <c r="AC623" s="8">
        <f t="shared" si="157"/>
        <v>1180.76</v>
      </c>
      <c r="AD623" s="8">
        <f t="shared" si="158"/>
        <v>1174.4513199999999</v>
      </c>
      <c r="AE623" s="15">
        <f t="shared" si="159"/>
        <v>0.49866069767361682</v>
      </c>
      <c r="AF623" s="34">
        <f>MIN(Y623,'Scenario Modeling'!$B$2)</f>
        <v>0.186</v>
      </c>
      <c r="AG623">
        <f>ROUND(AA623 * (1 + 'Scenario Modeling'!$B$4), 0)</f>
        <v>7</v>
      </c>
      <c r="AH623">
        <f>T623 * (1 + 'Scenario Modeling'!$B$3)</f>
        <v>168.68</v>
      </c>
      <c r="AI623" s="8">
        <f t="shared" si="160"/>
        <v>2355.2113199999999</v>
      </c>
      <c r="AJ623" s="8">
        <f t="shared" si="161"/>
        <v>1174.4513199999999</v>
      </c>
    </row>
    <row r="624" spans="1:36">
      <c r="A624" t="s">
        <v>636</v>
      </c>
      <c r="B624" s="4">
        <v>45501</v>
      </c>
      <c r="C624" s="28">
        <v>45501</v>
      </c>
      <c r="D624" s="28" t="str">
        <f t="shared" si="146"/>
        <v>Q3-2024</v>
      </c>
      <c r="E624" s="4">
        <v>45527</v>
      </c>
      <c r="F624" s="4">
        <v>45527</v>
      </c>
      <c r="G624" s="17">
        <f t="shared" si="147"/>
        <v>26</v>
      </c>
      <c r="H624" s="17">
        <f t="shared" si="148"/>
        <v>26</v>
      </c>
      <c r="I624" t="str">
        <f t="shared" si="149"/>
        <v>No</v>
      </c>
      <c r="J624" s="2">
        <f t="shared" si="150"/>
        <v>44955</v>
      </c>
      <c r="K624" t="s">
        <v>647</v>
      </c>
      <c r="L624" t="s">
        <v>654</v>
      </c>
      <c r="M624" t="s">
        <v>696</v>
      </c>
      <c r="N624" t="str">
        <f t="shared" si="151"/>
        <v>Asia - India - Hyderabad</v>
      </c>
      <c r="O624" t="s">
        <v>701</v>
      </c>
      <c r="P624" t="s">
        <v>707</v>
      </c>
      <c r="Q624" t="s">
        <v>713</v>
      </c>
      <c r="R624" t="s">
        <v>729</v>
      </c>
      <c r="S624" t="s">
        <v>1354</v>
      </c>
      <c r="T624" s="6">
        <v>1339.24</v>
      </c>
      <c r="U624" s="8">
        <v>1558.89</v>
      </c>
      <c r="V624" s="8">
        <f t="shared" si="152"/>
        <v>1558.89</v>
      </c>
      <c r="W624" s="8" t="str">
        <f t="shared" si="153"/>
        <v>Medium</v>
      </c>
      <c r="X624" s="15">
        <v>0.192</v>
      </c>
      <c r="Y624" s="15">
        <f t="shared" si="154"/>
        <v>0.192</v>
      </c>
      <c r="Z624" t="str">
        <f t="shared" si="155"/>
        <v>No</v>
      </c>
      <c r="AA624" s="17">
        <v>24</v>
      </c>
      <c r="AB624" s="8">
        <f t="shared" si="156"/>
        <v>30229.994880000002</v>
      </c>
      <c r="AC624" s="8">
        <f t="shared" si="157"/>
        <v>32141.760000000002</v>
      </c>
      <c r="AD624" s="8">
        <f t="shared" si="158"/>
        <v>-1911.76512</v>
      </c>
      <c r="AE624" s="15">
        <f t="shared" si="159"/>
        <v>-6.3240669659021781E-2</v>
      </c>
      <c r="AF624" s="34">
        <f>MIN(Y624,'Scenario Modeling'!$B$2)</f>
        <v>0.192</v>
      </c>
      <c r="AG624">
        <f>ROUND(AA624 * (1 + 'Scenario Modeling'!$B$4), 0)</f>
        <v>24</v>
      </c>
      <c r="AH624">
        <f>T624 * (1 + 'Scenario Modeling'!$B$3)</f>
        <v>1339.24</v>
      </c>
      <c r="AI624" s="8">
        <f t="shared" si="160"/>
        <v>30229.994880000002</v>
      </c>
      <c r="AJ624" s="8">
        <f t="shared" si="161"/>
        <v>-1911.76512</v>
      </c>
    </row>
    <row r="625" spans="1:36">
      <c r="A625" t="s">
        <v>637</v>
      </c>
      <c r="B625" s="4">
        <v>45857</v>
      </c>
      <c r="C625" s="28">
        <v>45857</v>
      </c>
      <c r="D625" s="28" t="str">
        <f t="shared" si="146"/>
        <v>Q3-2025</v>
      </c>
      <c r="E625" s="4">
        <v>45869</v>
      </c>
      <c r="F625" s="4">
        <v>45869</v>
      </c>
      <c r="G625" s="17">
        <f t="shared" si="147"/>
        <v>12</v>
      </c>
      <c r="H625" s="17">
        <f t="shared" si="148"/>
        <v>12</v>
      </c>
      <c r="I625" t="str">
        <f t="shared" si="149"/>
        <v>No</v>
      </c>
      <c r="J625" s="2">
        <f t="shared" si="150"/>
        <v>44946</v>
      </c>
      <c r="K625" t="s">
        <v>646</v>
      </c>
      <c r="L625" t="s">
        <v>650</v>
      </c>
      <c r="M625" t="s">
        <v>664</v>
      </c>
      <c r="N625" t="str">
        <f t="shared" si="151"/>
        <v>Africa - Kenya - Nairobi</v>
      </c>
      <c r="O625" t="s">
        <v>705</v>
      </c>
      <c r="P625" t="s">
        <v>709</v>
      </c>
      <c r="Q625" t="s">
        <v>719</v>
      </c>
      <c r="R625" t="s">
        <v>733</v>
      </c>
      <c r="S625" t="s">
        <v>1355</v>
      </c>
      <c r="T625" s="6">
        <v>619.64</v>
      </c>
      <c r="U625" s="8">
        <v>861.16</v>
      </c>
      <c r="V625" s="8">
        <f t="shared" si="152"/>
        <v>861.16</v>
      </c>
      <c r="W625" s="8" t="str">
        <f t="shared" si="153"/>
        <v>Medium</v>
      </c>
      <c r="X625" s="15">
        <v>0.113</v>
      </c>
      <c r="Y625" s="15">
        <f t="shared" si="154"/>
        <v>0.113</v>
      </c>
      <c r="Z625" t="str">
        <f t="shared" si="155"/>
        <v>No</v>
      </c>
      <c r="AA625" s="17">
        <v>14</v>
      </c>
      <c r="AB625" s="8">
        <f t="shared" si="156"/>
        <v>10693.88488</v>
      </c>
      <c r="AC625" s="8">
        <f t="shared" si="157"/>
        <v>8674.9599999999991</v>
      </c>
      <c r="AD625" s="8">
        <f t="shared" si="158"/>
        <v>2018.9248800000005</v>
      </c>
      <c r="AE625" s="15">
        <f t="shared" si="159"/>
        <v>0.18879246435276761</v>
      </c>
      <c r="AF625" s="34">
        <f>MIN(Y625,'Scenario Modeling'!$B$2)</f>
        <v>0.113</v>
      </c>
      <c r="AG625">
        <f>ROUND(AA625 * (1 + 'Scenario Modeling'!$B$4), 0)</f>
        <v>14</v>
      </c>
      <c r="AH625">
        <f>T625 * (1 + 'Scenario Modeling'!$B$3)</f>
        <v>619.64</v>
      </c>
      <c r="AI625" s="8">
        <f t="shared" si="160"/>
        <v>10693.88488</v>
      </c>
      <c r="AJ625" s="8">
        <f t="shared" si="161"/>
        <v>2018.9248800000005</v>
      </c>
    </row>
    <row r="626" spans="1:36">
      <c r="A626" t="s">
        <v>638</v>
      </c>
      <c r="B626" s="4">
        <v>45141</v>
      </c>
      <c r="C626" s="28">
        <v>45141</v>
      </c>
      <c r="D626" s="28" t="str">
        <f t="shared" si="146"/>
        <v>Q3-2023</v>
      </c>
      <c r="E626" s="4">
        <v>45140</v>
      </c>
      <c r="F626" s="4">
        <f>B626+13</f>
        <v>45154</v>
      </c>
      <c r="G626" s="17">
        <f t="shared" si="147"/>
        <v>-1</v>
      </c>
      <c r="H626" s="17">
        <f t="shared" si="148"/>
        <v>13</v>
      </c>
      <c r="I626" t="str">
        <f t="shared" si="149"/>
        <v>No</v>
      </c>
      <c r="J626" s="2">
        <f t="shared" si="150"/>
        <v>44938</v>
      </c>
      <c r="K626" t="s">
        <v>647</v>
      </c>
      <c r="L626" t="s">
        <v>659</v>
      </c>
      <c r="M626" t="s">
        <v>685</v>
      </c>
      <c r="N626" t="str">
        <f t="shared" si="151"/>
        <v>Asia - China - Shanghai</v>
      </c>
      <c r="O626" t="s">
        <v>703</v>
      </c>
      <c r="P626" t="s">
        <v>711</v>
      </c>
      <c r="Q626" t="s">
        <v>713</v>
      </c>
      <c r="R626" t="s">
        <v>729</v>
      </c>
      <c r="S626" t="s">
        <v>1356</v>
      </c>
      <c r="T626" s="6">
        <v>1021.97</v>
      </c>
      <c r="U626" s="8">
        <v>2296.25</v>
      </c>
      <c r="V626" s="8">
        <f t="shared" si="152"/>
        <v>2296.25</v>
      </c>
      <c r="W626" s="8" t="str">
        <f t="shared" si="153"/>
        <v>High</v>
      </c>
      <c r="X626" s="15">
        <v>0.161</v>
      </c>
      <c r="Y626" s="15">
        <f t="shared" si="154"/>
        <v>0.161</v>
      </c>
      <c r="Z626" t="str">
        <f t="shared" si="155"/>
        <v>No</v>
      </c>
      <c r="AA626" s="17">
        <v>26</v>
      </c>
      <c r="AB626" s="8">
        <f t="shared" si="156"/>
        <v>50090.397499999999</v>
      </c>
      <c r="AC626" s="8">
        <f t="shared" si="157"/>
        <v>26571.22</v>
      </c>
      <c r="AD626" s="8">
        <f t="shared" si="158"/>
        <v>23519.177499999998</v>
      </c>
      <c r="AE626" s="15">
        <f t="shared" si="159"/>
        <v>0.46953465482081669</v>
      </c>
      <c r="AF626" s="34">
        <f>MIN(Y626,'Scenario Modeling'!$B$2)</f>
        <v>0.161</v>
      </c>
      <c r="AG626">
        <f>ROUND(AA626 * (1 + 'Scenario Modeling'!$B$4), 0)</f>
        <v>26</v>
      </c>
      <c r="AH626">
        <f>T626 * (1 + 'Scenario Modeling'!$B$3)</f>
        <v>1021.97</v>
      </c>
      <c r="AI626" s="8">
        <f t="shared" si="160"/>
        <v>50090.397499999999</v>
      </c>
      <c r="AJ626" s="8">
        <f t="shared" si="161"/>
        <v>23519.177499999998</v>
      </c>
    </row>
    <row r="627" spans="1:36">
      <c r="A627" t="s">
        <v>639</v>
      </c>
      <c r="B627" s="4">
        <v>45249</v>
      </c>
      <c r="C627" s="28">
        <v>45249</v>
      </c>
      <c r="D627" s="28" t="str">
        <f t="shared" si="146"/>
        <v>Q4-2023</v>
      </c>
      <c r="E627" s="4">
        <v>45272</v>
      </c>
      <c r="F627" s="4">
        <v>45272</v>
      </c>
      <c r="G627" s="17">
        <f t="shared" si="147"/>
        <v>23</v>
      </c>
      <c r="H627" s="17">
        <f t="shared" si="148"/>
        <v>23</v>
      </c>
      <c r="I627" t="str">
        <f t="shared" si="149"/>
        <v>No</v>
      </c>
      <c r="J627" s="2">
        <f t="shared" si="150"/>
        <v>44955</v>
      </c>
      <c r="K627" t="s">
        <v>647</v>
      </c>
      <c r="L627" t="s">
        <v>654</v>
      </c>
      <c r="M627" t="s">
        <v>680</v>
      </c>
      <c r="N627" t="str">
        <f t="shared" si="151"/>
        <v>Asia - India - Delhi</v>
      </c>
      <c r="O627" t="s">
        <v>705</v>
      </c>
      <c r="P627" t="s">
        <v>711</v>
      </c>
      <c r="Q627" t="s">
        <v>712</v>
      </c>
      <c r="R627" t="s">
        <v>729</v>
      </c>
      <c r="S627" t="s">
        <v>1357</v>
      </c>
      <c r="T627" s="6">
        <v>1349.04</v>
      </c>
      <c r="U627" s="8">
        <v>2636.6</v>
      </c>
      <c r="V627" s="8">
        <f t="shared" si="152"/>
        <v>2636.6</v>
      </c>
      <c r="W627" s="8" t="str">
        <f t="shared" si="153"/>
        <v>High</v>
      </c>
      <c r="X627" s="15">
        <v>0.114</v>
      </c>
      <c r="Y627" s="15">
        <f t="shared" si="154"/>
        <v>0.114</v>
      </c>
      <c r="Z627" t="str">
        <f t="shared" si="155"/>
        <v>No</v>
      </c>
      <c r="AA627" s="17">
        <v>14</v>
      </c>
      <c r="AB627" s="8">
        <f t="shared" si="156"/>
        <v>32704.386400000003</v>
      </c>
      <c r="AC627" s="8">
        <f t="shared" si="157"/>
        <v>18886.559999999998</v>
      </c>
      <c r="AD627" s="8">
        <f t="shared" si="158"/>
        <v>13817.826400000005</v>
      </c>
      <c r="AE627" s="15">
        <f t="shared" si="159"/>
        <v>0.42250682312143928</v>
      </c>
      <c r="AF627" s="34">
        <f>MIN(Y627,'Scenario Modeling'!$B$2)</f>
        <v>0.114</v>
      </c>
      <c r="AG627">
        <f>ROUND(AA627 * (1 + 'Scenario Modeling'!$B$4), 0)</f>
        <v>14</v>
      </c>
      <c r="AH627">
        <f>T627 * (1 + 'Scenario Modeling'!$B$3)</f>
        <v>1349.04</v>
      </c>
      <c r="AI627" s="8">
        <f t="shared" si="160"/>
        <v>32704.386400000003</v>
      </c>
      <c r="AJ627" s="8">
        <f t="shared" si="161"/>
        <v>13817.826400000005</v>
      </c>
    </row>
    <row r="628" spans="1:36">
      <c r="A628" t="s">
        <v>640</v>
      </c>
      <c r="B628" s="4">
        <v>45282</v>
      </c>
      <c r="C628" s="28">
        <v>45282</v>
      </c>
      <c r="D628" s="28" t="str">
        <f t="shared" si="146"/>
        <v>Q4-2023</v>
      </c>
      <c r="E628" s="4">
        <v>45307</v>
      </c>
      <c r="F628" s="4">
        <v>45307</v>
      </c>
      <c r="G628" s="17">
        <f t="shared" si="147"/>
        <v>25</v>
      </c>
      <c r="H628" s="17">
        <f t="shared" si="148"/>
        <v>25</v>
      </c>
      <c r="I628" t="str">
        <f t="shared" si="149"/>
        <v>No</v>
      </c>
      <c r="J628" s="2">
        <f t="shared" si="150"/>
        <v>44955</v>
      </c>
      <c r="K628" t="s">
        <v>647</v>
      </c>
      <c r="L628" t="s">
        <v>654</v>
      </c>
      <c r="M628" t="s">
        <v>696</v>
      </c>
      <c r="N628" t="str">
        <f t="shared" si="151"/>
        <v>Asia - India - Hyderabad</v>
      </c>
      <c r="O628" t="s">
        <v>705</v>
      </c>
      <c r="P628" t="s">
        <v>707</v>
      </c>
      <c r="Q628" t="s">
        <v>720</v>
      </c>
      <c r="R628" t="s">
        <v>727</v>
      </c>
      <c r="S628" t="s">
        <v>1358</v>
      </c>
      <c r="T628" s="6">
        <v>1346.81</v>
      </c>
      <c r="U628" s="8">
        <v>978.09</v>
      </c>
      <c r="V628" s="8">
        <f t="shared" si="152"/>
        <v>978.09</v>
      </c>
      <c r="W628" s="8" t="str">
        <f t="shared" si="153"/>
        <v>Medium</v>
      </c>
      <c r="X628" s="15">
        <v>0.159</v>
      </c>
      <c r="Y628" s="15">
        <f t="shared" si="154"/>
        <v>0.159</v>
      </c>
      <c r="Z628" t="str">
        <f t="shared" si="155"/>
        <v>No</v>
      </c>
      <c r="AA628" s="17">
        <v>17</v>
      </c>
      <c r="AB628" s="8">
        <f t="shared" si="156"/>
        <v>13983.752729999998</v>
      </c>
      <c r="AC628" s="8">
        <f t="shared" si="157"/>
        <v>22895.77</v>
      </c>
      <c r="AD628" s="8">
        <f t="shared" si="158"/>
        <v>-8912.0172700000021</v>
      </c>
      <c r="AE628" s="15">
        <f t="shared" si="159"/>
        <v>-0.6373122753293996</v>
      </c>
      <c r="AF628" s="34">
        <f>MIN(Y628,'Scenario Modeling'!$B$2)</f>
        <v>0.159</v>
      </c>
      <c r="AG628">
        <f>ROUND(AA628 * (1 + 'Scenario Modeling'!$B$4), 0)</f>
        <v>17</v>
      </c>
      <c r="AH628">
        <f>T628 * (1 + 'Scenario Modeling'!$B$3)</f>
        <v>1346.81</v>
      </c>
      <c r="AI628" s="8">
        <f t="shared" si="160"/>
        <v>13983.752729999998</v>
      </c>
      <c r="AJ628" s="8">
        <f t="shared" si="161"/>
        <v>-8912.0172700000021</v>
      </c>
    </row>
    <row r="629" spans="1:36">
      <c r="A629" t="s">
        <v>641</v>
      </c>
      <c r="B629" s="4">
        <v>45141</v>
      </c>
      <c r="C629" s="28">
        <v>45141</v>
      </c>
      <c r="D629" s="28" t="str">
        <f t="shared" si="146"/>
        <v>Q3-2023</v>
      </c>
      <c r="E629" s="4">
        <v>45168</v>
      </c>
      <c r="F629" s="4">
        <v>45168</v>
      </c>
      <c r="G629" s="17">
        <f t="shared" si="147"/>
        <v>27</v>
      </c>
      <c r="H629" s="17">
        <f t="shared" si="148"/>
        <v>27</v>
      </c>
      <c r="I629" t="str">
        <f t="shared" si="149"/>
        <v>No</v>
      </c>
      <c r="J629" s="2">
        <f t="shared" si="150"/>
        <v>44938</v>
      </c>
      <c r="K629" t="s">
        <v>647</v>
      </c>
      <c r="L629" t="s">
        <v>659</v>
      </c>
      <c r="M629" t="s">
        <v>685</v>
      </c>
      <c r="N629" t="str">
        <f t="shared" si="151"/>
        <v>Asia - China - Shanghai</v>
      </c>
      <c r="O629" t="s">
        <v>704</v>
      </c>
      <c r="P629" t="s">
        <v>710</v>
      </c>
      <c r="Q629" t="s">
        <v>725</v>
      </c>
      <c r="R629" t="s">
        <v>732</v>
      </c>
      <c r="S629" t="s">
        <v>1359</v>
      </c>
      <c r="T629" s="6">
        <v>226.04</v>
      </c>
      <c r="U629" s="8">
        <v>545.72</v>
      </c>
      <c r="V629" s="8">
        <f t="shared" si="152"/>
        <v>545.72</v>
      </c>
      <c r="W629" s="8" t="str">
        <f t="shared" si="153"/>
        <v>Low</v>
      </c>
      <c r="X629" s="15">
        <v>0.151</v>
      </c>
      <c r="Y629" s="15">
        <f t="shared" si="154"/>
        <v>0.151</v>
      </c>
      <c r="Z629" t="str">
        <f t="shared" si="155"/>
        <v>No</v>
      </c>
      <c r="AA629" s="17">
        <v>11</v>
      </c>
      <c r="AB629" s="8">
        <f t="shared" si="156"/>
        <v>5096.4790800000001</v>
      </c>
      <c r="AC629" s="8">
        <f t="shared" si="157"/>
        <v>2486.44</v>
      </c>
      <c r="AD629" s="8">
        <f t="shared" si="158"/>
        <v>2610.03908</v>
      </c>
      <c r="AE629" s="15">
        <f t="shared" si="159"/>
        <v>0.51212592831834014</v>
      </c>
      <c r="AF629" s="34">
        <f>MIN(Y629,'Scenario Modeling'!$B$2)</f>
        <v>0.151</v>
      </c>
      <c r="AG629">
        <f>ROUND(AA629 * (1 + 'Scenario Modeling'!$B$4), 0)</f>
        <v>11</v>
      </c>
      <c r="AH629">
        <f>T629 * (1 + 'Scenario Modeling'!$B$3)</f>
        <v>226.04</v>
      </c>
      <c r="AI629" s="8">
        <f t="shared" si="160"/>
        <v>5096.4790800000001</v>
      </c>
      <c r="AJ629" s="8">
        <f t="shared" si="161"/>
        <v>2610.03908</v>
      </c>
    </row>
    <row r="630" spans="1:36">
      <c r="A630" t="s">
        <v>642</v>
      </c>
      <c r="B630" s="4">
        <v>45100</v>
      </c>
      <c r="C630" s="28">
        <v>45100</v>
      </c>
      <c r="D630" s="28" t="str">
        <f t="shared" si="146"/>
        <v>Q2-2023</v>
      </c>
      <c r="E630" s="4">
        <v>45125</v>
      </c>
      <c r="F630" s="4">
        <v>45125</v>
      </c>
      <c r="G630" s="17">
        <f t="shared" si="147"/>
        <v>25</v>
      </c>
      <c r="H630" s="17">
        <f t="shared" si="148"/>
        <v>25</v>
      </c>
      <c r="I630" t="str">
        <f t="shared" si="149"/>
        <v>No</v>
      </c>
      <c r="J630" s="2">
        <f t="shared" si="150"/>
        <v>44928</v>
      </c>
      <c r="K630" t="s">
        <v>648</v>
      </c>
      <c r="L630" t="s">
        <v>653</v>
      </c>
      <c r="M630" t="s">
        <v>688</v>
      </c>
      <c r="N630" t="str">
        <f t="shared" si="151"/>
        <v>Americas - Canada - Vancouver</v>
      </c>
      <c r="O630" t="s">
        <v>706</v>
      </c>
      <c r="P630" t="s">
        <v>708</v>
      </c>
      <c r="Q630" t="s">
        <v>725</v>
      </c>
      <c r="R630" t="s">
        <v>730</v>
      </c>
      <c r="S630" t="s">
        <v>1360</v>
      </c>
      <c r="T630" s="6">
        <v>807.02</v>
      </c>
      <c r="U630" s="8">
        <v>1435.54</v>
      </c>
      <c r="V630" s="8">
        <f t="shared" si="152"/>
        <v>1435.54</v>
      </c>
      <c r="W630" s="8" t="str">
        <f t="shared" si="153"/>
        <v>Medium</v>
      </c>
      <c r="X630" s="15">
        <v>0</v>
      </c>
      <c r="Y630" s="15">
        <f t="shared" si="154"/>
        <v>0</v>
      </c>
      <c r="Z630" t="str">
        <f t="shared" si="155"/>
        <v>No</v>
      </c>
      <c r="AA630" s="17">
        <v>23</v>
      </c>
      <c r="AB630" s="8">
        <f t="shared" si="156"/>
        <v>33017.42</v>
      </c>
      <c r="AC630" s="8">
        <f t="shared" si="157"/>
        <v>18561.46</v>
      </c>
      <c r="AD630" s="8">
        <f t="shared" si="158"/>
        <v>14455.96</v>
      </c>
      <c r="AE630" s="15">
        <f t="shared" si="159"/>
        <v>0.43782827368098415</v>
      </c>
      <c r="AF630" s="34">
        <f>MIN(Y630,'Scenario Modeling'!$B$2)</f>
        <v>0</v>
      </c>
      <c r="AG630">
        <f>ROUND(AA630 * (1 + 'Scenario Modeling'!$B$4), 0)</f>
        <v>23</v>
      </c>
      <c r="AH630">
        <f>T630 * (1 + 'Scenario Modeling'!$B$3)</f>
        <v>807.02</v>
      </c>
      <c r="AI630" s="8">
        <f t="shared" si="160"/>
        <v>33017.42</v>
      </c>
      <c r="AJ630" s="8">
        <f t="shared" si="161"/>
        <v>14455.96</v>
      </c>
    </row>
    <row r="631" spans="1:36">
      <c r="A631" t="s">
        <v>643</v>
      </c>
      <c r="B631" s="4">
        <v>45267</v>
      </c>
      <c r="C631" s="28">
        <v>45267</v>
      </c>
      <c r="D631" s="28" t="str">
        <f t="shared" si="146"/>
        <v>Q4-2023</v>
      </c>
      <c r="E631" s="4">
        <v>45293</v>
      </c>
      <c r="F631" s="4">
        <v>45293</v>
      </c>
      <c r="G631" s="17">
        <f t="shared" si="147"/>
        <v>26</v>
      </c>
      <c r="H631" s="17">
        <f t="shared" si="148"/>
        <v>26</v>
      </c>
      <c r="I631" t="str">
        <f t="shared" si="149"/>
        <v>No</v>
      </c>
      <c r="J631" s="2">
        <f t="shared" si="150"/>
        <v>44948</v>
      </c>
      <c r="K631" t="s">
        <v>649</v>
      </c>
      <c r="L631" t="s">
        <v>656</v>
      </c>
      <c r="M631" t="s">
        <v>698</v>
      </c>
      <c r="N631" t="str">
        <f t="shared" si="151"/>
        <v>Europe - Germany - Frankfurt</v>
      </c>
      <c r="O631" t="s">
        <v>706</v>
      </c>
      <c r="P631" t="s">
        <v>710</v>
      </c>
      <c r="Q631" t="s">
        <v>718</v>
      </c>
      <c r="R631" t="s">
        <v>727</v>
      </c>
      <c r="S631" t="s">
        <v>1361</v>
      </c>
      <c r="T631" s="6">
        <v>1071.99</v>
      </c>
      <c r="U631" s="8">
        <v>2397.3000000000002</v>
      </c>
      <c r="V631" s="8">
        <f t="shared" si="152"/>
        <v>2397.3000000000002</v>
      </c>
      <c r="W631" s="8" t="str">
        <f t="shared" si="153"/>
        <v>High</v>
      </c>
      <c r="X631" s="15">
        <v>6.2E-2</v>
      </c>
      <c r="Y631" s="15">
        <f t="shared" si="154"/>
        <v>6.2E-2</v>
      </c>
      <c r="Z631" t="str">
        <f t="shared" si="155"/>
        <v>No</v>
      </c>
      <c r="AA631" s="17">
        <v>18</v>
      </c>
      <c r="AB631" s="8">
        <f t="shared" si="156"/>
        <v>40476.013200000001</v>
      </c>
      <c r="AC631" s="8">
        <f t="shared" si="157"/>
        <v>19295.82</v>
      </c>
      <c r="AD631" s="8">
        <f t="shared" si="158"/>
        <v>21180.193200000002</v>
      </c>
      <c r="AE631" s="15">
        <f t="shared" si="159"/>
        <v>0.52327765324476183</v>
      </c>
      <c r="AF631" s="34">
        <f>MIN(Y631,'Scenario Modeling'!$B$2)</f>
        <v>6.2E-2</v>
      </c>
      <c r="AG631">
        <f>ROUND(AA631 * (1 + 'Scenario Modeling'!$B$4), 0)</f>
        <v>18</v>
      </c>
      <c r="AH631">
        <f>T631 * (1 + 'Scenario Modeling'!$B$3)</f>
        <v>1071.99</v>
      </c>
      <c r="AI631" s="8">
        <f t="shared" si="160"/>
        <v>40476.013200000001</v>
      </c>
      <c r="AJ631" s="8">
        <f t="shared" si="161"/>
        <v>21180.193200000002</v>
      </c>
    </row>
    <row r="632" spans="1:36">
      <c r="A632" t="s">
        <v>644</v>
      </c>
      <c r="B632" s="4">
        <v>45249</v>
      </c>
      <c r="C632" s="28">
        <v>45249</v>
      </c>
      <c r="D632" s="28" t="str">
        <f t="shared" si="146"/>
        <v>Q4-2023</v>
      </c>
      <c r="E632" s="4">
        <v>45279</v>
      </c>
      <c r="F632" s="4">
        <v>45279</v>
      </c>
      <c r="G632" s="17">
        <f t="shared" si="147"/>
        <v>30</v>
      </c>
      <c r="H632" s="17">
        <f t="shared" si="148"/>
        <v>30</v>
      </c>
      <c r="I632" t="str">
        <f t="shared" si="149"/>
        <v>No</v>
      </c>
      <c r="J632" s="2">
        <f t="shared" si="150"/>
        <v>44988</v>
      </c>
      <c r="K632" t="s">
        <v>647</v>
      </c>
      <c r="L632" t="s">
        <v>652</v>
      </c>
      <c r="M632" t="s">
        <v>694</v>
      </c>
      <c r="N632" t="str">
        <f t="shared" si="151"/>
        <v>Asia - Japan - Nagoya</v>
      </c>
      <c r="O632" t="s">
        <v>704</v>
      </c>
      <c r="P632" t="s">
        <v>707</v>
      </c>
      <c r="Q632" t="s">
        <v>717</v>
      </c>
      <c r="R632" t="s">
        <v>730</v>
      </c>
      <c r="S632" t="s">
        <v>1362</v>
      </c>
      <c r="T632" s="6">
        <v>807.11</v>
      </c>
      <c r="U632" s="8">
        <v>1853.86</v>
      </c>
      <c r="V632" s="8">
        <f t="shared" si="152"/>
        <v>1853.86</v>
      </c>
      <c r="W632" s="8" t="str">
        <f t="shared" si="153"/>
        <v>High</v>
      </c>
      <c r="X632" s="15">
        <v>0.13900000000000001</v>
      </c>
      <c r="Y632" s="15">
        <f t="shared" si="154"/>
        <v>0.13900000000000001</v>
      </c>
      <c r="Z632" t="str">
        <f t="shared" si="155"/>
        <v>No</v>
      </c>
      <c r="AA632" s="17">
        <v>8</v>
      </c>
      <c r="AB632" s="8">
        <f t="shared" si="156"/>
        <v>12769.38768</v>
      </c>
      <c r="AC632" s="8">
        <f t="shared" si="157"/>
        <v>6456.88</v>
      </c>
      <c r="AD632" s="8">
        <f t="shared" si="158"/>
        <v>6312.5076799999997</v>
      </c>
      <c r="AE632" s="15">
        <f t="shared" si="159"/>
        <v>0.49434693645388639</v>
      </c>
      <c r="AF632" s="34">
        <f>MIN(Y632,'Scenario Modeling'!$B$2)</f>
        <v>0.13900000000000001</v>
      </c>
      <c r="AG632">
        <f>ROUND(AA632 * (1 + 'Scenario Modeling'!$B$4), 0)</f>
        <v>8</v>
      </c>
      <c r="AH632">
        <f>T632 * (1 + 'Scenario Modeling'!$B$3)</f>
        <v>807.11</v>
      </c>
      <c r="AI632" s="8">
        <f t="shared" si="160"/>
        <v>12769.38768</v>
      </c>
      <c r="AJ632" s="8">
        <f t="shared" si="161"/>
        <v>6312.5076799999997</v>
      </c>
    </row>
    <row r="633" spans="1:36">
      <c r="A633" t="s">
        <v>645</v>
      </c>
      <c r="B633" s="4">
        <v>45716</v>
      </c>
      <c r="C633" s="28">
        <v>45716</v>
      </c>
      <c r="D633" s="28" t="str">
        <f t="shared" si="146"/>
        <v>Q1-2025</v>
      </c>
      <c r="E633" s="4">
        <v>45726</v>
      </c>
      <c r="F633" s="4">
        <v>45726</v>
      </c>
      <c r="G633" s="17">
        <f t="shared" si="147"/>
        <v>10</v>
      </c>
      <c r="H633" s="17">
        <f t="shared" si="148"/>
        <v>10</v>
      </c>
      <c r="I633" t="str">
        <f t="shared" si="149"/>
        <v>No</v>
      </c>
      <c r="J633" s="2">
        <f t="shared" si="150"/>
        <v>44988</v>
      </c>
      <c r="K633" t="s">
        <v>647</v>
      </c>
      <c r="L633" t="s">
        <v>652</v>
      </c>
      <c r="M633" t="s">
        <v>666</v>
      </c>
      <c r="N633" t="str">
        <f t="shared" si="151"/>
        <v>Asia - Japan - Osaka</v>
      </c>
      <c r="O633" t="s">
        <v>702</v>
      </c>
      <c r="P633" t="s">
        <v>710</v>
      </c>
      <c r="Q633" t="s">
        <v>725</v>
      </c>
      <c r="R633" t="s">
        <v>731</v>
      </c>
      <c r="S633" t="s">
        <v>1363</v>
      </c>
      <c r="T633" s="6">
        <v>51.86</v>
      </c>
      <c r="U633" s="8">
        <v>45.98</v>
      </c>
      <c r="V633" s="8">
        <f t="shared" si="152"/>
        <v>45.98</v>
      </c>
      <c r="W633" s="8" t="str">
        <f t="shared" si="153"/>
        <v>Low</v>
      </c>
      <c r="X633" s="15">
        <v>0.17299999999999999</v>
      </c>
      <c r="Y633" s="15">
        <f t="shared" si="154"/>
        <v>0.17299999999999999</v>
      </c>
      <c r="Z633" t="str">
        <f t="shared" si="155"/>
        <v>No</v>
      </c>
      <c r="AA633" s="17">
        <v>7</v>
      </c>
      <c r="AB633" s="8">
        <f t="shared" si="156"/>
        <v>266.17821999999995</v>
      </c>
      <c r="AC633" s="8">
        <f t="shared" si="157"/>
        <v>363.02</v>
      </c>
      <c r="AD633" s="8">
        <f t="shared" si="158"/>
        <v>-96.841780000000028</v>
      </c>
      <c r="AE633" s="15">
        <f t="shared" si="159"/>
        <v>-0.3638230806412337</v>
      </c>
      <c r="AF633" s="34">
        <f>MIN(Y633,'Scenario Modeling'!$B$2)</f>
        <v>0.17299999999999999</v>
      </c>
      <c r="AG633">
        <f>ROUND(AA633 * (1 + 'Scenario Modeling'!$B$4), 0)</f>
        <v>7</v>
      </c>
      <c r="AH633">
        <f>T633 * (1 + 'Scenario Modeling'!$B$3)</f>
        <v>51.86</v>
      </c>
      <c r="AI633" s="8">
        <f t="shared" si="160"/>
        <v>266.17821999999995</v>
      </c>
      <c r="AJ633" s="8">
        <f t="shared" si="161"/>
        <v>-96.841780000000028</v>
      </c>
    </row>
  </sheetData>
  <conditionalFormatting sqref="G1:G1048576">
    <cfRule type="cellIs" dxfId="40" priority="1" operator="lessThan">
      <formula>0</formula>
    </cfRule>
  </conditionalFormatting>
  <conditionalFormatting sqref="U1:W1048576">
    <cfRule type="cellIs" dxfId="39" priority="4" operator="lessThan">
      <formula>0</formula>
    </cfRule>
  </conditionalFormatting>
  <conditionalFormatting sqref="X2:Y633">
    <cfRule type="cellIs" dxfId="38" priority="3" operator="greaterThan">
      <formula>0.3</formula>
    </cfRule>
  </conditionalFormatting>
  <pageMargins left="0.7" right="0.7" top="0.75" bottom="0.75" header="0.3" footer="0.3"/>
  <tableParts count="1">
    <tablePart r:id="rId1"/>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A67"/>
  <sheetViews>
    <sheetView tabSelected="1" topLeftCell="A48" workbookViewId="0">
      <selection activeCell="A62" sqref="A62"/>
    </sheetView>
  </sheetViews>
  <sheetFormatPr defaultRowHeight="15"/>
  <sheetData>
    <row r="1" spans="1:1">
      <c r="A1" s="1" t="s">
        <v>1364</v>
      </c>
    </row>
    <row r="2" spans="1:1">
      <c r="A2" t="s">
        <v>1365</v>
      </c>
    </row>
    <row r="4" spans="1:1">
      <c r="A4" t="s">
        <v>1366</v>
      </c>
    </row>
    <row r="5" spans="1:1">
      <c r="A5" t="s">
        <v>1367</v>
      </c>
    </row>
    <row r="6" spans="1:1">
      <c r="A6" t="s">
        <v>1368</v>
      </c>
    </row>
    <row r="8" spans="1:1">
      <c r="A8" t="s">
        <v>1369</v>
      </c>
    </row>
    <row r="9" spans="1:1">
      <c r="A9" t="s">
        <v>1370</v>
      </c>
    </row>
    <row r="10" spans="1:1">
      <c r="A10" t="s">
        <v>1371</v>
      </c>
    </row>
    <row r="11" spans="1:1">
      <c r="A11" t="s">
        <v>1372</v>
      </c>
    </row>
    <row r="12" spans="1:1">
      <c r="A12" t="s">
        <v>1373</v>
      </c>
    </row>
    <row r="13" spans="1:1">
      <c r="A13" t="s">
        <v>1374</v>
      </c>
    </row>
    <row r="14" spans="1:1">
      <c r="A14" t="s">
        <v>1375</v>
      </c>
    </row>
    <row r="15" spans="1:1">
      <c r="A15" t="s">
        <v>1376</v>
      </c>
    </row>
    <row r="17" spans="1:1">
      <c r="A17" t="s">
        <v>1377</v>
      </c>
    </row>
    <row r="18" spans="1:1">
      <c r="A18" t="s">
        <v>1378</v>
      </c>
    </row>
    <row r="19" spans="1:1">
      <c r="A19" t="s">
        <v>1379</v>
      </c>
    </row>
    <row r="20" spans="1:1">
      <c r="A20" t="s">
        <v>1380</v>
      </c>
    </row>
    <row r="21" spans="1:1">
      <c r="A21" t="s">
        <v>1381</v>
      </c>
    </row>
    <row r="23" spans="1:1">
      <c r="A23" t="s">
        <v>1382</v>
      </c>
    </row>
    <row r="24" spans="1:1">
      <c r="A24" t="s">
        <v>1383</v>
      </c>
    </row>
    <row r="25" spans="1:1">
      <c r="A25" t="s">
        <v>1384</v>
      </c>
    </row>
    <row r="26" spans="1:1">
      <c r="A26" t="s">
        <v>1385</v>
      </c>
    </row>
    <row r="27" spans="1:1">
      <c r="A27" t="s">
        <v>1386</v>
      </c>
    </row>
    <row r="29" spans="1:1">
      <c r="A29" t="s">
        <v>1387</v>
      </c>
    </row>
    <row r="30" spans="1:1">
      <c r="A30" t="s">
        <v>1388</v>
      </c>
    </row>
    <row r="31" spans="1:1">
      <c r="A31" t="s">
        <v>1389</v>
      </c>
    </row>
    <row r="32" spans="1:1">
      <c r="A32" t="s">
        <v>1390</v>
      </c>
    </row>
    <row r="33" spans="1:1">
      <c r="A33" t="s">
        <v>1391</v>
      </c>
    </row>
    <row r="34" spans="1:1">
      <c r="A34" t="s">
        <v>1392</v>
      </c>
    </row>
    <row r="35" spans="1:1">
      <c r="A35" t="s">
        <v>1393</v>
      </c>
    </row>
    <row r="36" spans="1:1">
      <c r="A36" t="s">
        <v>1394</v>
      </c>
    </row>
    <row r="37" spans="1:1">
      <c r="A37" t="s">
        <v>1395</v>
      </c>
    </row>
    <row r="38" spans="1:1">
      <c r="A38" t="s">
        <v>1396</v>
      </c>
    </row>
    <row r="39" spans="1:1">
      <c r="A39" t="s">
        <v>1397</v>
      </c>
    </row>
    <row r="40" spans="1:1">
      <c r="A40" t="s">
        <v>1398</v>
      </c>
    </row>
    <row r="41" spans="1:1">
      <c r="A41" t="s">
        <v>1399</v>
      </c>
    </row>
    <row r="43" spans="1:1">
      <c r="A43" t="s">
        <v>1400</v>
      </c>
    </row>
    <row r="44" spans="1:1">
      <c r="A44" t="s">
        <v>1401</v>
      </c>
    </row>
    <row r="45" spans="1:1">
      <c r="A45" t="s">
        <v>1402</v>
      </c>
    </row>
    <row r="46" spans="1:1">
      <c r="A46" t="s">
        <v>1403</v>
      </c>
    </row>
    <row r="47" spans="1:1">
      <c r="A47" t="s">
        <v>1404</v>
      </c>
    </row>
    <row r="48" spans="1:1">
      <c r="A48" t="s">
        <v>1405</v>
      </c>
    </row>
    <row r="50" spans="1:1">
      <c r="A50" t="s">
        <v>1406</v>
      </c>
    </row>
    <row r="51" spans="1:1">
      <c r="A51" t="s">
        <v>1407</v>
      </c>
    </row>
    <row r="52" spans="1:1">
      <c r="A52" t="s">
        <v>1408</v>
      </c>
    </row>
    <row r="53" spans="1:1">
      <c r="A53" t="s">
        <v>1409</v>
      </c>
    </row>
    <row r="54" spans="1:1">
      <c r="A54" t="s">
        <v>1410</v>
      </c>
    </row>
    <row r="55" spans="1:1">
      <c r="A55" t="s">
        <v>1411</v>
      </c>
    </row>
    <row r="56" spans="1:1">
      <c r="A56" t="s">
        <v>1412</v>
      </c>
    </row>
    <row r="57" spans="1:1">
      <c r="A57" t="s">
        <v>1413</v>
      </c>
    </row>
    <row r="58" spans="1:1">
      <c r="A58" t="s">
        <v>1414</v>
      </c>
    </row>
    <row r="59" spans="1:1">
      <c r="A59" t="s">
        <v>1415</v>
      </c>
    </row>
    <row r="61" spans="1:1">
      <c r="A61" t="s">
        <v>1416</v>
      </c>
    </row>
    <row r="62" spans="1:1">
      <c r="A62" t="s">
        <v>1417</v>
      </c>
    </row>
    <row r="64" spans="1:1">
      <c r="A64" t="s">
        <v>1418</v>
      </c>
    </row>
    <row r="65" spans="1:1">
      <c r="A65" t="s">
        <v>1419</v>
      </c>
    </row>
    <row r="66" spans="1:1">
      <c r="A66" t="s">
        <v>1420</v>
      </c>
    </row>
    <row r="67" spans="1:1">
      <c r="A67" t="s">
        <v>1421</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D85B15F-DEAD-4C78-86E8-FA23D35939AB}">
  <dimension ref="A1"/>
  <sheetViews>
    <sheetView topLeftCell="A32" workbookViewId="0">
      <selection activeCell="F26" sqref="F26"/>
    </sheetView>
  </sheetViews>
  <sheetFormatPr defaultRowHeight="15"/>
  <cols>
    <col min="1" max="16384" width="9.140625" style="40"/>
  </cols>
  <sheetData/>
  <pageMargins left="0.7" right="0.7" top="0.75" bottom="0.75" header="0.3" footer="0.3"/>
  <drawing r:id="rId1"/>
  <extLst>
    <ext xmlns:x14="http://schemas.microsoft.com/office/spreadsheetml/2009/9/main" uri="{A8765BA9-456A-4dab-B4F3-ACF838C121DE}">
      <x14:slicerList>
        <x14:slicer r:id="rId2"/>
      </x14:slicerList>
    </ext>
  </extLst>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17621D0-47A4-458C-8C4C-035BB3354847}">
  <dimension ref="A1:P40"/>
  <sheetViews>
    <sheetView workbookViewId="0">
      <selection activeCell="F13" sqref="F13"/>
    </sheetView>
  </sheetViews>
  <sheetFormatPr defaultRowHeight="15"/>
  <cols>
    <col min="1" max="1" width="26" bestFit="1" customWidth="1"/>
    <col min="2" max="2" width="20.7109375" bestFit="1" customWidth="1"/>
    <col min="3" max="4" width="7.28515625" bestFit="1" customWidth="1"/>
    <col min="5" max="5" width="13.140625" bestFit="1" customWidth="1"/>
    <col min="6" max="6" width="20.7109375" bestFit="1" customWidth="1"/>
    <col min="7" max="7" width="10.5703125" bestFit="1" customWidth="1"/>
    <col min="8" max="8" width="12.140625" bestFit="1" customWidth="1"/>
    <col min="9" max="10" width="9.5703125" bestFit="1" customWidth="1"/>
    <col min="11" max="11" width="11.28515625" bestFit="1" customWidth="1"/>
    <col min="12" max="12" width="26.28515625" bestFit="1" customWidth="1"/>
    <col min="13" max="14" width="6.5703125" bestFit="1" customWidth="1"/>
    <col min="15" max="15" width="11.7109375" bestFit="1" customWidth="1"/>
    <col min="16" max="16" width="16.5703125" bestFit="1" customWidth="1"/>
    <col min="17" max="19" width="6.5703125" bestFit="1" customWidth="1"/>
    <col min="20" max="20" width="16.42578125" bestFit="1" customWidth="1"/>
    <col min="21" max="40" width="6.5703125" bestFit="1" customWidth="1"/>
    <col min="41" max="273" width="7.5703125" bestFit="1" customWidth="1"/>
    <col min="274" max="630" width="8.5703125" bestFit="1" customWidth="1"/>
    <col min="631" max="633" width="9.5703125" bestFit="1" customWidth="1"/>
    <col min="634" max="634" width="11.28515625" bestFit="1" customWidth="1"/>
  </cols>
  <sheetData>
    <row r="1" spans="1:16">
      <c r="A1" s="9" t="s">
        <v>1445</v>
      </c>
      <c r="B1" t="s">
        <v>1502</v>
      </c>
    </row>
    <row r="3" spans="1:16">
      <c r="A3" s="9" t="s">
        <v>1423</v>
      </c>
      <c r="B3" t="s">
        <v>1456</v>
      </c>
      <c r="E3" s="9" t="s">
        <v>1462</v>
      </c>
      <c r="F3" s="9" t="s">
        <v>1428</v>
      </c>
    </row>
    <row r="4" spans="1:16">
      <c r="A4" s="10" t="s">
        <v>1453</v>
      </c>
      <c r="B4" s="8">
        <v>3723944.3738743039</v>
      </c>
      <c r="E4" s="9" t="s">
        <v>1423</v>
      </c>
      <c r="F4" t="s">
        <v>711</v>
      </c>
      <c r="G4" t="s">
        <v>710</v>
      </c>
      <c r="H4" t="s">
        <v>709</v>
      </c>
      <c r="I4" t="s">
        <v>708</v>
      </c>
      <c r="J4" t="s">
        <v>707</v>
      </c>
      <c r="K4" t="s">
        <v>1424</v>
      </c>
      <c r="O4" s="26" t="s">
        <v>8</v>
      </c>
      <c r="P4" s="26" t="s">
        <v>1503</v>
      </c>
    </row>
    <row r="5" spans="1:16">
      <c r="A5" s="11" t="s">
        <v>1490</v>
      </c>
      <c r="B5" s="8">
        <v>178642.73714999997</v>
      </c>
      <c r="E5" s="10" t="s">
        <v>646</v>
      </c>
      <c r="F5" s="8">
        <v>186715.2224728</v>
      </c>
      <c r="G5" s="8">
        <v>227456.26997814397</v>
      </c>
      <c r="H5" s="8">
        <v>164839.30455999999</v>
      </c>
      <c r="I5" s="8">
        <v>145453.94626999996</v>
      </c>
      <c r="J5" s="8">
        <v>140531.63970999999</v>
      </c>
      <c r="K5" s="8">
        <v>864996.38299094397</v>
      </c>
      <c r="O5" s="11" t="s">
        <v>720</v>
      </c>
      <c r="P5" s="34">
        <v>0.12920029999999996</v>
      </c>
    </row>
    <row r="6" spans="1:16">
      <c r="A6" s="11" t="s">
        <v>1491</v>
      </c>
      <c r="B6" s="8">
        <v>433149.19553000003</v>
      </c>
      <c r="E6" s="10" t="s">
        <v>648</v>
      </c>
      <c r="F6" s="8">
        <v>258674.92591000002</v>
      </c>
      <c r="G6" s="8">
        <v>177464.66859135995</v>
      </c>
      <c r="H6" s="8">
        <v>97387.60751999999</v>
      </c>
      <c r="I6" s="8">
        <v>261943.84436999995</v>
      </c>
      <c r="J6" s="8">
        <v>69035.709220000004</v>
      </c>
      <c r="K6" s="8">
        <v>864506.75561135984</v>
      </c>
      <c r="O6" s="11" t="s">
        <v>717</v>
      </c>
      <c r="P6" s="34">
        <v>0.10937999999999999</v>
      </c>
    </row>
    <row r="7" spans="1:16">
      <c r="A7" s="11" t="s">
        <v>1492</v>
      </c>
      <c r="B7" s="8">
        <v>215576.67437999998</v>
      </c>
      <c r="E7" s="10" t="s">
        <v>647</v>
      </c>
      <c r="F7" s="8">
        <v>233003.93359270395</v>
      </c>
      <c r="G7" s="8">
        <v>155163.86647000001</v>
      </c>
      <c r="H7" s="8">
        <v>151470.01311684796</v>
      </c>
      <c r="I7" s="8">
        <v>149042.38968999998</v>
      </c>
      <c r="J7" s="8">
        <v>169788.98485000004</v>
      </c>
      <c r="K7" s="8">
        <v>858469.18771955185</v>
      </c>
      <c r="O7" s="11" t="s">
        <v>712</v>
      </c>
      <c r="P7" s="34">
        <v>0.12038456216216215</v>
      </c>
    </row>
    <row r="8" spans="1:16">
      <c r="A8" s="11" t="s">
        <v>1493</v>
      </c>
      <c r="B8" s="8">
        <v>371604.58273999998</v>
      </c>
      <c r="E8" s="10" t="s">
        <v>649</v>
      </c>
      <c r="F8" s="8">
        <v>300745.65850000002</v>
      </c>
      <c r="G8" s="8">
        <v>105550.85220000002</v>
      </c>
      <c r="H8" s="8">
        <v>111146.83824999999</v>
      </c>
      <c r="I8" s="8">
        <v>200067.16276999997</v>
      </c>
      <c r="J8" s="8">
        <v>150086.47820999994</v>
      </c>
      <c r="K8" s="8">
        <v>867596.98992999992</v>
      </c>
      <c r="O8" s="11" t="s">
        <v>726</v>
      </c>
      <c r="P8" s="34">
        <v>0.12628205128205131</v>
      </c>
    </row>
    <row r="9" spans="1:16">
      <c r="A9" s="11" t="s">
        <v>1494</v>
      </c>
      <c r="B9" s="8">
        <v>471414.63820975996</v>
      </c>
      <c r="E9" s="10" t="s">
        <v>1424</v>
      </c>
      <c r="F9" s="8">
        <v>979139.74047550408</v>
      </c>
      <c r="G9" s="8">
        <v>665635.65723950393</v>
      </c>
      <c r="H9" s="8">
        <v>524843.76344684791</v>
      </c>
      <c r="I9" s="8">
        <v>756507.34309999982</v>
      </c>
      <c r="J9" s="8">
        <v>529442.81198999996</v>
      </c>
      <c r="K9" s="8">
        <v>3455569.3162518553</v>
      </c>
      <c r="O9" s="11" t="s">
        <v>718</v>
      </c>
      <c r="P9" s="34">
        <v>0.10520588235294116</v>
      </c>
    </row>
    <row r="10" spans="1:16">
      <c r="A10" s="11" t="s">
        <v>1495</v>
      </c>
      <c r="B10" s="8">
        <v>236474.06157000002</v>
      </c>
      <c r="O10" s="11" t="s">
        <v>721</v>
      </c>
      <c r="P10" s="34">
        <v>0.10307547169811322</v>
      </c>
    </row>
    <row r="11" spans="1:16">
      <c r="A11" s="11" t="s">
        <v>1496</v>
      </c>
      <c r="B11" s="8">
        <v>567977.51752838411</v>
      </c>
      <c r="O11" s="11" t="s">
        <v>715</v>
      </c>
      <c r="P11" s="34">
        <v>0.11720000000000001</v>
      </c>
    </row>
    <row r="12" spans="1:16">
      <c r="A12" s="11" t="s">
        <v>1497</v>
      </c>
      <c r="B12" s="8">
        <v>339044.67039000004</v>
      </c>
      <c r="O12" s="11" t="s">
        <v>722</v>
      </c>
      <c r="P12" s="34">
        <v>0.12093841777777775</v>
      </c>
    </row>
    <row r="13" spans="1:16">
      <c r="A13" s="11" t="s">
        <v>1498</v>
      </c>
      <c r="B13" s="8">
        <v>141266.51418999999</v>
      </c>
      <c r="E13" s="9" t="s">
        <v>1423</v>
      </c>
      <c r="F13" t="s">
        <v>1456</v>
      </c>
      <c r="O13" s="11" t="s">
        <v>714</v>
      </c>
      <c r="P13" s="34">
        <v>0.13473684210526313</v>
      </c>
    </row>
    <row r="14" spans="1:16">
      <c r="A14" s="11" t="s">
        <v>1499</v>
      </c>
      <c r="B14" s="8">
        <v>259682.90958616001</v>
      </c>
      <c r="E14" s="10" t="s">
        <v>1198</v>
      </c>
      <c r="F14" s="41">
        <v>84136.119600000005</v>
      </c>
      <c r="O14" s="11" t="s">
        <v>713</v>
      </c>
      <c r="P14" s="34">
        <v>0.11719999999999998</v>
      </c>
    </row>
    <row r="15" spans="1:16">
      <c r="A15" s="11" t="s">
        <v>1500</v>
      </c>
      <c r="B15" s="8">
        <v>127009.5058</v>
      </c>
      <c r="E15" s="10" t="s">
        <v>971</v>
      </c>
      <c r="F15" s="41">
        <v>139277.83032000001</v>
      </c>
      <c r="O15" s="11" t="s">
        <v>723</v>
      </c>
      <c r="P15" s="34">
        <v>0.11825000000000005</v>
      </c>
    </row>
    <row r="16" spans="1:16">
      <c r="A16" s="11" t="s">
        <v>1501</v>
      </c>
      <c r="B16" s="8">
        <v>382101.36680000002</v>
      </c>
      <c r="E16" s="10" t="s">
        <v>1096</v>
      </c>
      <c r="F16" s="41">
        <v>82514.711519999997</v>
      </c>
      <c r="O16" s="11" t="s">
        <v>716</v>
      </c>
      <c r="P16" s="34">
        <v>0.12064379130434784</v>
      </c>
    </row>
    <row r="17" spans="1:16">
      <c r="A17" s="10" t="s">
        <v>1454</v>
      </c>
      <c r="B17" s="8">
        <v>4480268.356443488</v>
      </c>
      <c r="E17" s="10" t="s">
        <v>1155</v>
      </c>
      <c r="F17" s="41">
        <v>102122.94203999999</v>
      </c>
      <c r="O17" s="11" t="s">
        <v>724</v>
      </c>
      <c r="P17" s="34">
        <v>0.11891049795918367</v>
      </c>
    </row>
    <row r="18" spans="1:16">
      <c r="A18" s="11" t="s">
        <v>1490</v>
      </c>
      <c r="B18" s="8">
        <v>299100.37307999999</v>
      </c>
      <c r="E18" s="10" t="s">
        <v>874</v>
      </c>
      <c r="F18" s="41">
        <v>87404.929919999995</v>
      </c>
      <c r="O18" s="11" t="s">
        <v>725</v>
      </c>
      <c r="P18" s="34">
        <v>0.11159375000000001</v>
      </c>
    </row>
    <row r="19" spans="1:16">
      <c r="A19" s="11" t="s">
        <v>1491</v>
      </c>
      <c r="B19" s="8">
        <v>307793.71461999998</v>
      </c>
      <c r="E19" s="10" t="s">
        <v>899</v>
      </c>
      <c r="F19" s="41">
        <v>85637.740319999997</v>
      </c>
      <c r="O19" s="11" t="s">
        <v>719</v>
      </c>
      <c r="P19" s="34">
        <v>0.1293513513513514</v>
      </c>
    </row>
    <row r="20" spans="1:16">
      <c r="A20" s="11" t="s">
        <v>1492</v>
      </c>
      <c r="B20" s="8">
        <v>374300.10981000005</v>
      </c>
      <c r="E20" s="10" t="s">
        <v>909</v>
      </c>
      <c r="F20" s="41">
        <v>92715.25</v>
      </c>
    </row>
    <row r="21" spans="1:16">
      <c r="A21" s="11" t="s">
        <v>1493</v>
      </c>
      <c r="B21" s="8">
        <v>239506.82714000004</v>
      </c>
      <c r="E21" s="10" t="s">
        <v>781</v>
      </c>
      <c r="F21" s="41">
        <v>109244</v>
      </c>
    </row>
    <row r="22" spans="1:16">
      <c r="A22" s="11" t="s">
        <v>1494</v>
      </c>
      <c r="B22" s="8">
        <v>416985.76567000011</v>
      </c>
      <c r="E22" s="10" t="s">
        <v>1010</v>
      </c>
      <c r="F22" s="41">
        <v>79548.755999999994</v>
      </c>
    </row>
    <row r="23" spans="1:16">
      <c r="A23" s="11" t="s">
        <v>1495</v>
      </c>
      <c r="B23" s="8">
        <v>634490.72337999998</v>
      </c>
      <c r="E23" s="10" t="s">
        <v>1345</v>
      </c>
      <c r="F23" s="41">
        <v>82141.339799999987</v>
      </c>
    </row>
    <row r="24" spans="1:16">
      <c r="A24" s="11" t="s">
        <v>1496</v>
      </c>
      <c r="B24" s="8">
        <v>275628.61962999997</v>
      </c>
      <c r="E24" s="10" t="s">
        <v>1424</v>
      </c>
      <c r="F24" s="41">
        <v>944743.61951999995</v>
      </c>
    </row>
    <row r="25" spans="1:16">
      <c r="A25" s="11" t="s">
        <v>1497</v>
      </c>
      <c r="B25" s="8">
        <v>389348.62163068791</v>
      </c>
    </row>
    <row r="26" spans="1:16">
      <c r="A26" s="11" t="s">
        <v>1498</v>
      </c>
      <c r="B26" s="8">
        <v>347613.18767000007</v>
      </c>
    </row>
    <row r="27" spans="1:16">
      <c r="A27" s="11" t="s">
        <v>1499</v>
      </c>
      <c r="B27" s="8">
        <v>425869.98518280004</v>
      </c>
    </row>
    <row r="28" spans="1:16">
      <c r="A28" s="11" t="s">
        <v>1500</v>
      </c>
      <c r="B28" s="8">
        <v>416944.18554999994</v>
      </c>
    </row>
    <row r="29" spans="1:16">
      <c r="A29" s="11" t="s">
        <v>1501</v>
      </c>
      <c r="B29" s="8">
        <v>352686.24307999999</v>
      </c>
    </row>
    <row r="30" spans="1:16">
      <c r="A30" s="10" t="s">
        <v>1455</v>
      </c>
      <c r="B30" s="8">
        <v>2779104.2959340643</v>
      </c>
    </row>
    <row r="31" spans="1:16">
      <c r="A31" s="11" t="s">
        <v>1490</v>
      </c>
      <c r="B31" s="8">
        <v>223498.20032000003</v>
      </c>
    </row>
    <row r="32" spans="1:16">
      <c r="A32" s="11" t="s">
        <v>1491</v>
      </c>
      <c r="B32" s="8">
        <v>221608.49786999999</v>
      </c>
    </row>
    <row r="33" spans="1:2">
      <c r="A33" s="11" t="s">
        <v>1492</v>
      </c>
      <c r="B33" s="8">
        <v>212887.97577270406</v>
      </c>
    </row>
    <row r="34" spans="1:2">
      <c r="A34" s="11" t="s">
        <v>1493</v>
      </c>
      <c r="B34" s="8">
        <v>336135.16749999998</v>
      </c>
    </row>
    <row r="35" spans="1:2">
      <c r="A35" s="11" t="s">
        <v>1494</v>
      </c>
      <c r="B35" s="8">
        <v>377451.76693136001</v>
      </c>
    </row>
    <row r="36" spans="1:2">
      <c r="A36" s="11" t="s">
        <v>1495</v>
      </c>
      <c r="B36" s="8">
        <v>381463.40396000008</v>
      </c>
    </row>
    <row r="37" spans="1:2">
      <c r="A37" s="11" t="s">
        <v>1496</v>
      </c>
      <c r="B37" s="8">
        <v>486970.83348000003</v>
      </c>
    </row>
    <row r="38" spans="1:2">
      <c r="A38" s="11" t="s">
        <v>1497</v>
      </c>
      <c r="B38" s="8">
        <v>366808.72249999997</v>
      </c>
    </row>
    <row r="39" spans="1:2">
      <c r="A39" s="11" t="s">
        <v>1498</v>
      </c>
      <c r="B39" s="8">
        <v>172279.72760000001</v>
      </c>
    </row>
    <row r="40" spans="1:2">
      <c r="A40" s="10" t="s">
        <v>1424</v>
      </c>
      <c r="B40" s="8">
        <v>10983317.026251862</v>
      </c>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1F85ED7-52B1-42BC-AE42-7620E7A35E5C}">
  <dimension ref="A1:A20"/>
  <sheetViews>
    <sheetView topLeftCell="A2" workbookViewId="0">
      <selection activeCell="A21" sqref="A21"/>
    </sheetView>
  </sheetViews>
  <sheetFormatPr defaultRowHeight="15"/>
  <cols>
    <col min="1" max="1" width="92.28515625" bestFit="1" customWidth="1"/>
  </cols>
  <sheetData>
    <row r="1" spans="1:1">
      <c r="A1" t="s">
        <v>1422</v>
      </c>
    </row>
    <row r="2" spans="1:1">
      <c r="A2" t="s">
        <v>1426</v>
      </c>
    </row>
    <row r="3" spans="1:1">
      <c r="A3" t="s">
        <v>1427</v>
      </c>
    </row>
    <row r="4" spans="1:1">
      <c r="A4" t="s">
        <v>1429</v>
      </c>
    </row>
    <row r="5" spans="1:1">
      <c r="A5" t="s">
        <v>1430</v>
      </c>
    </row>
    <row r="6" spans="1:1">
      <c r="A6" t="s">
        <v>1432</v>
      </c>
    </row>
    <row r="7" spans="1:1">
      <c r="A7" t="s">
        <v>1434</v>
      </c>
    </row>
    <row r="8" spans="1:1">
      <c r="A8" t="s">
        <v>1439</v>
      </c>
    </row>
    <row r="9" spans="1:1">
      <c r="A9" t="s">
        <v>1440</v>
      </c>
    </row>
    <row r="10" spans="1:1">
      <c r="A10" t="s">
        <v>1448</v>
      </c>
    </row>
    <row r="11" spans="1:1">
      <c r="A11" t="s">
        <v>1449</v>
      </c>
    </row>
    <row r="12" spans="1:1">
      <c r="A12" t="s">
        <v>1450</v>
      </c>
    </row>
    <row r="13" spans="1:1">
      <c r="A13" t="s">
        <v>1452</v>
      </c>
    </row>
    <row r="14" spans="1:1">
      <c r="A14" t="s">
        <v>1458</v>
      </c>
    </row>
    <row r="15" spans="1:1">
      <c r="A15" t="s">
        <v>1461</v>
      </c>
    </row>
    <row r="16" spans="1:1">
      <c r="A16" t="s">
        <v>1467</v>
      </c>
    </row>
    <row r="17" spans="1:1">
      <c r="A17" t="s">
        <v>1468</v>
      </c>
    </row>
    <row r="18" spans="1:1">
      <c r="A18" t="s">
        <v>1472</v>
      </c>
    </row>
    <row r="19" spans="1:1">
      <c r="A19" t="s">
        <v>1474</v>
      </c>
    </row>
    <row r="20" spans="1:1">
      <c r="A20" t="s">
        <v>1489</v>
      </c>
    </row>
  </sheetData>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3B58504-62B3-4178-84C3-DDBE51DA49D5}">
  <dimension ref="A3:H55"/>
  <sheetViews>
    <sheetView workbookViewId="0">
      <selection activeCell="A12" sqref="A12"/>
    </sheetView>
  </sheetViews>
  <sheetFormatPr defaultRowHeight="15"/>
  <cols>
    <col min="1" max="1" width="17.42578125" bestFit="1" customWidth="1"/>
    <col min="2" max="2" width="16.140625" bestFit="1" customWidth="1"/>
  </cols>
  <sheetData>
    <row r="3" spans="1:8">
      <c r="A3" s="9" t="s">
        <v>1423</v>
      </c>
      <c r="B3" t="s">
        <v>1425</v>
      </c>
    </row>
    <row r="4" spans="1:8">
      <c r="A4" s="10" t="s">
        <v>655</v>
      </c>
      <c r="B4">
        <v>62</v>
      </c>
    </row>
    <row r="5" spans="1:8">
      <c r="A5" s="11" t="s">
        <v>672</v>
      </c>
      <c r="B5">
        <v>26</v>
      </c>
    </row>
    <row r="6" spans="1:8">
      <c r="A6" s="11" t="s">
        <v>692</v>
      </c>
      <c r="B6">
        <v>18</v>
      </c>
    </row>
    <row r="7" spans="1:8">
      <c r="A7" s="11" t="s">
        <v>670</v>
      </c>
      <c r="B7">
        <v>18</v>
      </c>
    </row>
    <row r="8" spans="1:8">
      <c r="A8" s="10" t="s">
        <v>653</v>
      </c>
      <c r="B8">
        <v>44</v>
      </c>
    </row>
    <row r="9" spans="1:8">
      <c r="A9" s="11" t="s">
        <v>681</v>
      </c>
      <c r="B9">
        <v>11</v>
      </c>
    </row>
    <row r="10" spans="1:8">
      <c r="A10" s="11" t="s">
        <v>667</v>
      </c>
      <c r="B10">
        <v>15</v>
      </c>
    </row>
    <row r="11" spans="1:8">
      <c r="A11" s="11" t="s">
        <v>688</v>
      </c>
      <c r="B11">
        <v>18</v>
      </c>
    </row>
    <row r="12" spans="1:8">
      <c r="A12" s="10" t="s">
        <v>659</v>
      </c>
      <c r="B12">
        <v>51</v>
      </c>
    </row>
    <row r="13" spans="1:8">
      <c r="A13" s="11" t="s">
        <v>699</v>
      </c>
      <c r="B13">
        <v>15</v>
      </c>
    </row>
    <row r="14" spans="1:8">
      <c r="A14" s="11" t="s">
        <v>685</v>
      </c>
      <c r="B14">
        <v>20</v>
      </c>
      <c r="H14" s="11"/>
    </row>
    <row r="15" spans="1:8">
      <c r="A15" s="11" t="s">
        <v>676</v>
      </c>
      <c r="B15">
        <v>16</v>
      </c>
    </row>
    <row r="16" spans="1:8">
      <c r="A16" s="10" t="s">
        <v>657</v>
      </c>
      <c r="B16">
        <v>54</v>
      </c>
    </row>
    <row r="17" spans="1:2">
      <c r="A17" s="11" t="s">
        <v>679</v>
      </c>
      <c r="B17">
        <v>19</v>
      </c>
    </row>
    <row r="18" spans="1:2">
      <c r="A18" s="11" t="s">
        <v>673</v>
      </c>
      <c r="B18">
        <v>22</v>
      </c>
    </row>
    <row r="19" spans="1:2">
      <c r="A19" s="11" t="s">
        <v>690</v>
      </c>
      <c r="B19">
        <v>13</v>
      </c>
    </row>
    <row r="20" spans="1:2">
      <c r="A20" s="10" t="s">
        <v>656</v>
      </c>
      <c r="B20">
        <v>51</v>
      </c>
    </row>
    <row r="21" spans="1:2">
      <c r="A21" s="11" t="s">
        <v>671</v>
      </c>
      <c r="B21">
        <v>17</v>
      </c>
    </row>
    <row r="22" spans="1:2">
      <c r="A22" s="11" t="s">
        <v>698</v>
      </c>
      <c r="B22">
        <v>20</v>
      </c>
    </row>
    <row r="23" spans="1:2">
      <c r="A23" s="11" t="s">
        <v>684</v>
      </c>
      <c r="B23">
        <v>14</v>
      </c>
    </row>
    <row r="24" spans="1:2">
      <c r="A24" s="10" t="s">
        <v>654</v>
      </c>
      <c r="B24">
        <v>61</v>
      </c>
    </row>
    <row r="25" spans="1:2">
      <c r="A25" s="11" t="s">
        <v>668</v>
      </c>
      <c r="B25">
        <v>16</v>
      </c>
    </row>
    <row r="26" spans="1:2">
      <c r="A26" s="11" t="s">
        <v>680</v>
      </c>
      <c r="B26">
        <v>25</v>
      </c>
    </row>
    <row r="27" spans="1:2">
      <c r="A27" s="11" t="s">
        <v>696</v>
      </c>
      <c r="B27">
        <v>7</v>
      </c>
    </row>
    <row r="28" spans="1:2">
      <c r="A28" s="11" t="s">
        <v>691</v>
      </c>
      <c r="B28">
        <v>13</v>
      </c>
    </row>
    <row r="29" spans="1:2">
      <c r="A29" s="10" t="s">
        <v>652</v>
      </c>
      <c r="B29">
        <v>59</v>
      </c>
    </row>
    <row r="30" spans="1:2">
      <c r="A30" s="11" t="s">
        <v>694</v>
      </c>
      <c r="B30">
        <v>21</v>
      </c>
    </row>
    <row r="31" spans="1:2">
      <c r="A31" s="11" t="s">
        <v>666</v>
      </c>
      <c r="B31">
        <v>20</v>
      </c>
    </row>
    <row r="32" spans="1:2">
      <c r="A32" s="11" t="s">
        <v>689</v>
      </c>
      <c r="B32">
        <v>18</v>
      </c>
    </row>
    <row r="33" spans="1:2">
      <c r="A33" s="10" t="s">
        <v>650</v>
      </c>
      <c r="B33">
        <v>56</v>
      </c>
    </row>
    <row r="34" spans="1:2">
      <c r="A34" s="11" t="s">
        <v>662</v>
      </c>
      <c r="B34">
        <v>18</v>
      </c>
    </row>
    <row r="35" spans="1:2">
      <c r="A35" s="11" t="s">
        <v>675</v>
      </c>
      <c r="B35">
        <v>14</v>
      </c>
    </row>
    <row r="36" spans="1:2">
      <c r="A36" s="11" t="s">
        <v>664</v>
      </c>
      <c r="B36">
        <v>13</v>
      </c>
    </row>
    <row r="37" spans="1:2">
      <c r="A37" s="11" t="s">
        <v>678</v>
      </c>
      <c r="B37">
        <v>11</v>
      </c>
    </row>
    <row r="38" spans="1:2">
      <c r="A38" s="10" t="s">
        <v>651</v>
      </c>
      <c r="B38">
        <v>44</v>
      </c>
    </row>
    <row r="39" spans="1:2">
      <c r="A39" s="11" t="s">
        <v>669</v>
      </c>
      <c r="B39">
        <v>13</v>
      </c>
    </row>
    <row r="40" spans="1:2">
      <c r="A40" s="11" t="s">
        <v>665</v>
      </c>
      <c r="B40">
        <v>12</v>
      </c>
    </row>
    <row r="41" spans="1:2">
      <c r="A41" s="11" t="s">
        <v>663</v>
      </c>
      <c r="B41">
        <v>19</v>
      </c>
    </row>
    <row r="42" spans="1:2">
      <c r="A42" s="10" t="s">
        <v>661</v>
      </c>
      <c r="B42">
        <v>45</v>
      </c>
    </row>
    <row r="43" spans="1:2">
      <c r="A43" s="11" t="s">
        <v>695</v>
      </c>
      <c r="B43">
        <v>13</v>
      </c>
    </row>
    <row r="44" spans="1:2">
      <c r="A44" s="11" t="s">
        <v>687</v>
      </c>
      <c r="B44">
        <v>17</v>
      </c>
    </row>
    <row r="45" spans="1:2">
      <c r="A45" s="11" t="s">
        <v>682</v>
      </c>
      <c r="B45">
        <v>15</v>
      </c>
    </row>
    <row r="46" spans="1:2">
      <c r="A46" s="10" t="s">
        <v>658</v>
      </c>
      <c r="B46">
        <v>54</v>
      </c>
    </row>
    <row r="47" spans="1:2">
      <c r="A47" s="11" t="s">
        <v>674</v>
      </c>
      <c r="B47">
        <v>14</v>
      </c>
    </row>
    <row r="48" spans="1:2">
      <c r="A48" s="11" t="s">
        <v>683</v>
      </c>
      <c r="B48">
        <v>21</v>
      </c>
    </row>
    <row r="49" spans="1:6">
      <c r="A49" s="11" t="s">
        <v>693</v>
      </c>
      <c r="B49">
        <v>19</v>
      </c>
    </row>
    <row r="50" spans="1:6">
      <c r="A50" s="10" t="s">
        <v>660</v>
      </c>
      <c r="B50">
        <v>51</v>
      </c>
    </row>
    <row r="51" spans="1:6">
      <c r="A51" s="11" t="s">
        <v>697</v>
      </c>
      <c r="B51">
        <v>14</v>
      </c>
    </row>
    <row r="52" spans="1:6">
      <c r="A52" s="11" t="s">
        <v>677</v>
      </c>
      <c r="B52">
        <v>8</v>
      </c>
    </row>
    <row r="53" spans="1:6">
      <c r="A53" s="11" t="s">
        <v>700</v>
      </c>
      <c r="B53">
        <v>13</v>
      </c>
    </row>
    <row r="54" spans="1:6">
      <c r="A54" s="11" t="s">
        <v>686</v>
      </c>
      <c r="B54">
        <v>16</v>
      </c>
      <c r="F54" s="11"/>
    </row>
    <row r="55" spans="1:6">
      <c r="A55" s="10" t="s">
        <v>1424</v>
      </c>
      <c r="B55">
        <v>632</v>
      </c>
    </row>
  </sheetData>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7ADDCC5-E858-451B-834F-6C7B67D8A2FF}">
  <dimension ref="A3:B182"/>
  <sheetViews>
    <sheetView workbookViewId="0">
      <selection activeCell="D9" sqref="D9"/>
    </sheetView>
  </sheetViews>
  <sheetFormatPr defaultRowHeight="15"/>
  <cols>
    <col min="1" max="1" width="19.28515625" bestFit="1" customWidth="1"/>
    <col min="2" max="2" width="16.140625" bestFit="1" customWidth="1"/>
  </cols>
  <sheetData>
    <row r="3" spans="1:2">
      <c r="A3" s="9" t="s">
        <v>1423</v>
      </c>
      <c r="B3" t="s">
        <v>1425</v>
      </c>
    </row>
    <row r="4" spans="1:2">
      <c r="A4" s="10" t="s">
        <v>646</v>
      </c>
      <c r="B4">
        <v>145</v>
      </c>
    </row>
    <row r="5" spans="1:2">
      <c r="A5" s="11" t="s">
        <v>650</v>
      </c>
      <c r="B5">
        <v>56</v>
      </c>
    </row>
    <row r="6" spans="1:2">
      <c r="A6" s="12" t="s">
        <v>720</v>
      </c>
      <c r="B6">
        <v>3</v>
      </c>
    </row>
    <row r="7" spans="1:2">
      <c r="A7" s="12" t="s">
        <v>717</v>
      </c>
      <c r="B7">
        <v>5</v>
      </c>
    </row>
    <row r="8" spans="1:2">
      <c r="A8" s="12" t="s">
        <v>712</v>
      </c>
      <c r="B8">
        <v>6</v>
      </c>
    </row>
    <row r="9" spans="1:2">
      <c r="A9" s="12" t="s">
        <v>726</v>
      </c>
      <c r="B9">
        <v>4</v>
      </c>
    </row>
    <row r="10" spans="1:2">
      <c r="A10" s="12" t="s">
        <v>718</v>
      </c>
      <c r="B10">
        <v>1</v>
      </c>
    </row>
    <row r="11" spans="1:2">
      <c r="A11" s="12" t="s">
        <v>721</v>
      </c>
      <c r="B11">
        <v>4</v>
      </c>
    </row>
    <row r="12" spans="1:2">
      <c r="A12" s="12" t="s">
        <v>722</v>
      </c>
      <c r="B12">
        <v>4</v>
      </c>
    </row>
    <row r="13" spans="1:2">
      <c r="A13" s="12" t="s">
        <v>714</v>
      </c>
      <c r="B13">
        <v>2</v>
      </c>
    </row>
    <row r="14" spans="1:2">
      <c r="A14" s="12" t="s">
        <v>713</v>
      </c>
      <c r="B14">
        <v>6</v>
      </c>
    </row>
    <row r="15" spans="1:2">
      <c r="A15" s="12" t="s">
        <v>723</v>
      </c>
      <c r="B15">
        <v>3</v>
      </c>
    </row>
    <row r="16" spans="1:2">
      <c r="A16" s="12" t="s">
        <v>716</v>
      </c>
      <c r="B16">
        <v>5</v>
      </c>
    </row>
    <row r="17" spans="1:2">
      <c r="A17" s="12" t="s">
        <v>724</v>
      </c>
      <c r="B17">
        <v>8</v>
      </c>
    </row>
    <row r="18" spans="1:2">
      <c r="A18" s="12" t="s">
        <v>725</v>
      </c>
      <c r="B18">
        <v>2</v>
      </c>
    </row>
    <row r="19" spans="1:2">
      <c r="A19" s="12" t="s">
        <v>719</v>
      </c>
      <c r="B19">
        <v>3</v>
      </c>
    </row>
    <row r="20" spans="1:2">
      <c r="A20" s="11" t="s">
        <v>651</v>
      </c>
      <c r="B20">
        <v>44</v>
      </c>
    </row>
    <row r="21" spans="1:2">
      <c r="A21" s="12" t="s">
        <v>720</v>
      </c>
      <c r="B21">
        <v>7</v>
      </c>
    </row>
    <row r="22" spans="1:2">
      <c r="A22" s="12" t="s">
        <v>712</v>
      </c>
      <c r="B22">
        <v>1</v>
      </c>
    </row>
    <row r="23" spans="1:2">
      <c r="A23" s="12" t="s">
        <v>726</v>
      </c>
      <c r="B23">
        <v>1</v>
      </c>
    </row>
    <row r="24" spans="1:2">
      <c r="A24" s="12" t="s">
        <v>718</v>
      </c>
      <c r="B24">
        <v>2</v>
      </c>
    </row>
    <row r="25" spans="1:2">
      <c r="A25" s="12" t="s">
        <v>721</v>
      </c>
      <c r="B25">
        <v>5</v>
      </c>
    </row>
    <row r="26" spans="1:2">
      <c r="A26" s="12" t="s">
        <v>715</v>
      </c>
      <c r="B26">
        <v>2</v>
      </c>
    </row>
    <row r="27" spans="1:2">
      <c r="A27" s="12" t="s">
        <v>722</v>
      </c>
      <c r="B27">
        <v>1</v>
      </c>
    </row>
    <row r="28" spans="1:2">
      <c r="A28" s="12" t="s">
        <v>714</v>
      </c>
      <c r="B28">
        <v>5</v>
      </c>
    </row>
    <row r="29" spans="1:2">
      <c r="A29" s="12" t="s">
        <v>713</v>
      </c>
      <c r="B29">
        <v>4</v>
      </c>
    </row>
    <row r="30" spans="1:2">
      <c r="A30" s="12" t="s">
        <v>723</v>
      </c>
      <c r="B30">
        <v>5</v>
      </c>
    </row>
    <row r="31" spans="1:2">
      <c r="A31" s="12" t="s">
        <v>716</v>
      </c>
      <c r="B31">
        <v>3</v>
      </c>
    </row>
    <row r="32" spans="1:2">
      <c r="A32" s="12" t="s">
        <v>724</v>
      </c>
      <c r="B32">
        <v>4</v>
      </c>
    </row>
    <row r="33" spans="1:2">
      <c r="A33" s="12" t="s">
        <v>719</v>
      </c>
      <c r="B33">
        <v>4</v>
      </c>
    </row>
    <row r="34" spans="1:2">
      <c r="A34" s="11" t="s">
        <v>661</v>
      </c>
      <c r="B34">
        <v>45</v>
      </c>
    </row>
    <row r="35" spans="1:2">
      <c r="A35" s="12" t="s">
        <v>720</v>
      </c>
      <c r="B35">
        <v>8</v>
      </c>
    </row>
    <row r="36" spans="1:2">
      <c r="A36" s="12" t="s">
        <v>717</v>
      </c>
      <c r="B36">
        <v>3</v>
      </c>
    </row>
    <row r="37" spans="1:2">
      <c r="A37" s="12" t="s">
        <v>712</v>
      </c>
      <c r="B37">
        <v>1</v>
      </c>
    </row>
    <row r="38" spans="1:2">
      <c r="A38" s="12" t="s">
        <v>726</v>
      </c>
      <c r="B38">
        <v>5</v>
      </c>
    </row>
    <row r="39" spans="1:2">
      <c r="A39" s="12" t="s">
        <v>718</v>
      </c>
      <c r="B39">
        <v>2</v>
      </c>
    </row>
    <row r="40" spans="1:2">
      <c r="A40" s="12" t="s">
        <v>721</v>
      </c>
      <c r="B40">
        <v>4</v>
      </c>
    </row>
    <row r="41" spans="1:2">
      <c r="A41" s="12" t="s">
        <v>715</v>
      </c>
      <c r="B41">
        <v>1</v>
      </c>
    </row>
    <row r="42" spans="1:2">
      <c r="A42" s="12" t="s">
        <v>722</v>
      </c>
      <c r="B42">
        <v>2</v>
      </c>
    </row>
    <row r="43" spans="1:2">
      <c r="A43" s="12" t="s">
        <v>714</v>
      </c>
      <c r="B43">
        <v>1</v>
      </c>
    </row>
    <row r="44" spans="1:2">
      <c r="A44" s="12" t="s">
        <v>713</v>
      </c>
      <c r="B44">
        <v>2</v>
      </c>
    </row>
    <row r="45" spans="1:2">
      <c r="A45" s="12" t="s">
        <v>723</v>
      </c>
      <c r="B45">
        <v>6</v>
      </c>
    </row>
    <row r="46" spans="1:2">
      <c r="A46" s="12" t="s">
        <v>716</v>
      </c>
      <c r="B46">
        <v>2</v>
      </c>
    </row>
    <row r="47" spans="1:2">
      <c r="A47" s="12" t="s">
        <v>724</v>
      </c>
      <c r="B47">
        <v>4</v>
      </c>
    </row>
    <row r="48" spans="1:2">
      <c r="A48" s="12" t="s">
        <v>725</v>
      </c>
      <c r="B48">
        <v>2</v>
      </c>
    </row>
    <row r="49" spans="1:2">
      <c r="A49" s="12" t="s">
        <v>719</v>
      </c>
      <c r="B49">
        <v>2</v>
      </c>
    </row>
    <row r="50" spans="1:2">
      <c r="A50" s="10" t="s">
        <v>648</v>
      </c>
      <c r="B50">
        <v>157</v>
      </c>
    </row>
    <row r="51" spans="1:2">
      <c r="A51" s="11" t="s">
        <v>655</v>
      </c>
      <c r="B51">
        <v>62</v>
      </c>
    </row>
    <row r="52" spans="1:2">
      <c r="A52" s="11" t="s">
        <v>653</v>
      </c>
      <c r="B52">
        <v>44</v>
      </c>
    </row>
    <row r="53" spans="1:2">
      <c r="A53" s="12" t="s">
        <v>720</v>
      </c>
      <c r="B53">
        <v>3</v>
      </c>
    </row>
    <row r="54" spans="1:2">
      <c r="A54" s="12" t="s">
        <v>717</v>
      </c>
      <c r="B54">
        <v>1</v>
      </c>
    </row>
    <row r="55" spans="1:2">
      <c r="A55" s="12" t="s">
        <v>712</v>
      </c>
      <c r="B55">
        <v>5</v>
      </c>
    </row>
    <row r="56" spans="1:2">
      <c r="A56" s="12" t="s">
        <v>726</v>
      </c>
      <c r="B56">
        <v>4</v>
      </c>
    </row>
    <row r="57" spans="1:2">
      <c r="A57" s="12" t="s">
        <v>718</v>
      </c>
      <c r="B57">
        <v>2</v>
      </c>
    </row>
    <row r="58" spans="1:2">
      <c r="A58" s="12" t="s">
        <v>721</v>
      </c>
      <c r="B58">
        <v>5</v>
      </c>
    </row>
    <row r="59" spans="1:2">
      <c r="A59" s="12" t="s">
        <v>715</v>
      </c>
      <c r="B59">
        <v>1</v>
      </c>
    </row>
    <row r="60" spans="1:2">
      <c r="A60" s="12" t="s">
        <v>722</v>
      </c>
      <c r="B60">
        <v>2</v>
      </c>
    </row>
    <row r="61" spans="1:2">
      <c r="A61" s="12" t="s">
        <v>714</v>
      </c>
      <c r="B61">
        <v>5</v>
      </c>
    </row>
    <row r="62" spans="1:2">
      <c r="A62" s="12" t="s">
        <v>713</v>
      </c>
      <c r="B62">
        <v>1</v>
      </c>
    </row>
    <row r="63" spans="1:2">
      <c r="A63" s="12" t="s">
        <v>723</v>
      </c>
      <c r="B63">
        <v>3</v>
      </c>
    </row>
    <row r="64" spans="1:2">
      <c r="A64" s="12" t="s">
        <v>716</v>
      </c>
      <c r="B64">
        <v>1</v>
      </c>
    </row>
    <row r="65" spans="1:2">
      <c r="A65" s="12" t="s">
        <v>724</v>
      </c>
      <c r="B65">
        <v>3</v>
      </c>
    </row>
    <row r="66" spans="1:2">
      <c r="A66" s="12" t="s">
        <v>725</v>
      </c>
      <c r="B66">
        <v>2</v>
      </c>
    </row>
    <row r="67" spans="1:2">
      <c r="A67" s="12" t="s">
        <v>719</v>
      </c>
      <c r="B67">
        <v>6</v>
      </c>
    </row>
    <row r="68" spans="1:2">
      <c r="A68" s="11" t="s">
        <v>660</v>
      </c>
      <c r="B68">
        <v>51</v>
      </c>
    </row>
    <row r="69" spans="1:2">
      <c r="A69" s="12" t="s">
        <v>720</v>
      </c>
      <c r="B69">
        <v>2</v>
      </c>
    </row>
    <row r="70" spans="1:2">
      <c r="A70" s="12" t="s">
        <v>717</v>
      </c>
      <c r="B70">
        <v>1</v>
      </c>
    </row>
    <row r="71" spans="1:2">
      <c r="A71" s="12" t="s">
        <v>712</v>
      </c>
      <c r="B71">
        <v>3</v>
      </c>
    </row>
    <row r="72" spans="1:2">
      <c r="A72" s="12" t="s">
        <v>726</v>
      </c>
      <c r="B72">
        <v>3</v>
      </c>
    </row>
    <row r="73" spans="1:2">
      <c r="A73" s="12" t="s">
        <v>718</v>
      </c>
      <c r="B73">
        <v>1</v>
      </c>
    </row>
    <row r="74" spans="1:2">
      <c r="A74" s="12" t="s">
        <v>721</v>
      </c>
      <c r="B74">
        <v>3</v>
      </c>
    </row>
    <row r="75" spans="1:2">
      <c r="A75" s="12" t="s">
        <v>715</v>
      </c>
      <c r="B75">
        <v>4</v>
      </c>
    </row>
    <row r="76" spans="1:2">
      <c r="A76" s="12" t="s">
        <v>722</v>
      </c>
      <c r="B76">
        <v>7</v>
      </c>
    </row>
    <row r="77" spans="1:2">
      <c r="A77" s="12" t="s">
        <v>714</v>
      </c>
      <c r="B77">
        <v>6</v>
      </c>
    </row>
    <row r="78" spans="1:2">
      <c r="A78" s="12" t="s">
        <v>713</v>
      </c>
      <c r="B78">
        <v>3</v>
      </c>
    </row>
    <row r="79" spans="1:2">
      <c r="A79" s="12" t="s">
        <v>723</v>
      </c>
      <c r="B79">
        <v>2</v>
      </c>
    </row>
    <row r="80" spans="1:2">
      <c r="A80" s="12" t="s">
        <v>716</v>
      </c>
      <c r="B80">
        <v>4</v>
      </c>
    </row>
    <row r="81" spans="1:2">
      <c r="A81" s="12" t="s">
        <v>724</v>
      </c>
      <c r="B81">
        <v>5</v>
      </c>
    </row>
    <row r="82" spans="1:2">
      <c r="A82" s="12" t="s">
        <v>725</v>
      </c>
      <c r="B82">
        <v>2</v>
      </c>
    </row>
    <row r="83" spans="1:2">
      <c r="A83" s="12" t="s">
        <v>719</v>
      </c>
      <c r="B83">
        <v>5</v>
      </c>
    </row>
    <row r="84" spans="1:2">
      <c r="A84" s="10" t="s">
        <v>647</v>
      </c>
      <c r="B84">
        <v>171</v>
      </c>
    </row>
    <row r="85" spans="1:2">
      <c r="A85" s="11" t="s">
        <v>659</v>
      </c>
      <c r="B85">
        <v>51</v>
      </c>
    </row>
    <row r="86" spans="1:2">
      <c r="A86" s="12" t="s">
        <v>720</v>
      </c>
      <c r="B86">
        <v>3</v>
      </c>
    </row>
    <row r="87" spans="1:2">
      <c r="A87" s="12" t="s">
        <v>717</v>
      </c>
      <c r="B87">
        <v>3</v>
      </c>
    </row>
    <row r="88" spans="1:2">
      <c r="A88" s="12" t="s">
        <v>712</v>
      </c>
      <c r="B88">
        <v>3</v>
      </c>
    </row>
    <row r="89" spans="1:2">
      <c r="A89" s="12" t="s">
        <v>726</v>
      </c>
      <c r="B89">
        <v>2</v>
      </c>
    </row>
    <row r="90" spans="1:2">
      <c r="A90" s="12" t="s">
        <v>718</v>
      </c>
      <c r="B90">
        <v>3</v>
      </c>
    </row>
    <row r="91" spans="1:2">
      <c r="A91" s="12" t="s">
        <v>721</v>
      </c>
      <c r="B91">
        <v>3</v>
      </c>
    </row>
    <row r="92" spans="1:2">
      <c r="A92" s="12" t="s">
        <v>715</v>
      </c>
      <c r="B92">
        <v>3</v>
      </c>
    </row>
    <row r="93" spans="1:2">
      <c r="A93" s="12" t="s">
        <v>722</v>
      </c>
      <c r="B93">
        <v>3</v>
      </c>
    </row>
    <row r="94" spans="1:2">
      <c r="A94" s="12" t="s">
        <v>714</v>
      </c>
      <c r="B94">
        <v>2</v>
      </c>
    </row>
    <row r="95" spans="1:2">
      <c r="A95" s="12" t="s">
        <v>713</v>
      </c>
      <c r="B95">
        <v>9</v>
      </c>
    </row>
    <row r="96" spans="1:2">
      <c r="A96" s="12" t="s">
        <v>723</v>
      </c>
      <c r="B96">
        <v>4</v>
      </c>
    </row>
    <row r="97" spans="1:2">
      <c r="A97" s="12" t="s">
        <v>716</v>
      </c>
      <c r="B97">
        <v>4</v>
      </c>
    </row>
    <row r="98" spans="1:2">
      <c r="A98" s="12" t="s">
        <v>724</v>
      </c>
      <c r="B98">
        <v>4</v>
      </c>
    </row>
    <row r="99" spans="1:2">
      <c r="A99" s="12" t="s">
        <v>725</v>
      </c>
      <c r="B99">
        <v>2</v>
      </c>
    </row>
    <row r="100" spans="1:2">
      <c r="A100" s="12" t="s">
        <v>719</v>
      </c>
      <c r="B100">
        <v>3</v>
      </c>
    </row>
    <row r="101" spans="1:2">
      <c r="A101" s="11" t="s">
        <v>654</v>
      </c>
      <c r="B101">
        <v>61</v>
      </c>
    </row>
    <row r="102" spans="1:2">
      <c r="A102" s="12" t="s">
        <v>720</v>
      </c>
      <c r="B102">
        <v>4</v>
      </c>
    </row>
    <row r="103" spans="1:2">
      <c r="A103" s="12" t="s">
        <v>717</v>
      </c>
      <c r="B103">
        <v>7</v>
      </c>
    </row>
    <row r="104" spans="1:2">
      <c r="A104" s="12" t="s">
        <v>712</v>
      </c>
      <c r="B104">
        <v>5</v>
      </c>
    </row>
    <row r="105" spans="1:2">
      <c r="A105" s="12" t="s">
        <v>726</v>
      </c>
      <c r="B105">
        <v>3</v>
      </c>
    </row>
    <row r="106" spans="1:2">
      <c r="A106" s="12" t="s">
        <v>718</v>
      </c>
      <c r="B106">
        <v>4</v>
      </c>
    </row>
    <row r="107" spans="1:2">
      <c r="A107" s="12" t="s">
        <v>721</v>
      </c>
      <c r="B107">
        <v>3</v>
      </c>
    </row>
    <row r="108" spans="1:2">
      <c r="A108" s="12" t="s">
        <v>715</v>
      </c>
      <c r="B108">
        <v>5</v>
      </c>
    </row>
    <row r="109" spans="1:2">
      <c r="A109" s="12" t="s">
        <v>722</v>
      </c>
      <c r="B109">
        <v>5</v>
      </c>
    </row>
    <row r="110" spans="1:2">
      <c r="A110" s="12" t="s">
        <v>714</v>
      </c>
      <c r="B110">
        <v>2</v>
      </c>
    </row>
    <row r="111" spans="1:2">
      <c r="A111" s="12" t="s">
        <v>713</v>
      </c>
      <c r="B111">
        <v>6</v>
      </c>
    </row>
    <row r="112" spans="1:2">
      <c r="A112" s="12" t="s">
        <v>723</v>
      </c>
      <c r="B112">
        <v>2</v>
      </c>
    </row>
    <row r="113" spans="1:2">
      <c r="A113" s="12" t="s">
        <v>716</v>
      </c>
      <c r="B113">
        <v>6</v>
      </c>
    </row>
    <row r="114" spans="1:2">
      <c r="A114" s="12" t="s">
        <v>724</v>
      </c>
      <c r="B114">
        <v>4</v>
      </c>
    </row>
    <row r="115" spans="1:2">
      <c r="A115" s="12" t="s">
        <v>725</v>
      </c>
      <c r="B115">
        <v>1</v>
      </c>
    </row>
    <row r="116" spans="1:2">
      <c r="A116" s="12" t="s">
        <v>719</v>
      </c>
      <c r="B116">
        <v>4</v>
      </c>
    </row>
    <row r="117" spans="1:2">
      <c r="A117" s="11" t="s">
        <v>652</v>
      </c>
      <c r="B117">
        <v>59</v>
      </c>
    </row>
    <row r="118" spans="1:2">
      <c r="A118" s="12" t="s">
        <v>720</v>
      </c>
      <c r="B118">
        <v>3</v>
      </c>
    </row>
    <row r="119" spans="1:2">
      <c r="A119" s="12" t="s">
        <v>717</v>
      </c>
      <c r="B119">
        <v>9</v>
      </c>
    </row>
    <row r="120" spans="1:2">
      <c r="A120" s="12" t="s">
        <v>712</v>
      </c>
      <c r="B120">
        <v>2</v>
      </c>
    </row>
    <row r="121" spans="1:2">
      <c r="A121" s="12" t="s">
        <v>726</v>
      </c>
      <c r="B121">
        <v>4</v>
      </c>
    </row>
    <row r="122" spans="1:2">
      <c r="A122" s="12" t="s">
        <v>718</v>
      </c>
      <c r="B122">
        <v>1</v>
      </c>
    </row>
    <row r="123" spans="1:2">
      <c r="A123" s="12" t="s">
        <v>721</v>
      </c>
      <c r="B123">
        <v>6</v>
      </c>
    </row>
    <row r="124" spans="1:2">
      <c r="A124" s="12" t="s">
        <v>715</v>
      </c>
      <c r="B124">
        <v>3</v>
      </c>
    </row>
    <row r="125" spans="1:2">
      <c r="A125" s="12" t="s">
        <v>722</v>
      </c>
      <c r="B125">
        <v>8</v>
      </c>
    </row>
    <row r="126" spans="1:2">
      <c r="A126" s="12" t="s">
        <v>714</v>
      </c>
      <c r="B126">
        <v>4</v>
      </c>
    </row>
    <row r="127" spans="1:2">
      <c r="A127" s="12" t="s">
        <v>713</v>
      </c>
      <c r="B127">
        <v>4</v>
      </c>
    </row>
    <row r="128" spans="1:2">
      <c r="A128" s="12" t="s">
        <v>723</v>
      </c>
      <c r="B128">
        <v>1</v>
      </c>
    </row>
    <row r="129" spans="1:2">
      <c r="A129" s="12" t="s">
        <v>716</v>
      </c>
      <c r="B129">
        <v>4</v>
      </c>
    </row>
    <row r="130" spans="1:2">
      <c r="A130" s="12" t="s">
        <v>724</v>
      </c>
      <c r="B130">
        <v>2</v>
      </c>
    </row>
    <row r="131" spans="1:2">
      <c r="A131" s="12" t="s">
        <v>725</v>
      </c>
      <c r="B131">
        <v>7</v>
      </c>
    </row>
    <row r="132" spans="1:2">
      <c r="A132" s="12" t="s">
        <v>719</v>
      </c>
      <c r="B132">
        <v>1</v>
      </c>
    </row>
    <row r="133" spans="1:2">
      <c r="A133" s="10" t="s">
        <v>649</v>
      </c>
      <c r="B133">
        <v>159</v>
      </c>
    </row>
    <row r="134" spans="1:2">
      <c r="A134" s="11" t="s">
        <v>657</v>
      </c>
      <c r="B134">
        <v>54</v>
      </c>
    </row>
    <row r="135" spans="1:2">
      <c r="A135" s="12" t="s">
        <v>720</v>
      </c>
      <c r="B135">
        <v>4</v>
      </c>
    </row>
    <row r="136" spans="1:2">
      <c r="A136" s="12" t="s">
        <v>717</v>
      </c>
      <c r="B136">
        <v>4</v>
      </c>
    </row>
    <row r="137" spans="1:2">
      <c r="A137" s="12" t="s">
        <v>712</v>
      </c>
      <c r="B137">
        <v>2</v>
      </c>
    </row>
    <row r="138" spans="1:2">
      <c r="A138" s="12" t="s">
        <v>726</v>
      </c>
      <c r="B138">
        <v>2</v>
      </c>
    </row>
    <row r="139" spans="1:2">
      <c r="A139" s="12" t="s">
        <v>718</v>
      </c>
      <c r="B139">
        <v>6</v>
      </c>
    </row>
    <row r="140" spans="1:2">
      <c r="A140" s="12" t="s">
        <v>721</v>
      </c>
      <c r="B140">
        <v>6</v>
      </c>
    </row>
    <row r="141" spans="1:2">
      <c r="A141" s="12" t="s">
        <v>715</v>
      </c>
      <c r="B141">
        <v>3</v>
      </c>
    </row>
    <row r="142" spans="1:2">
      <c r="A142" s="12" t="s">
        <v>722</v>
      </c>
      <c r="B142">
        <v>6</v>
      </c>
    </row>
    <row r="143" spans="1:2">
      <c r="A143" s="12" t="s">
        <v>714</v>
      </c>
      <c r="B143">
        <v>4</v>
      </c>
    </row>
    <row r="144" spans="1:2">
      <c r="A144" s="12" t="s">
        <v>713</v>
      </c>
      <c r="B144">
        <v>4</v>
      </c>
    </row>
    <row r="145" spans="1:2">
      <c r="A145" s="12" t="s">
        <v>723</v>
      </c>
      <c r="B145">
        <v>6</v>
      </c>
    </row>
    <row r="146" spans="1:2">
      <c r="A146" s="12" t="s">
        <v>716</v>
      </c>
      <c r="B146">
        <v>1</v>
      </c>
    </row>
    <row r="147" spans="1:2">
      <c r="A147" s="12" t="s">
        <v>724</v>
      </c>
      <c r="B147">
        <v>3</v>
      </c>
    </row>
    <row r="148" spans="1:2">
      <c r="A148" s="12" t="s">
        <v>725</v>
      </c>
      <c r="B148">
        <v>1</v>
      </c>
    </row>
    <row r="149" spans="1:2">
      <c r="A149" s="12" t="s">
        <v>719</v>
      </c>
      <c r="B149">
        <v>2</v>
      </c>
    </row>
    <row r="150" spans="1:2">
      <c r="A150" s="11" t="s">
        <v>656</v>
      </c>
      <c r="B150">
        <v>51</v>
      </c>
    </row>
    <row r="151" spans="1:2">
      <c r="A151" s="12" t="s">
        <v>720</v>
      </c>
      <c r="B151">
        <v>4</v>
      </c>
    </row>
    <row r="152" spans="1:2">
      <c r="A152" s="12" t="s">
        <v>717</v>
      </c>
      <c r="B152">
        <v>7</v>
      </c>
    </row>
    <row r="153" spans="1:2">
      <c r="A153" s="12" t="s">
        <v>712</v>
      </c>
      <c r="B153">
        <v>2</v>
      </c>
    </row>
    <row r="154" spans="1:2">
      <c r="A154" s="12" t="s">
        <v>726</v>
      </c>
      <c r="B154">
        <v>2</v>
      </c>
    </row>
    <row r="155" spans="1:2">
      <c r="A155" s="12" t="s">
        <v>718</v>
      </c>
      <c r="B155">
        <v>6</v>
      </c>
    </row>
    <row r="156" spans="1:2">
      <c r="A156" s="12" t="s">
        <v>721</v>
      </c>
      <c r="B156">
        <v>4</v>
      </c>
    </row>
    <row r="157" spans="1:2">
      <c r="A157" s="12" t="s">
        <v>715</v>
      </c>
      <c r="B157">
        <v>3</v>
      </c>
    </row>
    <row r="158" spans="1:2">
      <c r="A158" s="12" t="s">
        <v>722</v>
      </c>
      <c r="B158">
        <v>3</v>
      </c>
    </row>
    <row r="159" spans="1:2">
      <c r="A159" s="12" t="s">
        <v>714</v>
      </c>
      <c r="B159">
        <v>1</v>
      </c>
    </row>
    <row r="160" spans="1:2">
      <c r="A160" s="12" t="s">
        <v>713</v>
      </c>
      <c r="B160">
        <v>1</v>
      </c>
    </row>
    <row r="161" spans="1:2">
      <c r="A161" s="12" t="s">
        <v>723</v>
      </c>
      <c r="B161">
        <v>1</v>
      </c>
    </row>
    <row r="162" spans="1:2">
      <c r="A162" s="12" t="s">
        <v>716</v>
      </c>
      <c r="B162">
        <v>5</v>
      </c>
    </row>
    <row r="163" spans="1:2">
      <c r="A163" s="12" t="s">
        <v>724</v>
      </c>
      <c r="B163">
        <v>4</v>
      </c>
    </row>
    <row r="164" spans="1:2">
      <c r="A164" s="12" t="s">
        <v>725</v>
      </c>
      <c r="B164">
        <v>3</v>
      </c>
    </row>
    <row r="165" spans="1:2">
      <c r="A165" s="12" t="s">
        <v>719</v>
      </c>
      <c r="B165">
        <v>5</v>
      </c>
    </row>
    <row r="166" spans="1:2">
      <c r="A166" s="11" t="s">
        <v>658</v>
      </c>
      <c r="B166">
        <v>54</v>
      </c>
    </row>
    <row r="167" spans="1:2">
      <c r="A167" s="12" t="s">
        <v>720</v>
      </c>
      <c r="B167">
        <v>2</v>
      </c>
    </row>
    <row r="168" spans="1:2">
      <c r="A168" s="12" t="s">
        <v>717</v>
      </c>
      <c r="B168">
        <v>4</v>
      </c>
    </row>
    <row r="169" spans="1:2">
      <c r="A169" s="12" t="s">
        <v>712</v>
      </c>
      <c r="B169">
        <v>1</v>
      </c>
    </row>
    <row r="170" spans="1:2">
      <c r="A170" s="12" t="s">
        <v>726</v>
      </c>
      <c r="B170">
        <v>8</v>
      </c>
    </row>
    <row r="171" spans="1:2">
      <c r="A171" s="12" t="s">
        <v>718</v>
      </c>
      <c r="B171">
        <v>4</v>
      </c>
    </row>
    <row r="172" spans="1:2">
      <c r="A172" s="12" t="s">
        <v>721</v>
      </c>
      <c r="B172">
        <v>1</v>
      </c>
    </row>
    <row r="173" spans="1:2">
      <c r="A173" s="12" t="s">
        <v>715</v>
      </c>
      <c r="B173">
        <v>2</v>
      </c>
    </row>
    <row r="174" spans="1:2">
      <c r="A174" s="12" t="s">
        <v>722</v>
      </c>
      <c r="B174">
        <v>4</v>
      </c>
    </row>
    <row r="175" spans="1:2">
      <c r="A175" s="12" t="s">
        <v>714</v>
      </c>
      <c r="B175">
        <v>3</v>
      </c>
    </row>
    <row r="176" spans="1:2">
      <c r="A176" s="12" t="s">
        <v>713</v>
      </c>
      <c r="B176">
        <v>4</v>
      </c>
    </row>
    <row r="177" spans="1:2">
      <c r="A177" s="12" t="s">
        <v>723</v>
      </c>
      <c r="B177">
        <v>6</v>
      </c>
    </row>
    <row r="178" spans="1:2">
      <c r="A178" s="12" t="s">
        <v>716</v>
      </c>
      <c r="B178">
        <v>4</v>
      </c>
    </row>
    <row r="179" spans="1:2">
      <c r="A179" s="12" t="s">
        <v>724</v>
      </c>
      <c r="B179">
        <v>3</v>
      </c>
    </row>
    <row r="180" spans="1:2">
      <c r="A180" s="12" t="s">
        <v>725</v>
      </c>
      <c r="B180">
        <v>7</v>
      </c>
    </row>
    <row r="181" spans="1:2">
      <c r="A181" s="12" t="s">
        <v>719</v>
      </c>
      <c r="B181">
        <v>1</v>
      </c>
    </row>
    <row r="182" spans="1:2">
      <c r="A182" s="10" t="s">
        <v>1424</v>
      </c>
      <c r="B182">
        <v>632</v>
      </c>
    </row>
  </sheetData>
  <pageMargins left="0.7" right="0.7" top="0.75" bottom="0.75" header="0.3" footer="0.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F302BC9-D44F-4880-8DD4-47514098B9B5}">
  <dimension ref="A3:G89"/>
  <sheetViews>
    <sheetView zoomScaleNormal="100" workbookViewId="0">
      <selection activeCell="A8" sqref="A8"/>
    </sheetView>
  </sheetViews>
  <sheetFormatPr defaultRowHeight="15"/>
  <cols>
    <col min="1" max="1" width="17.85546875" bestFit="1" customWidth="1"/>
    <col min="2" max="2" width="16.28515625" bestFit="1" customWidth="1"/>
    <col min="3" max="3" width="10.5703125" bestFit="1" customWidth="1"/>
    <col min="4" max="4" width="12.140625" bestFit="1" customWidth="1"/>
    <col min="5" max="5" width="7" bestFit="1" customWidth="1"/>
    <col min="6" max="6" width="6.140625" bestFit="1" customWidth="1"/>
    <col min="7" max="8" width="11.28515625" bestFit="1" customWidth="1"/>
  </cols>
  <sheetData>
    <row r="3" spans="1:7">
      <c r="A3" s="9" t="s">
        <v>1425</v>
      </c>
      <c r="B3" s="9" t="s">
        <v>1428</v>
      </c>
    </row>
    <row r="4" spans="1:7">
      <c r="A4" s="9" t="s">
        <v>1423</v>
      </c>
      <c r="B4" t="s">
        <v>711</v>
      </c>
      <c r="C4" t="s">
        <v>710</v>
      </c>
      <c r="D4" t="s">
        <v>709</v>
      </c>
      <c r="E4" t="s">
        <v>708</v>
      </c>
      <c r="F4" t="s">
        <v>707</v>
      </c>
      <c r="G4" t="s">
        <v>1424</v>
      </c>
    </row>
    <row r="5" spans="1:7">
      <c r="A5" s="10" t="s">
        <v>655</v>
      </c>
      <c r="B5">
        <v>21</v>
      </c>
      <c r="C5">
        <v>12</v>
      </c>
      <c r="D5">
        <v>9</v>
      </c>
      <c r="E5">
        <v>10</v>
      </c>
      <c r="F5">
        <v>10</v>
      </c>
      <c r="G5">
        <v>62</v>
      </c>
    </row>
    <row r="6" spans="1:7">
      <c r="A6" s="11" t="s">
        <v>704</v>
      </c>
      <c r="B6">
        <v>2</v>
      </c>
      <c r="C6">
        <v>3</v>
      </c>
      <c r="D6">
        <v>1</v>
      </c>
      <c r="E6">
        <v>2</v>
      </c>
      <c r="G6">
        <v>8</v>
      </c>
    </row>
    <row r="7" spans="1:7">
      <c r="A7" s="11" t="s">
        <v>701</v>
      </c>
      <c r="B7">
        <v>2</v>
      </c>
      <c r="C7">
        <v>4</v>
      </c>
      <c r="D7">
        <v>2</v>
      </c>
      <c r="F7">
        <v>1</v>
      </c>
      <c r="G7">
        <v>9</v>
      </c>
    </row>
    <row r="8" spans="1:7">
      <c r="A8" s="11" t="s">
        <v>702</v>
      </c>
      <c r="B8">
        <v>3</v>
      </c>
      <c r="D8">
        <v>1</v>
      </c>
      <c r="E8">
        <v>3</v>
      </c>
      <c r="F8">
        <v>3</v>
      </c>
      <c r="G8">
        <v>10</v>
      </c>
    </row>
    <row r="9" spans="1:7">
      <c r="A9" s="11" t="s">
        <v>706</v>
      </c>
      <c r="B9">
        <v>4</v>
      </c>
      <c r="C9">
        <v>1</v>
      </c>
      <c r="D9">
        <v>3</v>
      </c>
      <c r="F9">
        <v>1</v>
      </c>
      <c r="G9">
        <v>9</v>
      </c>
    </row>
    <row r="10" spans="1:7">
      <c r="A10" s="11" t="s">
        <v>703</v>
      </c>
      <c r="B10">
        <v>8</v>
      </c>
      <c r="C10">
        <v>2</v>
      </c>
      <c r="D10">
        <v>1</v>
      </c>
      <c r="E10">
        <v>5</v>
      </c>
      <c r="F10">
        <v>2</v>
      </c>
      <c r="G10">
        <v>18</v>
      </c>
    </row>
    <row r="11" spans="1:7">
      <c r="A11" s="11" t="s">
        <v>705</v>
      </c>
      <c r="B11">
        <v>2</v>
      </c>
      <c r="C11">
        <v>2</v>
      </c>
      <c r="D11">
        <v>1</v>
      </c>
      <c r="F11">
        <v>3</v>
      </c>
      <c r="G11">
        <v>8</v>
      </c>
    </row>
    <row r="12" spans="1:7">
      <c r="A12" s="10" t="s">
        <v>653</v>
      </c>
      <c r="B12">
        <v>9</v>
      </c>
      <c r="C12">
        <v>14</v>
      </c>
      <c r="D12">
        <v>6</v>
      </c>
      <c r="E12">
        <v>10</v>
      </c>
      <c r="F12">
        <v>5</v>
      </c>
      <c r="G12">
        <v>44</v>
      </c>
    </row>
    <row r="13" spans="1:7">
      <c r="A13" s="11" t="s">
        <v>704</v>
      </c>
      <c r="B13">
        <v>1</v>
      </c>
      <c r="C13">
        <v>5</v>
      </c>
      <c r="E13">
        <v>4</v>
      </c>
      <c r="G13">
        <v>10</v>
      </c>
    </row>
    <row r="14" spans="1:7">
      <c r="A14" s="11" t="s">
        <v>701</v>
      </c>
      <c r="B14">
        <v>1</v>
      </c>
      <c r="C14">
        <v>2</v>
      </c>
      <c r="E14">
        <v>2</v>
      </c>
      <c r="G14">
        <v>5</v>
      </c>
    </row>
    <row r="15" spans="1:7">
      <c r="A15" s="11" t="s">
        <v>702</v>
      </c>
      <c r="B15">
        <v>5</v>
      </c>
      <c r="C15">
        <v>2</v>
      </c>
      <c r="D15">
        <v>1</v>
      </c>
      <c r="G15">
        <v>8</v>
      </c>
    </row>
    <row r="16" spans="1:7">
      <c r="A16" s="11" t="s">
        <v>706</v>
      </c>
      <c r="C16">
        <v>3</v>
      </c>
      <c r="D16">
        <v>2</v>
      </c>
      <c r="E16">
        <v>2</v>
      </c>
      <c r="F16">
        <v>2</v>
      </c>
      <c r="G16">
        <v>9</v>
      </c>
    </row>
    <row r="17" spans="1:7">
      <c r="A17" s="11" t="s">
        <v>703</v>
      </c>
      <c r="B17">
        <v>1</v>
      </c>
      <c r="C17">
        <v>2</v>
      </c>
      <c r="D17">
        <v>1</v>
      </c>
      <c r="E17">
        <v>1</v>
      </c>
      <c r="F17">
        <v>2</v>
      </c>
      <c r="G17">
        <v>7</v>
      </c>
    </row>
    <row r="18" spans="1:7">
      <c r="A18" s="11" t="s">
        <v>705</v>
      </c>
      <c r="B18">
        <v>1</v>
      </c>
      <c r="D18">
        <v>2</v>
      </c>
      <c r="E18">
        <v>1</v>
      </c>
      <c r="F18">
        <v>1</v>
      </c>
      <c r="G18">
        <v>5</v>
      </c>
    </row>
    <row r="19" spans="1:7">
      <c r="A19" s="10" t="s">
        <v>659</v>
      </c>
      <c r="B19">
        <v>9</v>
      </c>
      <c r="C19">
        <v>12</v>
      </c>
      <c r="D19">
        <v>5</v>
      </c>
      <c r="E19">
        <v>13</v>
      </c>
      <c r="F19">
        <v>12</v>
      </c>
      <c r="G19">
        <v>51</v>
      </c>
    </row>
    <row r="20" spans="1:7">
      <c r="A20" s="11" t="s">
        <v>704</v>
      </c>
      <c r="B20">
        <v>1</v>
      </c>
      <c r="C20">
        <v>4</v>
      </c>
      <c r="D20">
        <v>1</v>
      </c>
      <c r="E20">
        <v>1</v>
      </c>
      <c r="G20">
        <v>7</v>
      </c>
    </row>
    <row r="21" spans="1:7">
      <c r="A21" s="11" t="s">
        <v>701</v>
      </c>
      <c r="B21">
        <v>1</v>
      </c>
      <c r="C21">
        <v>4</v>
      </c>
      <c r="E21">
        <v>1</v>
      </c>
      <c r="F21">
        <v>4</v>
      </c>
      <c r="G21">
        <v>10</v>
      </c>
    </row>
    <row r="22" spans="1:7">
      <c r="A22" s="11" t="s">
        <v>702</v>
      </c>
      <c r="C22">
        <v>1</v>
      </c>
      <c r="D22">
        <v>1</v>
      </c>
      <c r="E22">
        <v>2</v>
      </c>
      <c r="F22">
        <v>2</v>
      </c>
      <c r="G22">
        <v>6</v>
      </c>
    </row>
    <row r="23" spans="1:7">
      <c r="A23" s="11" t="s">
        <v>706</v>
      </c>
      <c r="B23">
        <v>2</v>
      </c>
      <c r="D23">
        <v>1</v>
      </c>
      <c r="E23">
        <v>3</v>
      </c>
      <c r="F23">
        <v>1</v>
      </c>
      <c r="G23">
        <v>7</v>
      </c>
    </row>
    <row r="24" spans="1:7">
      <c r="A24" s="11" t="s">
        <v>703</v>
      </c>
      <c r="B24">
        <v>3</v>
      </c>
      <c r="C24">
        <v>2</v>
      </c>
      <c r="D24">
        <v>1</v>
      </c>
      <c r="E24">
        <v>2</v>
      </c>
      <c r="F24">
        <v>3</v>
      </c>
      <c r="G24">
        <v>11</v>
      </c>
    </row>
    <row r="25" spans="1:7">
      <c r="A25" s="11" t="s">
        <v>705</v>
      </c>
      <c r="B25">
        <v>2</v>
      </c>
      <c r="C25">
        <v>1</v>
      </c>
      <c r="D25">
        <v>1</v>
      </c>
      <c r="E25">
        <v>4</v>
      </c>
      <c r="F25">
        <v>2</v>
      </c>
      <c r="G25">
        <v>10</v>
      </c>
    </row>
    <row r="26" spans="1:7">
      <c r="A26" s="10" t="s">
        <v>657</v>
      </c>
      <c r="B26">
        <v>17</v>
      </c>
      <c r="C26">
        <v>6</v>
      </c>
      <c r="D26">
        <v>14</v>
      </c>
      <c r="E26">
        <v>8</v>
      </c>
      <c r="F26">
        <v>9</v>
      </c>
      <c r="G26">
        <v>54</v>
      </c>
    </row>
    <row r="27" spans="1:7">
      <c r="A27" s="11" t="s">
        <v>704</v>
      </c>
      <c r="B27">
        <v>2</v>
      </c>
      <c r="C27">
        <v>1</v>
      </c>
      <c r="D27">
        <v>3</v>
      </c>
      <c r="E27">
        <v>1</v>
      </c>
      <c r="G27">
        <v>7</v>
      </c>
    </row>
    <row r="28" spans="1:7">
      <c r="A28" s="11" t="s">
        <v>701</v>
      </c>
      <c r="B28">
        <v>6</v>
      </c>
      <c r="C28">
        <v>1</v>
      </c>
      <c r="D28">
        <v>1</v>
      </c>
      <c r="E28">
        <v>2</v>
      </c>
      <c r="F28">
        <v>4</v>
      </c>
      <c r="G28">
        <v>14</v>
      </c>
    </row>
    <row r="29" spans="1:7">
      <c r="A29" s="11" t="s">
        <v>702</v>
      </c>
      <c r="C29">
        <v>1</v>
      </c>
      <c r="E29">
        <v>1</v>
      </c>
      <c r="F29">
        <v>2</v>
      </c>
      <c r="G29">
        <v>4</v>
      </c>
    </row>
    <row r="30" spans="1:7">
      <c r="A30" s="11" t="s">
        <v>706</v>
      </c>
      <c r="B30">
        <v>1</v>
      </c>
      <c r="C30">
        <v>1</v>
      </c>
      <c r="D30">
        <v>3</v>
      </c>
      <c r="F30">
        <v>1</v>
      </c>
      <c r="G30">
        <v>6</v>
      </c>
    </row>
    <row r="31" spans="1:7">
      <c r="A31" s="11" t="s">
        <v>703</v>
      </c>
      <c r="B31">
        <v>6</v>
      </c>
      <c r="D31">
        <v>2</v>
      </c>
      <c r="G31">
        <v>8</v>
      </c>
    </row>
    <row r="32" spans="1:7">
      <c r="A32" s="11" t="s">
        <v>705</v>
      </c>
      <c r="B32">
        <v>2</v>
      </c>
      <c r="C32">
        <v>2</v>
      </c>
      <c r="D32">
        <v>5</v>
      </c>
      <c r="E32">
        <v>4</v>
      </c>
      <c r="F32">
        <v>2</v>
      </c>
      <c r="G32">
        <v>15</v>
      </c>
    </row>
    <row r="33" spans="1:7">
      <c r="A33" s="10" t="s">
        <v>656</v>
      </c>
      <c r="B33">
        <v>19</v>
      </c>
      <c r="C33">
        <v>5</v>
      </c>
      <c r="D33">
        <v>8</v>
      </c>
      <c r="E33">
        <v>11</v>
      </c>
      <c r="F33">
        <v>8</v>
      </c>
      <c r="G33">
        <v>51</v>
      </c>
    </row>
    <row r="34" spans="1:7">
      <c r="A34" s="11" t="s">
        <v>704</v>
      </c>
      <c r="B34">
        <v>1</v>
      </c>
      <c r="C34">
        <v>1</v>
      </c>
      <c r="D34">
        <v>1</v>
      </c>
      <c r="E34">
        <v>2</v>
      </c>
      <c r="F34">
        <v>2</v>
      </c>
      <c r="G34">
        <v>7</v>
      </c>
    </row>
    <row r="35" spans="1:7">
      <c r="A35" s="11" t="s">
        <v>701</v>
      </c>
      <c r="B35">
        <v>6</v>
      </c>
      <c r="C35">
        <v>1</v>
      </c>
      <c r="D35">
        <v>1</v>
      </c>
      <c r="E35">
        <v>2</v>
      </c>
      <c r="F35">
        <v>1</v>
      </c>
      <c r="G35">
        <v>11</v>
      </c>
    </row>
    <row r="36" spans="1:7">
      <c r="A36" s="11" t="s">
        <v>702</v>
      </c>
      <c r="B36">
        <v>4</v>
      </c>
      <c r="E36">
        <v>1</v>
      </c>
      <c r="F36">
        <v>3</v>
      </c>
      <c r="G36">
        <v>8</v>
      </c>
    </row>
    <row r="37" spans="1:7">
      <c r="A37" s="11" t="s">
        <v>706</v>
      </c>
      <c r="B37">
        <v>2</v>
      </c>
      <c r="C37">
        <v>1</v>
      </c>
      <c r="D37">
        <v>2</v>
      </c>
      <c r="E37">
        <v>1</v>
      </c>
      <c r="G37">
        <v>6</v>
      </c>
    </row>
    <row r="38" spans="1:7">
      <c r="A38" s="11" t="s">
        <v>703</v>
      </c>
      <c r="B38">
        <v>1</v>
      </c>
      <c r="C38">
        <v>1</v>
      </c>
      <c r="D38">
        <v>1</v>
      </c>
      <c r="E38">
        <v>1</v>
      </c>
      <c r="F38">
        <v>2</v>
      </c>
      <c r="G38">
        <v>6</v>
      </c>
    </row>
    <row r="39" spans="1:7">
      <c r="A39" s="11" t="s">
        <v>705</v>
      </c>
      <c r="B39">
        <v>5</v>
      </c>
      <c r="C39">
        <v>1</v>
      </c>
      <c r="D39">
        <v>3</v>
      </c>
      <c r="E39">
        <v>4</v>
      </c>
      <c r="G39">
        <v>13</v>
      </c>
    </row>
    <row r="40" spans="1:7">
      <c r="A40" s="10" t="s">
        <v>654</v>
      </c>
      <c r="B40">
        <v>14</v>
      </c>
      <c r="C40">
        <v>12</v>
      </c>
      <c r="D40">
        <v>16</v>
      </c>
      <c r="E40">
        <v>3</v>
      </c>
      <c r="F40">
        <v>16</v>
      </c>
      <c r="G40">
        <v>61</v>
      </c>
    </row>
    <row r="41" spans="1:7">
      <c r="A41" s="11" t="s">
        <v>704</v>
      </c>
      <c r="B41">
        <v>2</v>
      </c>
      <c r="C41">
        <v>2</v>
      </c>
      <c r="D41">
        <v>2</v>
      </c>
      <c r="F41">
        <v>3</v>
      </c>
      <c r="G41">
        <v>9</v>
      </c>
    </row>
    <row r="42" spans="1:7">
      <c r="A42" s="11" t="s">
        <v>701</v>
      </c>
      <c r="B42">
        <v>2</v>
      </c>
      <c r="C42">
        <v>2</v>
      </c>
      <c r="D42">
        <v>2</v>
      </c>
      <c r="E42">
        <v>1</v>
      </c>
      <c r="F42">
        <v>3</v>
      </c>
      <c r="G42">
        <v>10</v>
      </c>
    </row>
    <row r="43" spans="1:7">
      <c r="A43" s="11" t="s">
        <v>702</v>
      </c>
      <c r="B43">
        <v>2</v>
      </c>
      <c r="C43">
        <v>1</v>
      </c>
      <c r="D43">
        <v>2</v>
      </c>
      <c r="F43">
        <v>1</v>
      </c>
      <c r="G43">
        <v>6</v>
      </c>
    </row>
    <row r="44" spans="1:7">
      <c r="A44" s="11" t="s">
        <v>706</v>
      </c>
      <c r="B44">
        <v>3</v>
      </c>
      <c r="C44">
        <v>2</v>
      </c>
      <c r="D44">
        <v>3</v>
      </c>
      <c r="F44">
        <v>1</v>
      </c>
      <c r="G44">
        <v>9</v>
      </c>
    </row>
    <row r="45" spans="1:7">
      <c r="A45" s="11" t="s">
        <v>703</v>
      </c>
      <c r="C45">
        <v>3</v>
      </c>
      <c r="D45">
        <v>3</v>
      </c>
      <c r="E45">
        <v>1</v>
      </c>
      <c r="F45">
        <v>3</v>
      </c>
      <c r="G45">
        <v>10</v>
      </c>
    </row>
    <row r="46" spans="1:7">
      <c r="A46" s="11" t="s">
        <v>705</v>
      </c>
      <c r="B46">
        <v>5</v>
      </c>
      <c r="C46">
        <v>2</v>
      </c>
      <c r="D46">
        <v>4</v>
      </c>
      <c r="E46">
        <v>1</v>
      </c>
      <c r="F46">
        <v>5</v>
      </c>
      <c r="G46">
        <v>17</v>
      </c>
    </row>
    <row r="47" spans="1:7">
      <c r="A47" s="10" t="s">
        <v>652</v>
      </c>
      <c r="B47">
        <v>13</v>
      </c>
      <c r="C47">
        <v>13</v>
      </c>
      <c r="D47">
        <v>13</v>
      </c>
      <c r="E47">
        <v>11</v>
      </c>
      <c r="F47">
        <v>9</v>
      </c>
      <c r="G47">
        <v>59</v>
      </c>
    </row>
    <row r="48" spans="1:7">
      <c r="A48" s="11" t="s">
        <v>704</v>
      </c>
      <c r="B48">
        <v>1</v>
      </c>
      <c r="D48">
        <v>3</v>
      </c>
      <c r="E48">
        <v>2</v>
      </c>
      <c r="F48">
        <v>2</v>
      </c>
      <c r="G48">
        <v>8</v>
      </c>
    </row>
    <row r="49" spans="1:7">
      <c r="A49" s="11" t="s">
        <v>701</v>
      </c>
      <c r="B49">
        <v>3</v>
      </c>
      <c r="C49">
        <v>3</v>
      </c>
      <c r="D49">
        <v>1</v>
      </c>
      <c r="F49">
        <v>2</v>
      </c>
      <c r="G49">
        <v>9</v>
      </c>
    </row>
    <row r="50" spans="1:7">
      <c r="A50" s="11" t="s">
        <v>702</v>
      </c>
      <c r="B50">
        <v>2</v>
      </c>
      <c r="C50">
        <v>2</v>
      </c>
      <c r="D50">
        <v>2</v>
      </c>
      <c r="E50">
        <v>3</v>
      </c>
      <c r="G50">
        <v>9</v>
      </c>
    </row>
    <row r="51" spans="1:7">
      <c r="A51" s="11" t="s">
        <v>706</v>
      </c>
      <c r="B51">
        <v>1</v>
      </c>
      <c r="C51">
        <v>3</v>
      </c>
      <c r="D51">
        <v>1</v>
      </c>
      <c r="E51">
        <v>2</v>
      </c>
      <c r="F51">
        <v>3</v>
      </c>
      <c r="G51">
        <v>10</v>
      </c>
    </row>
    <row r="52" spans="1:7">
      <c r="A52" s="11" t="s">
        <v>703</v>
      </c>
      <c r="B52">
        <v>3</v>
      </c>
      <c r="D52">
        <v>2</v>
      </c>
      <c r="E52">
        <v>1</v>
      </c>
      <c r="G52">
        <v>6</v>
      </c>
    </row>
    <row r="53" spans="1:7">
      <c r="A53" s="11" t="s">
        <v>705</v>
      </c>
      <c r="B53">
        <v>3</v>
      </c>
      <c r="C53">
        <v>5</v>
      </c>
      <c r="D53">
        <v>4</v>
      </c>
      <c r="E53">
        <v>3</v>
      </c>
      <c r="F53">
        <v>2</v>
      </c>
      <c r="G53">
        <v>17</v>
      </c>
    </row>
    <row r="54" spans="1:7">
      <c r="A54" s="10" t="s">
        <v>650</v>
      </c>
      <c r="B54">
        <v>16</v>
      </c>
      <c r="C54">
        <v>7</v>
      </c>
      <c r="D54">
        <v>8</v>
      </c>
      <c r="E54">
        <v>11</v>
      </c>
      <c r="F54">
        <v>14</v>
      </c>
      <c r="G54">
        <v>56</v>
      </c>
    </row>
    <row r="55" spans="1:7">
      <c r="A55" s="11" t="s">
        <v>704</v>
      </c>
      <c r="B55">
        <v>1</v>
      </c>
      <c r="C55">
        <v>1</v>
      </c>
      <c r="D55">
        <v>4</v>
      </c>
      <c r="E55">
        <v>1</v>
      </c>
      <c r="F55">
        <v>2</v>
      </c>
      <c r="G55">
        <v>9</v>
      </c>
    </row>
    <row r="56" spans="1:7">
      <c r="A56" s="11" t="s">
        <v>701</v>
      </c>
      <c r="B56">
        <v>7</v>
      </c>
      <c r="C56">
        <v>2</v>
      </c>
      <c r="D56">
        <v>1</v>
      </c>
      <c r="E56">
        <v>3</v>
      </c>
      <c r="F56">
        <v>3</v>
      </c>
      <c r="G56">
        <v>16</v>
      </c>
    </row>
    <row r="57" spans="1:7">
      <c r="A57" s="11" t="s">
        <v>702</v>
      </c>
      <c r="B57">
        <v>4</v>
      </c>
      <c r="D57">
        <v>1</v>
      </c>
      <c r="E57">
        <v>1</v>
      </c>
      <c r="F57">
        <v>2</v>
      </c>
      <c r="G57">
        <v>8</v>
      </c>
    </row>
    <row r="58" spans="1:7">
      <c r="A58" s="11" t="s">
        <v>706</v>
      </c>
      <c r="B58">
        <v>1</v>
      </c>
      <c r="C58">
        <v>1</v>
      </c>
      <c r="D58">
        <v>1</v>
      </c>
      <c r="E58">
        <v>2</v>
      </c>
      <c r="G58">
        <v>5</v>
      </c>
    </row>
    <row r="59" spans="1:7">
      <c r="A59" s="11" t="s">
        <v>703</v>
      </c>
      <c r="B59">
        <v>1</v>
      </c>
      <c r="C59">
        <v>2</v>
      </c>
      <c r="E59">
        <v>2</v>
      </c>
      <c r="G59">
        <v>5</v>
      </c>
    </row>
    <row r="60" spans="1:7">
      <c r="A60" s="11" t="s">
        <v>705</v>
      </c>
      <c r="B60">
        <v>2</v>
      </c>
      <c r="C60">
        <v>1</v>
      </c>
      <c r="D60">
        <v>1</v>
      </c>
      <c r="E60">
        <v>2</v>
      </c>
      <c r="F60">
        <v>7</v>
      </c>
      <c r="G60">
        <v>13</v>
      </c>
    </row>
    <row r="61" spans="1:7">
      <c r="A61" s="10" t="s">
        <v>651</v>
      </c>
      <c r="B61">
        <v>7</v>
      </c>
      <c r="C61">
        <v>10</v>
      </c>
      <c r="D61">
        <v>14</v>
      </c>
      <c r="E61">
        <v>9</v>
      </c>
      <c r="F61">
        <v>4</v>
      </c>
      <c r="G61">
        <v>44</v>
      </c>
    </row>
    <row r="62" spans="1:7">
      <c r="A62" s="11" t="s">
        <v>704</v>
      </c>
      <c r="C62">
        <v>2</v>
      </c>
      <c r="D62">
        <v>2</v>
      </c>
      <c r="E62">
        <v>2</v>
      </c>
      <c r="G62">
        <v>6</v>
      </c>
    </row>
    <row r="63" spans="1:7">
      <c r="A63" s="11" t="s">
        <v>701</v>
      </c>
      <c r="B63">
        <v>1</v>
      </c>
      <c r="C63">
        <v>3</v>
      </c>
      <c r="D63">
        <v>3</v>
      </c>
      <c r="F63">
        <v>2</v>
      </c>
      <c r="G63">
        <v>9</v>
      </c>
    </row>
    <row r="64" spans="1:7">
      <c r="A64" s="11" t="s">
        <v>702</v>
      </c>
      <c r="C64">
        <v>1</v>
      </c>
      <c r="D64">
        <v>1</v>
      </c>
      <c r="E64">
        <v>2</v>
      </c>
      <c r="F64">
        <v>1</v>
      </c>
      <c r="G64">
        <v>5</v>
      </c>
    </row>
    <row r="65" spans="1:7">
      <c r="A65" s="11" t="s">
        <v>706</v>
      </c>
      <c r="B65">
        <v>2</v>
      </c>
      <c r="C65">
        <v>2</v>
      </c>
      <c r="D65">
        <v>2</v>
      </c>
      <c r="E65">
        <v>2</v>
      </c>
      <c r="G65">
        <v>8</v>
      </c>
    </row>
    <row r="66" spans="1:7">
      <c r="A66" s="11" t="s">
        <v>703</v>
      </c>
      <c r="B66">
        <v>3</v>
      </c>
      <c r="C66">
        <v>1</v>
      </c>
      <c r="D66">
        <v>3</v>
      </c>
      <c r="E66">
        <v>1</v>
      </c>
      <c r="G66">
        <v>8</v>
      </c>
    </row>
    <row r="67" spans="1:7">
      <c r="A67" s="11" t="s">
        <v>705</v>
      </c>
      <c r="B67">
        <v>1</v>
      </c>
      <c r="C67">
        <v>1</v>
      </c>
      <c r="D67">
        <v>3</v>
      </c>
      <c r="E67">
        <v>2</v>
      </c>
      <c r="F67">
        <v>1</v>
      </c>
      <c r="G67">
        <v>8</v>
      </c>
    </row>
    <row r="68" spans="1:7">
      <c r="A68" s="10" t="s">
        <v>661</v>
      </c>
      <c r="B68">
        <v>6</v>
      </c>
      <c r="C68">
        <v>16</v>
      </c>
      <c r="D68">
        <v>11</v>
      </c>
      <c r="E68">
        <v>5</v>
      </c>
      <c r="F68">
        <v>7</v>
      </c>
      <c r="G68">
        <v>45</v>
      </c>
    </row>
    <row r="69" spans="1:7">
      <c r="A69" s="11" t="s">
        <v>704</v>
      </c>
      <c r="B69">
        <v>1</v>
      </c>
      <c r="C69">
        <v>1</v>
      </c>
      <c r="D69">
        <v>1</v>
      </c>
      <c r="E69">
        <v>2</v>
      </c>
      <c r="G69">
        <v>5</v>
      </c>
    </row>
    <row r="70" spans="1:7">
      <c r="A70" s="11" t="s">
        <v>701</v>
      </c>
      <c r="B70">
        <v>2</v>
      </c>
      <c r="C70">
        <v>1</v>
      </c>
      <c r="D70">
        <v>2</v>
      </c>
      <c r="G70">
        <v>5</v>
      </c>
    </row>
    <row r="71" spans="1:7">
      <c r="A71" s="11" t="s">
        <v>702</v>
      </c>
      <c r="C71">
        <v>4</v>
      </c>
      <c r="D71">
        <v>1</v>
      </c>
      <c r="F71">
        <v>1</v>
      </c>
      <c r="G71">
        <v>6</v>
      </c>
    </row>
    <row r="72" spans="1:7">
      <c r="A72" s="11" t="s">
        <v>706</v>
      </c>
      <c r="B72">
        <v>1</v>
      </c>
      <c r="C72">
        <v>4</v>
      </c>
      <c r="D72">
        <v>3</v>
      </c>
      <c r="F72">
        <v>3</v>
      </c>
      <c r="G72">
        <v>11</v>
      </c>
    </row>
    <row r="73" spans="1:7">
      <c r="A73" s="11" t="s">
        <v>703</v>
      </c>
      <c r="B73">
        <v>1</v>
      </c>
      <c r="C73">
        <v>2</v>
      </c>
      <c r="D73">
        <v>1</v>
      </c>
      <c r="E73">
        <v>3</v>
      </c>
      <c r="F73">
        <v>1</v>
      </c>
      <c r="G73">
        <v>8</v>
      </c>
    </row>
    <row r="74" spans="1:7">
      <c r="A74" s="11" t="s">
        <v>705</v>
      </c>
      <c r="B74">
        <v>1</v>
      </c>
      <c r="C74">
        <v>4</v>
      </c>
      <c r="D74">
        <v>3</v>
      </c>
      <c r="F74">
        <v>2</v>
      </c>
      <c r="G74">
        <v>10</v>
      </c>
    </row>
    <row r="75" spans="1:7">
      <c r="A75" s="10" t="s">
        <v>658</v>
      </c>
      <c r="B75">
        <v>17</v>
      </c>
      <c r="C75">
        <v>8</v>
      </c>
      <c r="D75">
        <v>9</v>
      </c>
      <c r="E75">
        <v>9</v>
      </c>
      <c r="F75">
        <v>11</v>
      </c>
      <c r="G75">
        <v>54</v>
      </c>
    </row>
    <row r="76" spans="1:7">
      <c r="A76" s="11" t="s">
        <v>704</v>
      </c>
      <c r="B76">
        <v>1</v>
      </c>
      <c r="C76">
        <v>1</v>
      </c>
      <c r="D76">
        <v>2</v>
      </c>
      <c r="E76">
        <v>1</v>
      </c>
      <c r="F76">
        <v>4</v>
      </c>
      <c r="G76">
        <v>9</v>
      </c>
    </row>
    <row r="77" spans="1:7">
      <c r="A77" s="11" t="s">
        <v>701</v>
      </c>
      <c r="B77">
        <v>2</v>
      </c>
      <c r="D77">
        <v>1</v>
      </c>
      <c r="E77">
        <v>1</v>
      </c>
      <c r="F77">
        <v>3</v>
      </c>
      <c r="G77">
        <v>7</v>
      </c>
    </row>
    <row r="78" spans="1:7">
      <c r="A78" s="11" t="s">
        <v>702</v>
      </c>
      <c r="B78">
        <v>2</v>
      </c>
      <c r="C78">
        <v>1</v>
      </c>
      <c r="D78">
        <v>1</v>
      </c>
      <c r="E78">
        <v>1</v>
      </c>
      <c r="G78">
        <v>5</v>
      </c>
    </row>
    <row r="79" spans="1:7">
      <c r="A79" s="11" t="s">
        <v>706</v>
      </c>
      <c r="C79">
        <v>3</v>
      </c>
      <c r="D79">
        <v>2</v>
      </c>
      <c r="E79">
        <v>4</v>
      </c>
      <c r="F79">
        <v>2</v>
      </c>
      <c r="G79">
        <v>11</v>
      </c>
    </row>
    <row r="80" spans="1:7">
      <c r="A80" s="11" t="s">
        <v>703</v>
      </c>
      <c r="B80">
        <v>9</v>
      </c>
      <c r="C80">
        <v>2</v>
      </c>
      <c r="D80">
        <v>1</v>
      </c>
      <c r="E80">
        <v>2</v>
      </c>
      <c r="G80">
        <v>14</v>
      </c>
    </row>
    <row r="81" spans="1:7">
      <c r="A81" s="11" t="s">
        <v>705</v>
      </c>
      <c r="B81">
        <v>3</v>
      </c>
      <c r="C81">
        <v>1</v>
      </c>
      <c r="D81">
        <v>2</v>
      </c>
      <c r="F81">
        <v>2</v>
      </c>
      <c r="G81">
        <v>8</v>
      </c>
    </row>
    <row r="82" spans="1:7">
      <c r="A82" s="10" t="s">
        <v>660</v>
      </c>
      <c r="B82">
        <v>9</v>
      </c>
      <c r="C82">
        <v>11</v>
      </c>
      <c r="D82">
        <v>13</v>
      </c>
      <c r="E82">
        <v>10</v>
      </c>
      <c r="F82">
        <v>8</v>
      </c>
      <c r="G82">
        <v>51</v>
      </c>
    </row>
    <row r="83" spans="1:7">
      <c r="A83" s="11" t="s">
        <v>704</v>
      </c>
      <c r="B83">
        <v>2</v>
      </c>
      <c r="C83">
        <v>4</v>
      </c>
      <c r="D83">
        <v>2</v>
      </c>
      <c r="F83">
        <v>3</v>
      </c>
      <c r="G83">
        <v>11</v>
      </c>
    </row>
    <row r="84" spans="1:7">
      <c r="A84" s="11" t="s">
        <v>701</v>
      </c>
      <c r="B84">
        <v>3</v>
      </c>
      <c r="C84">
        <v>3</v>
      </c>
      <c r="D84">
        <v>3</v>
      </c>
      <c r="F84">
        <v>3</v>
      </c>
      <c r="G84">
        <v>12</v>
      </c>
    </row>
    <row r="85" spans="1:7">
      <c r="A85" s="11" t="s">
        <v>702</v>
      </c>
      <c r="B85">
        <v>1</v>
      </c>
      <c r="C85">
        <v>1</v>
      </c>
      <c r="D85">
        <v>5</v>
      </c>
      <c r="G85">
        <v>7</v>
      </c>
    </row>
    <row r="86" spans="1:7">
      <c r="A86" s="11" t="s">
        <v>706</v>
      </c>
      <c r="E86">
        <v>5</v>
      </c>
      <c r="F86">
        <v>1</v>
      </c>
      <c r="G86">
        <v>6</v>
      </c>
    </row>
    <row r="87" spans="1:7">
      <c r="A87" s="11" t="s">
        <v>703</v>
      </c>
      <c r="B87">
        <v>2</v>
      </c>
      <c r="C87">
        <v>2</v>
      </c>
      <c r="D87">
        <v>1</v>
      </c>
      <c r="E87">
        <v>3</v>
      </c>
      <c r="G87">
        <v>8</v>
      </c>
    </row>
    <row r="88" spans="1:7">
      <c r="A88" s="11" t="s">
        <v>705</v>
      </c>
      <c r="B88">
        <v>1</v>
      </c>
      <c r="C88">
        <v>1</v>
      </c>
      <c r="D88">
        <v>2</v>
      </c>
      <c r="E88">
        <v>2</v>
      </c>
      <c r="F88">
        <v>1</v>
      </c>
      <c r="G88">
        <v>7</v>
      </c>
    </row>
    <row r="89" spans="1:7">
      <c r="A89" s="10" t="s">
        <v>1424</v>
      </c>
      <c r="B89">
        <v>157</v>
      </c>
      <c r="C89">
        <v>126</v>
      </c>
      <c r="D89">
        <v>126</v>
      </c>
      <c r="E89">
        <v>110</v>
      </c>
      <c r="F89">
        <v>113</v>
      </c>
      <c r="G89">
        <v>632</v>
      </c>
    </row>
  </sheetData>
  <pageMargins left="0.7" right="0.7" top="0.75" bottom="0.75" header="0.3" footer="0.3"/>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1120489-9987-413D-B65A-9B84BFDF9281}">
  <dimension ref="A3:B243"/>
  <sheetViews>
    <sheetView topLeftCell="A124" workbookViewId="0">
      <selection activeCell="B134" sqref="B134"/>
    </sheetView>
  </sheetViews>
  <sheetFormatPr defaultRowHeight="15"/>
  <cols>
    <col min="1" max="1" width="19.5703125" bestFit="1" customWidth="1"/>
    <col min="2" max="2" width="24.140625" bestFit="1" customWidth="1"/>
    <col min="3" max="3" width="10.5703125" bestFit="1" customWidth="1"/>
    <col min="4" max="4" width="12.140625" bestFit="1" customWidth="1"/>
    <col min="5" max="5" width="7" bestFit="1" customWidth="1"/>
    <col min="6" max="6" width="6.140625" bestFit="1" customWidth="1"/>
    <col min="7" max="7" width="11.28515625" bestFit="1" customWidth="1"/>
  </cols>
  <sheetData>
    <row r="3" spans="1:2">
      <c r="A3" s="9" t="s">
        <v>1423</v>
      </c>
      <c r="B3" t="s">
        <v>1437</v>
      </c>
    </row>
    <row r="4" spans="1:2">
      <c r="A4" s="10" t="s">
        <v>646</v>
      </c>
      <c r="B4" s="17">
        <v>12.855172413793104</v>
      </c>
    </row>
    <row r="5" spans="1:2">
      <c r="A5" s="11" t="s">
        <v>650</v>
      </c>
      <c r="B5" s="17">
        <v>13.982142857142858</v>
      </c>
    </row>
    <row r="6" spans="1:2">
      <c r="A6" s="12" t="s">
        <v>662</v>
      </c>
      <c r="B6" s="17">
        <v>13.611111111111111</v>
      </c>
    </row>
    <row r="7" spans="1:2">
      <c r="A7" s="19" t="s">
        <v>711</v>
      </c>
      <c r="B7" s="17">
        <v>10.75</v>
      </c>
    </row>
    <row r="8" spans="1:2">
      <c r="A8" s="19" t="s">
        <v>709</v>
      </c>
      <c r="B8" s="17">
        <v>12</v>
      </c>
    </row>
    <row r="9" spans="1:2">
      <c r="A9" s="19" t="s">
        <v>708</v>
      </c>
      <c r="B9" s="17">
        <v>19.5</v>
      </c>
    </row>
    <row r="10" spans="1:2">
      <c r="A10" s="19" t="s">
        <v>707</v>
      </c>
      <c r="B10" s="17">
        <v>12.5</v>
      </c>
    </row>
    <row r="11" spans="1:2">
      <c r="A11" s="12" t="s">
        <v>675</v>
      </c>
      <c r="B11" s="17">
        <v>15.142857142857142</v>
      </c>
    </row>
    <row r="12" spans="1:2">
      <c r="A12" s="19" t="s">
        <v>711</v>
      </c>
      <c r="B12" s="17">
        <v>10.8</v>
      </c>
    </row>
    <row r="13" spans="1:2">
      <c r="A13" s="19" t="s">
        <v>710</v>
      </c>
      <c r="B13" s="17">
        <v>19.333333333333332</v>
      </c>
    </row>
    <row r="14" spans="1:2">
      <c r="A14" s="19" t="s">
        <v>709</v>
      </c>
      <c r="B14" s="17">
        <v>6</v>
      </c>
    </row>
    <row r="15" spans="1:2">
      <c r="A15" s="19" t="s">
        <v>708</v>
      </c>
      <c r="B15" s="17">
        <v>17.333333333333332</v>
      </c>
    </row>
    <row r="16" spans="1:2">
      <c r="A16" s="19" t="s">
        <v>707</v>
      </c>
      <c r="B16" s="17">
        <v>21</v>
      </c>
    </row>
    <row r="17" spans="1:2">
      <c r="A17" s="12" t="s">
        <v>664</v>
      </c>
      <c r="B17" s="17">
        <v>15.153846153846153</v>
      </c>
    </row>
    <row r="18" spans="1:2">
      <c r="A18" s="19" t="s">
        <v>711</v>
      </c>
      <c r="B18" s="17">
        <v>11</v>
      </c>
    </row>
    <row r="19" spans="1:2">
      <c r="A19" s="19" t="s">
        <v>710</v>
      </c>
      <c r="B19" s="17">
        <v>16.75</v>
      </c>
    </row>
    <row r="20" spans="1:2">
      <c r="A20" s="19" t="s">
        <v>709</v>
      </c>
      <c r="B20" s="17">
        <v>18.5</v>
      </c>
    </row>
    <row r="21" spans="1:2">
      <c r="A21" s="19" t="s">
        <v>708</v>
      </c>
      <c r="B21" s="17">
        <v>1</v>
      </c>
    </row>
    <row r="22" spans="1:2">
      <c r="A22" s="19" t="s">
        <v>707</v>
      </c>
      <c r="B22" s="17">
        <v>19.666666666666668</v>
      </c>
    </row>
    <row r="23" spans="1:2">
      <c r="A23" s="12" t="s">
        <v>678</v>
      </c>
      <c r="B23" s="17">
        <v>11.727272727272727</v>
      </c>
    </row>
    <row r="24" spans="1:2">
      <c r="A24" s="19" t="s">
        <v>711</v>
      </c>
      <c r="B24" s="17">
        <v>7.5</v>
      </c>
    </row>
    <row r="25" spans="1:2">
      <c r="A25" s="19" t="s">
        <v>709</v>
      </c>
      <c r="B25" s="17">
        <v>11.666666666666666</v>
      </c>
    </row>
    <row r="26" spans="1:2">
      <c r="A26" s="19" t="s">
        <v>708</v>
      </c>
      <c r="B26" s="17">
        <v>13.666666666666666</v>
      </c>
    </row>
    <row r="27" spans="1:2">
      <c r="A27" s="19" t="s">
        <v>707</v>
      </c>
      <c r="B27" s="17">
        <v>23</v>
      </c>
    </row>
    <row r="28" spans="1:2">
      <c r="A28" s="11" t="s">
        <v>651</v>
      </c>
      <c r="B28" s="17">
        <v>11.204545454545455</v>
      </c>
    </row>
    <row r="29" spans="1:2">
      <c r="A29" s="12" t="s">
        <v>669</v>
      </c>
      <c r="B29" s="17">
        <v>13.692307692307692</v>
      </c>
    </row>
    <row r="30" spans="1:2">
      <c r="A30" s="19" t="s">
        <v>711</v>
      </c>
      <c r="B30" s="17">
        <v>21</v>
      </c>
    </row>
    <row r="31" spans="1:2">
      <c r="A31" s="19" t="s">
        <v>710</v>
      </c>
      <c r="B31" s="17">
        <v>19.333333333333332</v>
      </c>
    </row>
    <row r="32" spans="1:2">
      <c r="A32" s="19" t="s">
        <v>709</v>
      </c>
      <c r="B32" s="17">
        <v>17.8</v>
      </c>
    </row>
    <row r="33" spans="1:2">
      <c r="A33" s="19" t="s">
        <v>708</v>
      </c>
      <c r="B33" s="17">
        <v>2.5</v>
      </c>
    </row>
    <row r="34" spans="1:2">
      <c r="A34" s="12" t="s">
        <v>665</v>
      </c>
      <c r="B34" s="17">
        <v>9.8333333333333339</v>
      </c>
    </row>
    <row r="35" spans="1:2">
      <c r="A35" s="19" t="s">
        <v>711</v>
      </c>
      <c r="B35" s="17">
        <v>8.6666666666666661</v>
      </c>
    </row>
    <row r="36" spans="1:2">
      <c r="A36" s="19" t="s">
        <v>710</v>
      </c>
      <c r="B36" s="17">
        <v>12.75</v>
      </c>
    </row>
    <row r="37" spans="1:2">
      <c r="A37" s="19" t="s">
        <v>709</v>
      </c>
      <c r="B37" s="17">
        <v>4</v>
      </c>
    </row>
    <row r="38" spans="1:2">
      <c r="A38" s="19" t="s">
        <v>708</v>
      </c>
      <c r="B38" s="17">
        <v>14</v>
      </c>
    </row>
    <row r="39" spans="1:2">
      <c r="A39" s="19" t="s">
        <v>707</v>
      </c>
      <c r="B39" s="17">
        <v>4.5</v>
      </c>
    </row>
    <row r="40" spans="1:2">
      <c r="A40" s="12" t="s">
        <v>663</v>
      </c>
      <c r="B40" s="17">
        <v>10.368421052631579</v>
      </c>
    </row>
    <row r="41" spans="1:2">
      <c r="A41" s="19" t="s">
        <v>711</v>
      </c>
      <c r="B41" s="17">
        <v>7.666666666666667</v>
      </c>
    </row>
    <row r="42" spans="1:2">
      <c r="A42" s="19" t="s">
        <v>710</v>
      </c>
      <c r="B42" s="17">
        <v>13.666666666666666</v>
      </c>
    </row>
    <row r="43" spans="1:2">
      <c r="A43" s="19" t="s">
        <v>709</v>
      </c>
      <c r="B43" s="17">
        <v>12.125</v>
      </c>
    </row>
    <row r="44" spans="1:2">
      <c r="A44" s="19" t="s">
        <v>708</v>
      </c>
      <c r="B44" s="17">
        <v>10.333333333333334</v>
      </c>
    </row>
    <row r="45" spans="1:2">
      <c r="A45" s="19" t="s">
        <v>707</v>
      </c>
      <c r="B45" s="17">
        <v>2.5</v>
      </c>
    </row>
    <row r="46" spans="1:2">
      <c r="A46" s="11" t="s">
        <v>661</v>
      </c>
      <c r="B46" s="17">
        <v>13.066666666666666</v>
      </c>
    </row>
    <row r="47" spans="1:2">
      <c r="A47" s="12" t="s">
        <v>695</v>
      </c>
      <c r="B47" s="17">
        <v>10.461538461538462</v>
      </c>
    </row>
    <row r="48" spans="1:2">
      <c r="A48" s="19" t="s">
        <v>711</v>
      </c>
      <c r="B48" s="17">
        <v>6.4</v>
      </c>
    </row>
    <row r="49" spans="1:2">
      <c r="A49" s="19" t="s">
        <v>710</v>
      </c>
      <c r="B49" s="17">
        <v>12</v>
      </c>
    </row>
    <row r="50" spans="1:2">
      <c r="A50" s="19" t="s">
        <v>709</v>
      </c>
      <c r="B50" s="17">
        <v>11.666666666666666</v>
      </c>
    </row>
    <row r="51" spans="1:2">
      <c r="A51" s="19" t="s">
        <v>708</v>
      </c>
      <c r="B51" s="17">
        <v>16.5</v>
      </c>
    </row>
    <row r="52" spans="1:2">
      <c r="A52" s="12" t="s">
        <v>687</v>
      </c>
      <c r="B52" s="17">
        <v>15.411764705882353</v>
      </c>
    </row>
    <row r="53" spans="1:2">
      <c r="A53" s="19" t="s">
        <v>710</v>
      </c>
      <c r="B53" s="17">
        <v>11.285714285714286</v>
      </c>
    </row>
    <row r="54" spans="1:2">
      <c r="A54" s="19" t="s">
        <v>709</v>
      </c>
      <c r="B54" s="17">
        <v>16.8</v>
      </c>
    </row>
    <row r="55" spans="1:2">
      <c r="A55" s="19" t="s">
        <v>708</v>
      </c>
      <c r="B55" s="17">
        <v>15.5</v>
      </c>
    </row>
    <row r="56" spans="1:2">
      <c r="A56" s="19" t="s">
        <v>707</v>
      </c>
      <c r="B56" s="17">
        <v>22.666666666666668</v>
      </c>
    </row>
    <row r="57" spans="1:2">
      <c r="A57" s="12" t="s">
        <v>682</v>
      </c>
      <c r="B57" s="17">
        <v>12.666666666666666</v>
      </c>
    </row>
    <row r="58" spans="1:2">
      <c r="A58" s="19" t="s">
        <v>711</v>
      </c>
      <c r="B58" s="17">
        <v>15</v>
      </c>
    </row>
    <row r="59" spans="1:2">
      <c r="A59" s="19" t="s">
        <v>710</v>
      </c>
      <c r="B59" s="17">
        <v>11.333333333333334</v>
      </c>
    </row>
    <row r="60" spans="1:2">
      <c r="A60" s="19" t="s">
        <v>709</v>
      </c>
      <c r="B60" s="17">
        <v>16.666666666666668</v>
      </c>
    </row>
    <row r="61" spans="1:2">
      <c r="A61" s="19" t="s">
        <v>708</v>
      </c>
      <c r="B61" s="17">
        <v>6</v>
      </c>
    </row>
    <row r="62" spans="1:2">
      <c r="A62" s="19" t="s">
        <v>707</v>
      </c>
      <c r="B62" s="17">
        <v>12.75</v>
      </c>
    </row>
    <row r="63" spans="1:2">
      <c r="A63" s="10" t="s">
        <v>648</v>
      </c>
      <c r="B63" s="17">
        <v>13.592356687898089</v>
      </c>
    </row>
    <row r="64" spans="1:2">
      <c r="A64" s="11" t="s">
        <v>655</v>
      </c>
      <c r="B64" s="17">
        <v>13.46774193548387</v>
      </c>
    </row>
    <row r="65" spans="1:2">
      <c r="A65" s="12" t="s">
        <v>672</v>
      </c>
      <c r="B65" s="17">
        <v>15.807692307692308</v>
      </c>
    </row>
    <row r="66" spans="1:2">
      <c r="A66" s="19" t="s">
        <v>711</v>
      </c>
      <c r="B66" s="17">
        <v>11.875</v>
      </c>
    </row>
    <row r="67" spans="1:2">
      <c r="A67" s="19" t="s">
        <v>710</v>
      </c>
      <c r="B67" s="17">
        <v>10.8</v>
      </c>
    </row>
    <row r="68" spans="1:2">
      <c r="A68" s="19" t="s">
        <v>709</v>
      </c>
      <c r="B68" s="17">
        <v>18.5</v>
      </c>
    </row>
    <row r="69" spans="1:2">
      <c r="A69" s="19" t="s">
        <v>708</v>
      </c>
      <c r="B69" s="17">
        <v>20.333333333333332</v>
      </c>
    </row>
    <row r="70" spans="1:2">
      <c r="A70" s="19" t="s">
        <v>707</v>
      </c>
      <c r="B70" s="17">
        <v>22.5</v>
      </c>
    </row>
    <row r="71" spans="1:2">
      <c r="A71" s="12" t="s">
        <v>692</v>
      </c>
      <c r="B71" s="17">
        <v>12.611111111111111</v>
      </c>
    </row>
    <row r="72" spans="1:2">
      <c r="A72" s="19" t="s">
        <v>711</v>
      </c>
      <c r="B72" s="17">
        <v>4</v>
      </c>
    </row>
    <row r="73" spans="1:2">
      <c r="A73" s="19" t="s">
        <v>710</v>
      </c>
      <c r="B73" s="17">
        <v>9.6666666666666661</v>
      </c>
    </row>
    <row r="74" spans="1:2">
      <c r="A74" s="19" t="s">
        <v>709</v>
      </c>
      <c r="B74" s="17">
        <v>18.5</v>
      </c>
    </row>
    <row r="75" spans="1:2">
      <c r="A75" s="19" t="s">
        <v>708</v>
      </c>
      <c r="B75" s="17">
        <v>23</v>
      </c>
    </row>
    <row r="76" spans="1:2">
      <c r="A76" s="19" t="s">
        <v>707</v>
      </c>
      <c r="B76" s="17">
        <v>12.666666666666666</v>
      </c>
    </row>
    <row r="77" spans="1:2">
      <c r="A77" s="12" t="s">
        <v>670</v>
      </c>
      <c r="B77" s="17">
        <v>10.944444444444445</v>
      </c>
    </row>
    <row r="78" spans="1:2">
      <c r="A78" s="19" t="s">
        <v>711</v>
      </c>
      <c r="B78" s="17">
        <v>12.555555555555555</v>
      </c>
    </row>
    <row r="79" spans="1:2">
      <c r="A79" s="19" t="s">
        <v>710</v>
      </c>
      <c r="B79" s="17">
        <v>6.75</v>
      </c>
    </row>
    <row r="80" spans="1:2">
      <c r="A80" s="19" t="s">
        <v>709</v>
      </c>
      <c r="B80" s="17">
        <v>2</v>
      </c>
    </row>
    <row r="81" spans="1:2">
      <c r="A81" s="19" t="s">
        <v>708</v>
      </c>
      <c r="B81" s="17">
        <v>13.75</v>
      </c>
    </row>
    <row r="82" spans="1:2">
      <c r="A82" s="11" t="s">
        <v>653</v>
      </c>
      <c r="B82" s="17">
        <v>14.931818181818182</v>
      </c>
    </row>
    <row r="83" spans="1:2">
      <c r="A83" s="12" t="s">
        <v>681</v>
      </c>
      <c r="B83" s="17">
        <v>20.181818181818183</v>
      </c>
    </row>
    <row r="84" spans="1:2">
      <c r="A84" s="19" t="s">
        <v>711</v>
      </c>
      <c r="B84" s="17">
        <v>19.333333333333332</v>
      </c>
    </row>
    <row r="85" spans="1:2">
      <c r="A85" s="19" t="s">
        <v>710</v>
      </c>
      <c r="B85" s="17">
        <v>19.2</v>
      </c>
    </row>
    <row r="86" spans="1:2">
      <c r="A86" s="19" t="s">
        <v>708</v>
      </c>
      <c r="B86" s="17">
        <v>25.5</v>
      </c>
    </row>
    <row r="87" spans="1:2">
      <c r="A87" s="19" t="s">
        <v>707</v>
      </c>
      <c r="B87" s="17">
        <v>17</v>
      </c>
    </row>
    <row r="88" spans="1:2">
      <c r="A88" s="12" t="s">
        <v>667</v>
      </c>
      <c r="B88" s="17">
        <v>11.4</v>
      </c>
    </row>
    <row r="89" spans="1:2">
      <c r="A89" s="19" t="s">
        <v>711</v>
      </c>
      <c r="B89" s="17">
        <v>22.5</v>
      </c>
    </row>
    <row r="90" spans="1:2">
      <c r="A90" s="19" t="s">
        <v>710</v>
      </c>
      <c r="B90" s="17">
        <v>11.666666666666666</v>
      </c>
    </row>
    <row r="91" spans="1:2">
      <c r="A91" s="19" t="s">
        <v>709</v>
      </c>
      <c r="B91" s="17">
        <v>14</v>
      </c>
    </row>
    <row r="92" spans="1:2">
      <c r="A92" s="19" t="s">
        <v>708</v>
      </c>
      <c r="B92" s="17">
        <v>9.5</v>
      </c>
    </row>
    <row r="93" spans="1:2">
      <c r="A93" s="19" t="s">
        <v>707</v>
      </c>
      <c r="B93" s="17">
        <v>3</v>
      </c>
    </row>
    <row r="94" spans="1:2">
      <c r="A94" s="12" t="s">
        <v>688</v>
      </c>
      <c r="B94" s="17">
        <v>14.666666666666666</v>
      </c>
    </row>
    <row r="95" spans="1:2">
      <c r="A95" s="19" t="s">
        <v>711</v>
      </c>
      <c r="B95" s="17">
        <v>13.5</v>
      </c>
    </row>
    <row r="96" spans="1:2">
      <c r="A96" s="19" t="s">
        <v>710</v>
      </c>
      <c r="B96" s="17">
        <v>6</v>
      </c>
    </row>
    <row r="97" spans="1:2">
      <c r="A97" s="19" t="s">
        <v>709</v>
      </c>
      <c r="B97" s="17">
        <v>14.75</v>
      </c>
    </row>
    <row r="98" spans="1:2">
      <c r="A98" s="19" t="s">
        <v>708</v>
      </c>
      <c r="B98" s="17">
        <v>18.166666666666668</v>
      </c>
    </row>
    <row r="99" spans="1:2">
      <c r="A99" s="19" t="s">
        <v>707</v>
      </c>
      <c r="B99" s="17">
        <v>24</v>
      </c>
    </row>
    <row r="100" spans="1:2">
      <c r="A100" s="11" t="s">
        <v>660</v>
      </c>
      <c r="B100" s="17">
        <v>12.588235294117647</v>
      </c>
    </row>
    <row r="101" spans="1:2">
      <c r="A101" s="12" t="s">
        <v>697</v>
      </c>
      <c r="B101" s="17">
        <v>14.357142857142858</v>
      </c>
    </row>
    <row r="102" spans="1:2">
      <c r="A102" s="19" t="s">
        <v>711</v>
      </c>
      <c r="B102" s="17">
        <v>13.5</v>
      </c>
    </row>
    <row r="103" spans="1:2">
      <c r="A103" s="19" t="s">
        <v>710</v>
      </c>
      <c r="B103" s="17">
        <v>12.8</v>
      </c>
    </row>
    <row r="104" spans="1:2">
      <c r="A104" s="19" t="s">
        <v>709</v>
      </c>
      <c r="B104" s="17">
        <v>28</v>
      </c>
    </row>
    <row r="105" spans="1:2">
      <c r="A105" s="19" t="s">
        <v>708</v>
      </c>
      <c r="B105" s="17">
        <v>14</v>
      </c>
    </row>
    <row r="106" spans="1:2">
      <c r="A106" s="19" t="s">
        <v>707</v>
      </c>
      <c r="B106" s="17">
        <v>13</v>
      </c>
    </row>
    <row r="107" spans="1:2">
      <c r="A107" s="12" t="s">
        <v>677</v>
      </c>
      <c r="B107" s="17">
        <v>9.875</v>
      </c>
    </row>
    <row r="108" spans="1:2">
      <c r="A108" s="19" t="s">
        <v>711</v>
      </c>
      <c r="B108" s="17">
        <v>6</v>
      </c>
    </row>
    <row r="109" spans="1:2">
      <c r="A109" s="19" t="s">
        <v>710</v>
      </c>
      <c r="B109" s="17">
        <v>13.5</v>
      </c>
    </row>
    <row r="110" spans="1:2">
      <c r="A110" s="19" t="s">
        <v>709</v>
      </c>
      <c r="B110" s="17">
        <v>6.666666666666667</v>
      </c>
    </row>
    <row r="111" spans="1:2">
      <c r="A111" s="19" t="s">
        <v>708</v>
      </c>
      <c r="B111" s="17">
        <v>21</v>
      </c>
    </row>
    <row r="112" spans="1:2">
      <c r="A112" s="19" t="s">
        <v>707</v>
      </c>
      <c r="B112" s="17">
        <v>5</v>
      </c>
    </row>
    <row r="113" spans="1:2">
      <c r="A113" s="12" t="s">
        <v>700</v>
      </c>
      <c r="B113" s="17">
        <v>13.615384615384615</v>
      </c>
    </row>
    <row r="114" spans="1:2">
      <c r="A114" s="19" t="s">
        <v>710</v>
      </c>
      <c r="B114" s="17">
        <v>11</v>
      </c>
    </row>
    <row r="115" spans="1:2">
      <c r="A115" s="19" t="s">
        <v>709</v>
      </c>
      <c r="B115" s="17">
        <v>10.8</v>
      </c>
    </row>
    <row r="116" spans="1:2">
      <c r="A116" s="19" t="s">
        <v>708</v>
      </c>
      <c r="B116" s="17">
        <v>12</v>
      </c>
    </row>
    <row r="117" spans="1:2">
      <c r="A117" s="19" t="s">
        <v>707</v>
      </c>
      <c r="B117" s="17">
        <v>19</v>
      </c>
    </row>
    <row r="118" spans="1:2">
      <c r="A118" s="12" t="s">
        <v>686</v>
      </c>
      <c r="B118" s="17">
        <v>11.5625</v>
      </c>
    </row>
    <row r="119" spans="1:2">
      <c r="A119" s="19" t="s">
        <v>711</v>
      </c>
      <c r="B119" s="17">
        <v>15</v>
      </c>
    </row>
    <row r="120" spans="1:2">
      <c r="A120" s="19" t="s">
        <v>710</v>
      </c>
      <c r="B120" s="17">
        <v>10.666666666666666</v>
      </c>
    </row>
    <row r="121" spans="1:2">
      <c r="A121" s="19" t="s">
        <v>709</v>
      </c>
      <c r="B121" s="17">
        <v>10.75</v>
      </c>
    </row>
    <row r="122" spans="1:2">
      <c r="A122" s="19" t="s">
        <v>708</v>
      </c>
      <c r="B122" s="17">
        <v>9.6666666666666661</v>
      </c>
    </row>
    <row r="123" spans="1:2">
      <c r="A123" s="19" t="s">
        <v>707</v>
      </c>
      <c r="B123" s="17">
        <v>10.5</v>
      </c>
    </row>
    <row r="124" spans="1:2">
      <c r="A124" s="10" t="s">
        <v>647</v>
      </c>
      <c r="B124" s="17">
        <v>15.157894736842104</v>
      </c>
    </row>
    <row r="125" spans="1:2">
      <c r="A125" s="11" t="s">
        <v>659</v>
      </c>
      <c r="B125" s="17">
        <v>16.274509803921568</v>
      </c>
    </row>
    <row r="126" spans="1:2">
      <c r="A126" s="12" t="s">
        <v>699</v>
      </c>
      <c r="B126" s="17">
        <v>11.6</v>
      </c>
    </row>
    <row r="127" spans="1:2">
      <c r="A127" s="19" t="s">
        <v>711</v>
      </c>
      <c r="B127" s="17">
        <v>18.5</v>
      </c>
    </row>
    <row r="128" spans="1:2">
      <c r="A128" s="19" t="s">
        <v>710</v>
      </c>
      <c r="B128" s="17">
        <v>13.4</v>
      </c>
    </row>
    <row r="129" spans="1:2">
      <c r="A129" s="19" t="s">
        <v>709</v>
      </c>
      <c r="B129" s="17">
        <v>16</v>
      </c>
    </row>
    <row r="130" spans="1:2">
      <c r="A130" s="19" t="s">
        <v>708</v>
      </c>
      <c r="B130" s="17">
        <v>9.5</v>
      </c>
    </row>
    <row r="131" spans="1:2">
      <c r="A131" s="19" t="s">
        <v>707</v>
      </c>
      <c r="B131" s="17">
        <v>5.333333333333333</v>
      </c>
    </row>
    <row r="132" spans="1:2">
      <c r="A132" s="12" t="s">
        <v>685</v>
      </c>
      <c r="B132" s="17">
        <v>16.25</v>
      </c>
    </row>
    <row r="133" spans="1:2">
      <c r="A133" s="19" t="s">
        <v>711</v>
      </c>
      <c r="B133" s="17">
        <v>13</v>
      </c>
    </row>
    <row r="134" spans="1:2">
      <c r="A134" s="19" t="s">
        <v>710</v>
      </c>
      <c r="B134" s="17">
        <v>18.666666666666668</v>
      </c>
    </row>
    <row r="135" spans="1:2">
      <c r="A135" s="19" t="s">
        <v>709</v>
      </c>
      <c r="B135" s="17">
        <v>15.5</v>
      </c>
    </row>
    <row r="136" spans="1:2">
      <c r="A136" s="19" t="s">
        <v>708</v>
      </c>
      <c r="B136" s="17">
        <v>25</v>
      </c>
    </row>
    <row r="137" spans="1:2">
      <c r="A137" s="19" t="s">
        <v>707</v>
      </c>
      <c r="B137" s="17">
        <v>13.333333333333334</v>
      </c>
    </row>
    <row r="138" spans="1:2">
      <c r="A138" s="12" t="s">
        <v>676</v>
      </c>
      <c r="B138" s="17">
        <v>20.6875</v>
      </c>
    </row>
    <row r="139" spans="1:2">
      <c r="A139" s="19" t="s">
        <v>711</v>
      </c>
      <c r="B139" s="17">
        <v>15.333333333333334</v>
      </c>
    </row>
    <row r="140" spans="1:2">
      <c r="A140" s="19" t="s">
        <v>710</v>
      </c>
      <c r="B140" s="17">
        <v>29</v>
      </c>
    </row>
    <row r="141" spans="1:2">
      <c r="A141" s="19" t="s">
        <v>709</v>
      </c>
      <c r="B141" s="17">
        <v>22</v>
      </c>
    </row>
    <row r="142" spans="1:2">
      <c r="A142" s="19" t="s">
        <v>708</v>
      </c>
      <c r="B142" s="17">
        <v>20.857142857142858</v>
      </c>
    </row>
    <row r="143" spans="1:2">
      <c r="A143" s="19" t="s">
        <v>707</v>
      </c>
      <c r="B143" s="17">
        <v>22</v>
      </c>
    </row>
    <row r="144" spans="1:2">
      <c r="A144" s="11" t="s">
        <v>654</v>
      </c>
      <c r="B144" s="17">
        <v>14.950819672131148</v>
      </c>
    </row>
    <row r="145" spans="1:2">
      <c r="A145" s="12" t="s">
        <v>668</v>
      </c>
      <c r="B145" s="17">
        <v>12.5625</v>
      </c>
    </row>
    <row r="146" spans="1:2">
      <c r="A146" s="19" t="s">
        <v>711</v>
      </c>
      <c r="B146" s="17">
        <v>10</v>
      </c>
    </row>
    <row r="147" spans="1:2">
      <c r="A147" s="19" t="s">
        <v>710</v>
      </c>
      <c r="B147" s="17">
        <v>12.666666666666666</v>
      </c>
    </row>
    <row r="148" spans="1:2">
      <c r="A148" s="19" t="s">
        <v>709</v>
      </c>
      <c r="B148" s="17">
        <v>19</v>
      </c>
    </row>
    <row r="149" spans="1:2">
      <c r="A149" s="19" t="s">
        <v>708</v>
      </c>
      <c r="B149" s="17">
        <v>8</v>
      </c>
    </row>
    <row r="150" spans="1:2">
      <c r="A150" s="19" t="s">
        <v>707</v>
      </c>
      <c r="B150" s="17">
        <v>14.75</v>
      </c>
    </row>
    <row r="151" spans="1:2">
      <c r="A151" s="12" t="s">
        <v>680</v>
      </c>
      <c r="B151" s="17">
        <v>14.8</v>
      </c>
    </row>
    <row r="152" spans="1:2">
      <c r="A152" s="19" t="s">
        <v>711</v>
      </c>
      <c r="B152" s="17">
        <v>17</v>
      </c>
    </row>
    <row r="153" spans="1:2">
      <c r="A153" s="19" t="s">
        <v>710</v>
      </c>
      <c r="B153" s="17">
        <v>8.5</v>
      </c>
    </row>
    <row r="154" spans="1:2">
      <c r="A154" s="19" t="s">
        <v>709</v>
      </c>
      <c r="B154" s="17">
        <v>18.625</v>
      </c>
    </row>
    <row r="155" spans="1:2">
      <c r="A155" s="19" t="s">
        <v>708</v>
      </c>
      <c r="B155" s="17">
        <v>21</v>
      </c>
    </row>
    <row r="156" spans="1:2">
      <c r="A156" s="19" t="s">
        <v>707</v>
      </c>
      <c r="B156" s="17">
        <v>10.666666666666666</v>
      </c>
    </row>
    <row r="157" spans="1:2">
      <c r="A157" s="12" t="s">
        <v>696</v>
      </c>
      <c r="B157" s="17">
        <v>17.714285714285715</v>
      </c>
    </row>
    <row r="158" spans="1:2">
      <c r="A158" s="19" t="s">
        <v>711</v>
      </c>
      <c r="B158" s="17">
        <v>17</v>
      </c>
    </row>
    <row r="159" spans="1:2">
      <c r="A159" s="19" t="s">
        <v>710</v>
      </c>
      <c r="B159" s="17">
        <v>16</v>
      </c>
    </row>
    <row r="160" spans="1:2">
      <c r="A160" s="19" t="s">
        <v>709</v>
      </c>
      <c r="B160" s="17">
        <v>14</v>
      </c>
    </row>
    <row r="161" spans="1:2">
      <c r="A161" s="19" t="s">
        <v>707</v>
      </c>
      <c r="B161" s="17">
        <v>19.25</v>
      </c>
    </row>
    <row r="162" spans="1:2">
      <c r="A162" s="12" t="s">
        <v>691</v>
      </c>
      <c r="B162" s="17">
        <v>16.692307692307693</v>
      </c>
    </row>
    <row r="163" spans="1:2">
      <c r="A163" s="19" t="s">
        <v>711</v>
      </c>
      <c r="B163" s="17">
        <v>11.5</v>
      </c>
    </row>
    <row r="164" spans="1:2">
      <c r="A164" s="19" t="s">
        <v>710</v>
      </c>
      <c r="B164" s="17">
        <v>16.5</v>
      </c>
    </row>
    <row r="165" spans="1:2">
      <c r="A165" s="19" t="s">
        <v>709</v>
      </c>
      <c r="B165" s="17">
        <v>19.600000000000001</v>
      </c>
    </row>
    <row r="166" spans="1:2">
      <c r="A166" s="19" t="s">
        <v>707</v>
      </c>
      <c r="B166" s="17">
        <v>15</v>
      </c>
    </row>
    <row r="167" spans="1:2">
      <c r="A167" s="11" t="s">
        <v>652</v>
      </c>
      <c r="B167" s="17">
        <v>14.40677966101695</v>
      </c>
    </row>
    <row r="168" spans="1:2">
      <c r="A168" s="12" t="s">
        <v>694</v>
      </c>
      <c r="B168" s="17">
        <v>16.428571428571427</v>
      </c>
    </row>
    <row r="169" spans="1:2">
      <c r="A169" s="19" t="s">
        <v>711</v>
      </c>
      <c r="B169" s="17">
        <v>16.285714285714285</v>
      </c>
    </row>
    <row r="170" spans="1:2">
      <c r="A170" s="19" t="s">
        <v>710</v>
      </c>
      <c r="B170" s="17">
        <v>15</v>
      </c>
    </row>
    <row r="171" spans="1:2">
      <c r="A171" s="19" t="s">
        <v>709</v>
      </c>
      <c r="B171" s="17">
        <v>13.571428571428571</v>
      </c>
    </row>
    <row r="172" spans="1:2">
      <c r="A172" s="19" t="s">
        <v>708</v>
      </c>
      <c r="B172" s="17">
        <v>17.25</v>
      </c>
    </row>
    <row r="173" spans="1:2">
      <c r="A173" s="19" t="s">
        <v>707</v>
      </c>
      <c r="B173" s="17">
        <v>26</v>
      </c>
    </row>
    <row r="174" spans="1:2">
      <c r="A174" s="12" t="s">
        <v>666</v>
      </c>
      <c r="B174" s="17">
        <v>14.45</v>
      </c>
    </row>
    <row r="175" spans="1:2">
      <c r="A175" s="19" t="s">
        <v>711</v>
      </c>
      <c r="B175" s="17">
        <v>14.4</v>
      </c>
    </row>
    <row r="176" spans="1:2">
      <c r="A176" s="19" t="s">
        <v>710</v>
      </c>
      <c r="B176" s="17">
        <v>14.833333333333334</v>
      </c>
    </row>
    <row r="177" spans="1:2">
      <c r="A177" s="19" t="s">
        <v>709</v>
      </c>
      <c r="B177" s="17">
        <v>11</v>
      </c>
    </row>
    <row r="178" spans="1:2">
      <c r="A178" s="19" t="s">
        <v>708</v>
      </c>
      <c r="B178" s="17">
        <v>11.333333333333334</v>
      </c>
    </row>
    <row r="179" spans="1:2">
      <c r="A179" s="19" t="s">
        <v>707</v>
      </c>
      <c r="B179" s="17">
        <v>18</v>
      </c>
    </row>
    <row r="180" spans="1:2">
      <c r="A180" s="12" t="s">
        <v>689</v>
      </c>
      <c r="B180" s="17">
        <v>12</v>
      </c>
    </row>
    <row r="181" spans="1:2">
      <c r="A181" s="19" t="s">
        <v>711</v>
      </c>
      <c r="B181" s="17">
        <v>15</v>
      </c>
    </row>
    <row r="182" spans="1:2">
      <c r="A182" s="19" t="s">
        <v>710</v>
      </c>
      <c r="B182" s="17">
        <v>11.166666666666666</v>
      </c>
    </row>
    <row r="183" spans="1:2">
      <c r="A183" s="19" t="s">
        <v>709</v>
      </c>
      <c r="B183" s="17">
        <v>8</v>
      </c>
    </row>
    <row r="184" spans="1:2">
      <c r="A184" s="19" t="s">
        <v>708</v>
      </c>
      <c r="B184" s="17">
        <v>19.25</v>
      </c>
    </row>
    <row r="185" spans="1:2">
      <c r="A185" s="19" t="s">
        <v>707</v>
      </c>
      <c r="B185" s="17">
        <v>8.3333333333333339</v>
      </c>
    </row>
    <row r="186" spans="1:2">
      <c r="A186" s="10" t="s">
        <v>649</v>
      </c>
      <c r="B186" s="17">
        <v>15.245283018867925</v>
      </c>
    </row>
    <row r="187" spans="1:2">
      <c r="A187" s="11" t="s">
        <v>657</v>
      </c>
      <c r="B187" s="17">
        <v>16.074074074074073</v>
      </c>
    </row>
    <row r="188" spans="1:2">
      <c r="A188" s="12" t="s">
        <v>679</v>
      </c>
      <c r="B188" s="17">
        <v>12.684210526315789</v>
      </c>
    </row>
    <row r="189" spans="1:2">
      <c r="A189" s="19" t="s">
        <v>711</v>
      </c>
      <c r="B189" s="17">
        <v>16.5</v>
      </c>
    </row>
    <row r="190" spans="1:2">
      <c r="A190" s="19" t="s">
        <v>710</v>
      </c>
      <c r="B190" s="17">
        <v>14.5</v>
      </c>
    </row>
    <row r="191" spans="1:2">
      <c r="A191" s="19" t="s">
        <v>709</v>
      </c>
      <c r="B191" s="17">
        <v>20</v>
      </c>
    </row>
    <row r="192" spans="1:2">
      <c r="A192" s="19" t="s">
        <v>708</v>
      </c>
      <c r="B192" s="17">
        <v>4.75</v>
      </c>
    </row>
    <row r="193" spans="1:2">
      <c r="A193" s="19" t="s">
        <v>707</v>
      </c>
      <c r="B193" s="17">
        <v>10.25</v>
      </c>
    </row>
    <row r="194" spans="1:2">
      <c r="A194" s="12" t="s">
        <v>673</v>
      </c>
      <c r="B194" s="17">
        <v>17.09090909090909</v>
      </c>
    </row>
    <row r="195" spans="1:2">
      <c r="A195" s="19" t="s">
        <v>711</v>
      </c>
      <c r="B195" s="17">
        <v>21.571428571428573</v>
      </c>
    </row>
    <row r="196" spans="1:2">
      <c r="A196" s="19" t="s">
        <v>710</v>
      </c>
      <c r="B196" s="17">
        <v>13</v>
      </c>
    </row>
    <row r="197" spans="1:2">
      <c r="A197" s="19" t="s">
        <v>709</v>
      </c>
      <c r="B197" s="17">
        <v>13.111111111111111</v>
      </c>
    </row>
    <row r="198" spans="1:2">
      <c r="A198" s="19" t="s">
        <v>708</v>
      </c>
      <c r="B198" s="17">
        <v>22</v>
      </c>
    </row>
    <row r="199" spans="1:2">
      <c r="A199" s="19" t="s">
        <v>707</v>
      </c>
      <c r="B199" s="17">
        <v>18</v>
      </c>
    </row>
    <row r="200" spans="1:2">
      <c r="A200" s="12" t="s">
        <v>690</v>
      </c>
      <c r="B200" s="17">
        <v>19.307692307692307</v>
      </c>
    </row>
    <row r="201" spans="1:2">
      <c r="A201" s="19" t="s">
        <v>711</v>
      </c>
      <c r="B201" s="17">
        <v>18</v>
      </c>
    </row>
    <row r="202" spans="1:2">
      <c r="A202" s="19" t="s">
        <v>710</v>
      </c>
      <c r="B202" s="17">
        <v>15.333333333333334</v>
      </c>
    </row>
    <row r="203" spans="1:2">
      <c r="A203" s="19" t="s">
        <v>709</v>
      </c>
      <c r="B203" s="17">
        <v>19.5</v>
      </c>
    </row>
    <row r="204" spans="1:2">
      <c r="A204" s="19" t="s">
        <v>708</v>
      </c>
      <c r="B204" s="17">
        <v>23.333333333333332</v>
      </c>
    </row>
    <row r="205" spans="1:2">
      <c r="A205" s="19" t="s">
        <v>707</v>
      </c>
      <c r="B205" s="17">
        <v>21</v>
      </c>
    </row>
    <row r="206" spans="1:2">
      <c r="A206" s="11" t="s">
        <v>656</v>
      </c>
      <c r="B206" s="17">
        <v>15.098039215686274</v>
      </c>
    </row>
    <row r="207" spans="1:2">
      <c r="A207" s="12" t="s">
        <v>671</v>
      </c>
      <c r="B207" s="17">
        <v>18.411764705882351</v>
      </c>
    </row>
    <row r="208" spans="1:2">
      <c r="A208" s="19" t="s">
        <v>711</v>
      </c>
      <c r="B208" s="17">
        <v>21.2</v>
      </c>
    </row>
    <row r="209" spans="1:2">
      <c r="A209" s="19" t="s">
        <v>710</v>
      </c>
      <c r="B209" s="17">
        <v>21</v>
      </c>
    </row>
    <row r="210" spans="1:2">
      <c r="A210" s="19" t="s">
        <v>709</v>
      </c>
      <c r="B210" s="17">
        <v>14.5</v>
      </c>
    </row>
    <row r="211" spans="1:2">
      <c r="A211" s="19" t="s">
        <v>708</v>
      </c>
      <c r="B211" s="17">
        <v>15</v>
      </c>
    </row>
    <row r="212" spans="1:2">
      <c r="A212" s="19" t="s">
        <v>707</v>
      </c>
      <c r="B212" s="17">
        <v>22.333333333333332</v>
      </c>
    </row>
    <row r="213" spans="1:2">
      <c r="A213" s="12" t="s">
        <v>698</v>
      </c>
      <c r="B213" s="17">
        <v>15.15</v>
      </c>
    </row>
    <row r="214" spans="1:2">
      <c r="A214" s="19" t="s">
        <v>711</v>
      </c>
      <c r="B214" s="17">
        <v>17.5</v>
      </c>
    </row>
    <row r="215" spans="1:2">
      <c r="A215" s="19" t="s">
        <v>710</v>
      </c>
      <c r="B215" s="17">
        <v>19.666666666666668</v>
      </c>
    </row>
    <row r="216" spans="1:2">
      <c r="A216" s="19" t="s">
        <v>709</v>
      </c>
      <c r="B216" s="17">
        <v>8.5</v>
      </c>
    </row>
    <row r="217" spans="1:2">
      <c r="A217" s="19" t="s">
        <v>708</v>
      </c>
      <c r="B217" s="17">
        <v>13</v>
      </c>
    </row>
    <row r="218" spans="1:2">
      <c r="A218" s="19" t="s">
        <v>707</v>
      </c>
      <c r="B218" s="17">
        <v>15.5</v>
      </c>
    </row>
    <row r="219" spans="1:2">
      <c r="A219" s="12" t="s">
        <v>684</v>
      </c>
      <c r="B219" s="17">
        <v>11</v>
      </c>
    </row>
    <row r="220" spans="1:2">
      <c r="A220" s="19" t="s">
        <v>711</v>
      </c>
      <c r="B220" s="17">
        <v>4.333333333333333</v>
      </c>
    </row>
    <row r="221" spans="1:2">
      <c r="A221" s="19" t="s">
        <v>710</v>
      </c>
      <c r="B221" s="17">
        <v>26</v>
      </c>
    </row>
    <row r="222" spans="1:2">
      <c r="A222" s="19" t="s">
        <v>709</v>
      </c>
      <c r="B222" s="17">
        <v>15.5</v>
      </c>
    </row>
    <row r="223" spans="1:2">
      <c r="A223" s="19" t="s">
        <v>708</v>
      </c>
      <c r="B223" s="17">
        <v>10.5</v>
      </c>
    </row>
    <row r="224" spans="1:2">
      <c r="A224" s="19" t="s">
        <v>707</v>
      </c>
      <c r="B224" s="17">
        <v>16.666666666666668</v>
      </c>
    </row>
    <row r="225" spans="1:2">
      <c r="A225" s="11" t="s">
        <v>658</v>
      </c>
      <c r="B225" s="17">
        <v>14.555555555555555</v>
      </c>
    </row>
    <row r="226" spans="1:2">
      <c r="A226" s="12" t="s">
        <v>674</v>
      </c>
      <c r="B226" s="17">
        <v>13.785714285714286</v>
      </c>
    </row>
    <row r="227" spans="1:2">
      <c r="A227" s="19" t="s">
        <v>711</v>
      </c>
      <c r="B227" s="17">
        <v>12.25</v>
      </c>
    </row>
    <row r="228" spans="1:2">
      <c r="A228" s="19" t="s">
        <v>709</v>
      </c>
      <c r="B228" s="17">
        <v>11.8</v>
      </c>
    </row>
    <row r="229" spans="1:2">
      <c r="A229" s="19" t="s">
        <v>708</v>
      </c>
      <c r="B229" s="17">
        <v>11.5</v>
      </c>
    </row>
    <row r="230" spans="1:2">
      <c r="A230" s="19" t="s">
        <v>707</v>
      </c>
      <c r="B230" s="17">
        <v>20.666666666666668</v>
      </c>
    </row>
    <row r="231" spans="1:2">
      <c r="A231" s="12" t="s">
        <v>683</v>
      </c>
      <c r="B231" s="17">
        <v>14</v>
      </c>
    </row>
    <row r="232" spans="1:2">
      <c r="A232" s="19" t="s">
        <v>711</v>
      </c>
      <c r="B232" s="17">
        <v>17.375</v>
      </c>
    </row>
    <row r="233" spans="1:2">
      <c r="A233" s="19" t="s">
        <v>710</v>
      </c>
      <c r="B233" s="17">
        <v>14.333333333333334</v>
      </c>
    </row>
    <row r="234" spans="1:2">
      <c r="A234" s="19" t="s">
        <v>709</v>
      </c>
      <c r="B234" s="17">
        <v>9.5</v>
      </c>
    </row>
    <row r="235" spans="1:2">
      <c r="A235" s="19" t="s">
        <v>708</v>
      </c>
      <c r="B235" s="17">
        <v>8</v>
      </c>
    </row>
    <row r="236" spans="1:2">
      <c r="A236" s="19" t="s">
        <v>707</v>
      </c>
      <c r="B236" s="17">
        <v>13.8</v>
      </c>
    </row>
    <row r="237" spans="1:2">
      <c r="A237" s="12" t="s">
        <v>693</v>
      </c>
      <c r="B237" s="17">
        <v>15.736842105263158</v>
      </c>
    </row>
    <row r="238" spans="1:2">
      <c r="A238" s="19" t="s">
        <v>711</v>
      </c>
      <c r="B238" s="17">
        <v>15.4</v>
      </c>
    </row>
    <row r="239" spans="1:2">
      <c r="A239" s="19" t="s">
        <v>710</v>
      </c>
      <c r="B239" s="17">
        <v>15.6</v>
      </c>
    </row>
    <row r="240" spans="1:2">
      <c r="A240" s="19" t="s">
        <v>709</v>
      </c>
      <c r="B240" s="17">
        <v>8</v>
      </c>
    </row>
    <row r="241" spans="1:2">
      <c r="A241" s="19" t="s">
        <v>708</v>
      </c>
      <c r="B241" s="17">
        <v>16.5</v>
      </c>
    </row>
    <row r="242" spans="1:2">
      <c r="A242" s="19" t="s">
        <v>707</v>
      </c>
      <c r="B242" s="17">
        <v>20.666666666666668</v>
      </c>
    </row>
    <row r="243" spans="1:2">
      <c r="A243" s="10" t="s">
        <v>1424</v>
      </c>
      <c r="B243" s="17">
        <v>14.262658227848101</v>
      </c>
    </row>
  </sheetData>
  <pageMargins left="0.7" right="0.7" top="0.75" bottom="0.75" header="0.3" footer="0.3"/>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9A05D02-4A25-40DB-BDFF-DA53850515FB}">
  <dimension ref="A3:D29"/>
  <sheetViews>
    <sheetView topLeftCell="A3" zoomScale="85" zoomScaleNormal="85" workbookViewId="0">
      <selection activeCell="F20" sqref="F20"/>
    </sheetView>
  </sheetViews>
  <sheetFormatPr defaultRowHeight="15"/>
  <cols>
    <col min="1" max="1" width="20.7109375" bestFit="1" customWidth="1"/>
    <col min="2" max="2" width="16.28515625" bestFit="1" customWidth="1"/>
    <col min="3" max="6" width="9.7109375" bestFit="1" customWidth="1"/>
    <col min="7" max="7" width="8.7109375" bestFit="1" customWidth="1"/>
    <col min="8" max="8" width="9.7109375" bestFit="1" customWidth="1"/>
    <col min="9" max="13" width="8.7109375" bestFit="1" customWidth="1"/>
    <col min="14" max="14" width="9.85546875" bestFit="1" customWidth="1"/>
    <col min="15" max="16" width="9.7109375" bestFit="1" customWidth="1"/>
    <col min="17" max="26" width="9" bestFit="1" customWidth="1"/>
    <col min="27" max="39" width="9.28515625" bestFit="1" customWidth="1"/>
    <col min="40" max="53" width="8.85546875" bestFit="1" customWidth="1"/>
    <col min="54" max="68" width="9.5703125" bestFit="1" customWidth="1"/>
    <col min="69" max="82" width="8.7109375" bestFit="1" customWidth="1"/>
    <col min="83" max="83" width="9.5703125" bestFit="1" customWidth="1"/>
    <col min="84" max="84" width="8.140625" bestFit="1" customWidth="1"/>
    <col min="85" max="88" width="8.5703125" bestFit="1" customWidth="1"/>
    <col min="89" max="89" width="8.140625" bestFit="1" customWidth="1"/>
    <col min="90" max="96" width="8.5703125" bestFit="1" customWidth="1"/>
    <col min="97" max="97" width="8.140625" bestFit="1" customWidth="1"/>
    <col min="98" max="99" width="8.5703125" bestFit="1" customWidth="1"/>
    <col min="117" max="125" width="9" bestFit="1" customWidth="1"/>
    <col min="126" max="139" width="8.7109375" bestFit="1" customWidth="1"/>
    <col min="140" max="146" width="9.28515625" bestFit="1" customWidth="1"/>
    <col min="147" max="163" width="9" bestFit="1" customWidth="1"/>
    <col min="164" max="177" width="8.5703125" bestFit="1" customWidth="1"/>
    <col min="178" max="191" width="9" bestFit="1" customWidth="1"/>
    <col min="192" max="209" width="9.28515625" bestFit="1" customWidth="1"/>
    <col min="210" max="222" width="8.85546875" bestFit="1" customWidth="1"/>
    <col min="223" max="239" width="9.5703125" bestFit="1" customWidth="1"/>
    <col min="240" max="250" width="8.7109375" bestFit="1" customWidth="1"/>
    <col min="251" max="251" width="9.5703125" bestFit="1" customWidth="1"/>
    <col min="252" max="256" width="8.7109375" bestFit="1" customWidth="1"/>
    <col min="257" max="261" width="8.5703125" bestFit="1" customWidth="1"/>
    <col min="262" max="263" width="8.140625" bestFit="1" customWidth="1"/>
    <col min="264" max="264" width="9.5703125" bestFit="1" customWidth="1"/>
    <col min="265" max="266" width="8.5703125" bestFit="1" customWidth="1"/>
    <col min="267" max="267" width="8.140625" bestFit="1" customWidth="1"/>
    <col min="285" max="297" width="9" bestFit="1" customWidth="1"/>
    <col min="298" max="316" width="8.7109375" bestFit="1" customWidth="1"/>
    <col min="317" max="332" width="9.28515625" bestFit="1" customWidth="1"/>
    <col min="333" max="348" width="9" bestFit="1" customWidth="1"/>
    <col min="349" max="362" width="8.5703125" bestFit="1" customWidth="1"/>
    <col min="363" max="375" width="9" bestFit="1" customWidth="1"/>
    <col min="376" max="389" width="9.28515625" bestFit="1" customWidth="1"/>
    <col min="390" max="406" width="8.85546875" bestFit="1" customWidth="1"/>
    <col min="407" max="419" width="9.5703125" bestFit="1" customWidth="1"/>
    <col min="420" max="433" width="8.7109375" bestFit="1" customWidth="1"/>
    <col min="434" max="434" width="9.5703125" bestFit="1" customWidth="1"/>
    <col min="435" max="435" width="8.140625" bestFit="1" customWidth="1"/>
    <col min="436" max="436" width="8.5703125" bestFit="1" customWidth="1"/>
    <col min="437" max="437" width="8.140625" bestFit="1" customWidth="1"/>
    <col min="438" max="438" width="8.5703125" bestFit="1" customWidth="1"/>
    <col min="439" max="439" width="9.5703125" bestFit="1" customWidth="1"/>
    <col min="440" max="442" width="8.5703125" bestFit="1" customWidth="1"/>
    <col min="443" max="443" width="8.140625" bestFit="1" customWidth="1"/>
    <col min="444" max="444" width="8.5703125" bestFit="1" customWidth="1"/>
    <col min="445" max="446" width="8.140625" bestFit="1" customWidth="1"/>
    <col min="462" max="469" width="9" bestFit="1" customWidth="1"/>
    <col min="470" max="470" width="11.5703125" bestFit="1" customWidth="1"/>
  </cols>
  <sheetData>
    <row r="3" spans="1:4">
      <c r="A3" s="9" t="s">
        <v>1456</v>
      </c>
      <c r="B3" s="9" t="s">
        <v>1428</v>
      </c>
    </row>
    <row r="4" spans="1:4">
      <c r="B4" t="s">
        <v>1453</v>
      </c>
      <c r="C4" t="s">
        <v>1454</v>
      </c>
      <c r="D4" t="s">
        <v>1455</v>
      </c>
    </row>
    <row r="6" spans="1:4">
      <c r="A6" s="9" t="s">
        <v>1423</v>
      </c>
    </row>
    <row r="7" spans="1:4">
      <c r="A7" s="32">
        <v>44928</v>
      </c>
      <c r="B7" s="8">
        <v>249507.26559999993</v>
      </c>
      <c r="C7" s="8">
        <v>356412.15492999996</v>
      </c>
      <c r="D7" s="8">
        <v>276703.55801000004</v>
      </c>
    </row>
    <row r="8" spans="1:4">
      <c r="A8" s="11" t="s">
        <v>653</v>
      </c>
      <c r="B8" s="8">
        <v>249507.26559999993</v>
      </c>
      <c r="C8" s="8">
        <v>356412.15492999996</v>
      </c>
      <c r="D8" s="8">
        <v>276703.55801000004</v>
      </c>
    </row>
    <row r="9" spans="1:4">
      <c r="A9" s="32">
        <v>44933</v>
      </c>
      <c r="B9" s="8">
        <v>365913.61102975998</v>
      </c>
      <c r="C9" s="8">
        <v>191518.50866999998</v>
      </c>
      <c r="D9" s="8">
        <v>223717.69146999999</v>
      </c>
    </row>
    <row r="10" spans="1:4">
      <c r="A10" s="11" t="s">
        <v>661</v>
      </c>
      <c r="B10" s="8">
        <v>365913.61102975998</v>
      </c>
      <c r="C10" s="8">
        <v>191518.50866999998</v>
      </c>
      <c r="D10" s="8">
        <v>223717.69146999999</v>
      </c>
    </row>
    <row r="11" spans="1:4">
      <c r="A11" s="32">
        <v>44936</v>
      </c>
      <c r="B11" s="8">
        <v>269344.22398999997</v>
      </c>
      <c r="C11" s="8">
        <v>332686.45244000002</v>
      </c>
      <c r="D11" s="8">
        <v>155704.26846000005</v>
      </c>
    </row>
    <row r="12" spans="1:4">
      <c r="A12" s="11" t="s">
        <v>657</v>
      </c>
      <c r="B12" s="8">
        <v>269344.22398999997</v>
      </c>
      <c r="C12" s="8">
        <v>332686.45244000002</v>
      </c>
      <c r="D12" s="8">
        <v>155704.26846000005</v>
      </c>
    </row>
    <row r="13" spans="1:4">
      <c r="A13" s="32">
        <v>44938</v>
      </c>
      <c r="B13" s="8">
        <v>296031.05172616005</v>
      </c>
      <c r="C13" s="8">
        <v>431317.10412000003</v>
      </c>
      <c r="D13" s="8">
        <v>185274.02541</v>
      </c>
    </row>
    <row r="14" spans="1:4">
      <c r="A14" s="11" t="s">
        <v>659</v>
      </c>
      <c r="B14" s="8">
        <v>296031.05172616005</v>
      </c>
      <c r="C14" s="8">
        <v>431317.10412000003</v>
      </c>
      <c r="D14" s="8">
        <v>185274.02541</v>
      </c>
    </row>
    <row r="15" spans="1:4">
      <c r="A15" s="32">
        <v>44939</v>
      </c>
      <c r="B15" s="8">
        <v>288079.88713000005</v>
      </c>
      <c r="C15" s="8">
        <v>396688.46359</v>
      </c>
      <c r="D15" s="8">
        <v>83926.23685999999</v>
      </c>
    </row>
    <row r="16" spans="1:4">
      <c r="A16" s="11" t="s">
        <v>660</v>
      </c>
      <c r="B16" s="8">
        <v>288079.88713000005</v>
      </c>
      <c r="C16" s="8">
        <v>396688.46359</v>
      </c>
      <c r="D16" s="8">
        <v>83926.23685999999</v>
      </c>
    </row>
    <row r="17" spans="1:4">
      <c r="A17" s="32">
        <v>44941</v>
      </c>
      <c r="B17" s="8">
        <v>263244.54461999994</v>
      </c>
      <c r="C17" s="8">
        <v>276445.19975999999</v>
      </c>
      <c r="D17" s="8">
        <v>342148.93253000005</v>
      </c>
    </row>
    <row r="18" spans="1:4">
      <c r="A18" s="11" t="s">
        <v>651</v>
      </c>
      <c r="B18" s="8">
        <v>263244.54461999994</v>
      </c>
      <c r="C18" s="8">
        <v>276445.19975999999</v>
      </c>
      <c r="D18" s="8">
        <v>342148.93253000005</v>
      </c>
    </row>
    <row r="19" spans="1:4">
      <c r="A19" s="32">
        <v>44945</v>
      </c>
      <c r="B19" s="8">
        <v>276400.40976000001</v>
      </c>
      <c r="C19" s="8">
        <v>506208.72295999998</v>
      </c>
      <c r="D19" s="8">
        <v>328980.30410000001</v>
      </c>
    </row>
    <row r="20" spans="1:4">
      <c r="A20" s="11" t="s">
        <v>658</v>
      </c>
      <c r="B20" s="8">
        <v>276400.40976000001</v>
      </c>
      <c r="C20" s="8">
        <v>506208.72295999998</v>
      </c>
      <c r="D20" s="8">
        <v>328980.30410000001</v>
      </c>
    </row>
    <row r="21" spans="1:4">
      <c r="A21" s="32">
        <v>44946</v>
      </c>
      <c r="B21" s="8">
        <v>256981.30357838402</v>
      </c>
      <c r="C21" s="8">
        <v>558465.29945279995</v>
      </c>
      <c r="D21" s="8">
        <v>146533.28188000002</v>
      </c>
    </row>
    <row r="22" spans="1:4">
      <c r="A22" s="11" t="s">
        <v>650</v>
      </c>
      <c r="B22" s="8">
        <v>256981.30357838402</v>
      </c>
      <c r="C22" s="8">
        <v>558465.29945279995</v>
      </c>
      <c r="D22" s="8">
        <v>146533.28188000002</v>
      </c>
    </row>
    <row r="23" spans="1:4">
      <c r="A23" s="32">
        <v>44948</v>
      </c>
      <c r="B23" s="8">
        <v>369878.67229000002</v>
      </c>
      <c r="C23" s="8">
        <v>383309.25282000011</v>
      </c>
      <c r="D23" s="8">
        <v>176236.96311000001</v>
      </c>
    </row>
    <row r="24" spans="1:4">
      <c r="A24" s="11" t="s">
        <v>656</v>
      </c>
      <c r="B24" s="8">
        <v>369878.67229000002</v>
      </c>
      <c r="C24" s="8">
        <v>383309.25282000011</v>
      </c>
      <c r="D24" s="8">
        <v>176236.96311000001</v>
      </c>
    </row>
    <row r="25" spans="1:4">
      <c r="A25" s="32">
        <v>44955</v>
      </c>
      <c r="B25" s="8">
        <v>892100.48256000003</v>
      </c>
      <c r="C25" s="8">
        <v>676815.25415068795</v>
      </c>
      <c r="D25" s="8">
        <v>568208.55153136002</v>
      </c>
    </row>
    <row r="26" spans="1:4">
      <c r="A26" s="11" t="s">
        <v>655</v>
      </c>
      <c r="B26" s="8">
        <v>377332.38418000005</v>
      </c>
      <c r="C26" s="8">
        <v>306190.48611</v>
      </c>
      <c r="D26" s="8">
        <v>356075.56920135999</v>
      </c>
    </row>
    <row r="27" spans="1:4">
      <c r="A27" s="11" t="s">
        <v>654</v>
      </c>
      <c r="B27" s="8">
        <v>514768.09837999998</v>
      </c>
      <c r="C27" s="8">
        <v>370624.76804068795</v>
      </c>
      <c r="D27" s="8">
        <v>212132.98233000003</v>
      </c>
    </row>
    <row r="28" spans="1:4">
      <c r="A28" s="32">
        <v>44988</v>
      </c>
      <c r="B28" s="8">
        <v>196462.92158999998</v>
      </c>
      <c r="C28" s="8">
        <v>370401.94354999997</v>
      </c>
      <c r="D28" s="8">
        <v>291670.48257270397</v>
      </c>
    </row>
    <row r="29" spans="1:4">
      <c r="A29" s="11" t="s">
        <v>652</v>
      </c>
      <c r="B29" s="8">
        <v>196462.92158999998</v>
      </c>
      <c r="C29" s="8">
        <v>370401.94354999997</v>
      </c>
      <c r="D29" s="8">
        <v>291670.48257270397</v>
      </c>
    </row>
  </sheetData>
  <pageMargins left="0.7" right="0.7" top="0.75" bottom="0.75" header="0.3" footer="0.3"/>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C7FE2D6-9BD8-431B-BEDE-A6E4C95C91EE}">
  <dimension ref="A3:D641"/>
  <sheetViews>
    <sheetView workbookViewId="0">
      <selection activeCell="C3" sqref="C3"/>
    </sheetView>
  </sheetViews>
  <sheetFormatPr defaultRowHeight="15"/>
  <cols>
    <col min="1" max="1" width="14.140625" bestFit="1" customWidth="1"/>
    <col min="2" max="2" width="20.7109375" bestFit="1" customWidth="1"/>
    <col min="3" max="3" width="21.85546875" bestFit="1" customWidth="1"/>
    <col min="4" max="4" width="12.28515625" bestFit="1" customWidth="1"/>
    <col min="5" max="5" width="10.5703125" bestFit="1" customWidth="1"/>
    <col min="6" max="6" width="11.42578125" bestFit="1" customWidth="1"/>
    <col min="7" max="8" width="10.5703125" bestFit="1" customWidth="1"/>
    <col min="9" max="9" width="11.5703125" bestFit="1" customWidth="1"/>
  </cols>
  <sheetData>
    <row r="3" spans="1:4">
      <c r="A3" s="9" t="s">
        <v>1423</v>
      </c>
      <c r="B3" t="s">
        <v>1456</v>
      </c>
      <c r="C3" t="s">
        <v>1460</v>
      </c>
      <c r="D3" s="26" t="s">
        <v>1459</v>
      </c>
    </row>
    <row r="4" spans="1:4">
      <c r="A4" s="10" t="s">
        <v>733</v>
      </c>
      <c r="B4" s="8">
        <v>1348617.6151583844</v>
      </c>
      <c r="C4" s="33"/>
    </row>
    <row r="5" spans="1:4">
      <c r="A5" s="11" t="s">
        <v>1080</v>
      </c>
      <c r="B5" s="8">
        <v>79082.507010000001</v>
      </c>
      <c r="C5" s="33">
        <v>5.863968119733657E-2</v>
      </c>
      <c r="D5" t="str">
        <f>IF(C5&lt;=0.8, "A", IF(C5&lt;=0.95, "B", "C"))</f>
        <v>A</v>
      </c>
    </row>
    <row r="6" spans="1:4">
      <c r="A6" s="11" t="s">
        <v>1053</v>
      </c>
      <c r="B6" s="8">
        <v>53034.364139999991</v>
      </c>
      <c r="C6" s="33">
        <v>9.7964663715655168E-2</v>
      </c>
      <c r="D6" t="str">
        <f t="shared" ref="D6:D69" si="0">IF(C6&lt;=0.8, "A", IF(C6&lt;=0.95, "B", "C"))</f>
        <v>A</v>
      </c>
    </row>
    <row r="7" spans="1:4">
      <c r="A7" s="11" t="s">
        <v>1288</v>
      </c>
      <c r="B7" s="8">
        <v>46450.26</v>
      </c>
      <c r="C7" s="33">
        <v>0.13240753282688564</v>
      </c>
      <c r="D7" t="str">
        <f t="shared" si="0"/>
        <v>A</v>
      </c>
    </row>
    <row r="8" spans="1:4">
      <c r="A8" s="11" t="s">
        <v>1040</v>
      </c>
      <c r="B8" s="8">
        <v>43084.872000000003</v>
      </c>
      <c r="C8" s="33">
        <v>0.16435496664039104</v>
      </c>
      <c r="D8" t="str">
        <f t="shared" si="0"/>
        <v>A</v>
      </c>
    </row>
    <row r="9" spans="1:4">
      <c r="A9" s="11" t="s">
        <v>752</v>
      </c>
      <c r="B9" s="8">
        <v>38096.18406</v>
      </c>
      <c r="C9" s="33">
        <v>0.1926032882044883</v>
      </c>
      <c r="D9" t="str">
        <f t="shared" si="0"/>
        <v>A</v>
      </c>
    </row>
    <row r="10" spans="1:4">
      <c r="A10" s="11" t="s">
        <v>810</v>
      </c>
      <c r="B10" s="8">
        <v>35396.277799999996</v>
      </c>
      <c r="C10" s="33">
        <v>0.21884962919999945</v>
      </c>
      <c r="D10" t="str">
        <f t="shared" si="0"/>
        <v>A</v>
      </c>
    </row>
    <row r="11" spans="1:4">
      <c r="A11" s="11" t="s">
        <v>1094</v>
      </c>
      <c r="B11" s="8">
        <v>35167.7448</v>
      </c>
      <c r="C11" s="33">
        <v>0.24492651296951021</v>
      </c>
      <c r="D11" t="str">
        <f t="shared" si="0"/>
        <v>A</v>
      </c>
    </row>
    <row r="12" spans="1:4">
      <c r="A12" s="11" t="s">
        <v>1074</v>
      </c>
      <c r="B12" s="8">
        <v>34582.609488383998</v>
      </c>
      <c r="C12" s="33">
        <v>0.27056951888881414</v>
      </c>
      <c r="D12" t="str">
        <f t="shared" si="0"/>
        <v>A</v>
      </c>
    </row>
    <row r="13" spans="1:4">
      <c r="A13" s="11" t="s">
        <v>831</v>
      </c>
      <c r="B13" s="8">
        <v>34139.159999999996</v>
      </c>
      <c r="C13" s="33">
        <v>0.29588370699986782</v>
      </c>
      <c r="D13" t="str">
        <f t="shared" si="0"/>
        <v>A</v>
      </c>
    </row>
    <row r="14" spans="1:4">
      <c r="A14" s="11" t="s">
        <v>811</v>
      </c>
      <c r="B14" s="8">
        <v>33062.236480000007</v>
      </c>
      <c r="C14" s="33">
        <v>0.32039935629020955</v>
      </c>
      <c r="D14" t="str">
        <f t="shared" si="0"/>
        <v>A</v>
      </c>
    </row>
    <row r="15" spans="1:4">
      <c r="A15" s="11" t="s">
        <v>876</v>
      </c>
      <c r="B15" s="8">
        <v>32086.37586</v>
      </c>
      <c r="C15" s="33">
        <v>0.34419140490306394</v>
      </c>
      <c r="D15" t="str">
        <f t="shared" si="0"/>
        <v>A</v>
      </c>
    </row>
    <row r="16" spans="1:4">
      <c r="A16" s="11" t="s">
        <v>1175</v>
      </c>
      <c r="B16" s="8">
        <v>31513.085009999999</v>
      </c>
      <c r="C16" s="33">
        <v>0.36755835833433659</v>
      </c>
      <c r="D16" t="str">
        <f t="shared" si="0"/>
        <v>A</v>
      </c>
    </row>
    <row r="17" spans="1:4">
      <c r="A17" s="11" t="s">
        <v>941</v>
      </c>
      <c r="B17" s="8">
        <v>28386.015839999996</v>
      </c>
      <c r="C17" s="33">
        <v>0.388606589887108</v>
      </c>
      <c r="D17" t="str">
        <f t="shared" si="0"/>
        <v>A</v>
      </c>
    </row>
    <row r="18" spans="1:4">
      <c r="A18" s="11" t="s">
        <v>1022</v>
      </c>
      <c r="B18" s="8">
        <v>26765.040239999998</v>
      </c>
      <c r="C18" s="33">
        <v>0.40845286798637231</v>
      </c>
      <c r="D18" t="str">
        <f t="shared" si="0"/>
        <v>A</v>
      </c>
    </row>
    <row r="19" spans="1:4">
      <c r="A19" s="11" t="s">
        <v>921</v>
      </c>
      <c r="B19" s="8">
        <v>26759.28775</v>
      </c>
      <c r="C19" s="33">
        <v>0.42829488061413806</v>
      </c>
      <c r="D19" t="str">
        <f t="shared" si="0"/>
        <v>A</v>
      </c>
    </row>
    <row r="20" spans="1:4">
      <c r="A20" s="11" t="s">
        <v>1086</v>
      </c>
      <c r="B20" s="8">
        <v>26552.60298</v>
      </c>
      <c r="C20" s="33">
        <v>0.44798363647906986</v>
      </c>
      <c r="D20" t="str">
        <f t="shared" si="0"/>
        <v>A</v>
      </c>
    </row>
    <row r="21" spans="1:4">
      <c r="A21" s="11" t="s">
        <v>1171</v>
      </c>
      <c r="B21" s="8">
        <v>24278.849280000002</v>
      </c>
      <c r="C21" s="33">
        <v>0.46598640391077706</v>
      </c>
      <c r="D21" t="str">
        <f t="shared" si="0"/>
        <v>A</v>
      </c>
    </row>
    <row r="22" spans="1:4">
      <c r="A22" s="11" t="s">
        <v>1142</v>
      </c>
      <c r="B22" s="8">
        <v>23668.560000000001</v>
      </c>
      <c r="C22" s="33">
        <v>0.48353664182400524</v>
      </c>
      <c r="D22" t="str">
        <f t="shared" si="0"/>
        <v>A</v>
      </c>
    </row>
    <row r="23" spans="1:4">
      <c r="A23" s="11" t="s">
        <v>1026</v>
      </c>
      <c r="B23" s="8">
        <v>23375.594060000003</v>
      </c>
      <c r="C23" s="33">
        <v>0.50086964548439028</v>
      </c>
      <c r="D23" t="str">
        <f t="shared" si="0"/>
        <v>A</v>
      </c>
    </row>
    <row r="24" spans="1:4">
      <c r="A24" s="11" t="s">
        <v>1089</v>
      </c>
      <c r="B24" s="8">
        <v>23195.01828</v>
      </c>
      <c r="C24" s="33">
        <v>0.51806875219876902</v>
      </c>
      <c r="D24" t="str">
        <f t="shared" si="0"/>
        <v>A</v>
      </c>
    </row>
    <row r="25" spans="1:4">
      <c r="A25" s="11" t="s">
        <v>1212</v>
      </c>
      <c r="B25" s="8">
        <v>22620.859800000002</v>
      </c>
      <c r="C25" s="33">
        <v>0.53484212038389634</v>
      </c>
      <c r="D25" t="str">
        <f t="shared" si="0"/>
        <v>A</v>
      </c>
    </row>
    <row r="26" spans="1:4">
      <c r="A26" s="11" t="s">
        <v>1255</v>
      </c>
      <c r="B26" s="8">
        <v>22526.66</v>
      </c>
      <c r="C26" s="33">
        <v>0.5515456394146443</v>
      </c>
      <c r="D26" t="str">
        <f t="shared" si="0"/>
        <v>A</v>
      </c>
    </row>
    <row r="27" spans="1:4">
      <c r="A27" s="11" t="s">
        <v>1270</v>
      </c>
      <c r="B27" s="8">
        <v>20430.771599999996</v>
      </c>
      <c r="C27" s="33">
        <v>0.56669505713717683</v>
      </c>
      <c r="D27" t="str">
        <f t="shared" si="0"/>
        <v>A</v>
      </c>
    </row>
    <row r="28" spans="1:4">
      <c r="A28" s="11" t="s">
        <v>1285</v>
      </c>
      <c r="B28" s="8">
        <v>20163.409200000002</v>
      </c>
      <c r="C28" s="33">
        <v>0.58164622563250457</v>
      </c>
      <c r="D28" t="str">
        <f t="shared" si="0"/>
        <v>A</v>
      </c>
    </row>
    <row r="29" spans="1:4">
      <c r="A29" s="11" t="s">
        <v>827</v>
      </c>
      <c r="B29" s="8">
        <v>20079.343620000003</v>
      </c>
      <c r="C29" s="33">
        <v>0.59653505949787111</v>
      </c>
      <c r="D29" t="str">
        <f t="shared" si="0"/>
        <v>A</v>
      </c>
    </row>
    <row r="30" spans="1:4">
      <c r="A30" s="11" t="s">
        <v>1184</v>
      </c>
      <c r="B30" s="8">
        <v>19628.476999999999</v>
      </c>
      <c r="C30" s="33">
        <v>0.61108957575168321</v>
      </c>
      <c r="D30" t="str">
        <f t="shared" si="0"/>
        <v>A</v>
      </c>
    </row>
    <row r="31" spans="1:4">
      <c r="A31" s="11" t="s">
        <v>1024</v>
      </c>
      <c r="B31" s="8">
        <v>19066.045319999997</v>
      </c>
      <c r="C31" s="33">
        <v>0.62522704889877745</v>
      </c>
      <c r="D31" t="str">
        <f t="shared" si="0"/>
        <v>A</v>
      </c>
    </row>
    <row r="32" spans="1:4">
      <c r="A32" s="11" t="s">
        <v>995</v>
      </c>
      <c r="B32" s="8">
        <v>17964.4038</v>
      </c>
      <c r="C32" s="33">
        <v>0.63854765482745668</v>
      </c>
      <c r="D32" t="str">
        <f t="shared" si="0"/>
        <v>A</v>
      </c>
    </row>
    <row r="33" spans="1:4">
      <c r="A33" s="11" t="s">
        <v>943</v>
      </c>
      <c r="B33" s="8">
        <v>17847.907199999998</v>
      </c>
      <c r="C33" s="33">
        <v>0.65178187852392222</v>
      </c>
      <c r="D33" t="str">
        <f t="shared" si="0"/>
        <v>A</v>
      </c>
    </row>
    <row r="34" spans="1:4">
      <c r="A34" s="11" t="s">
        <v>800</v>
      </c>
      <c r="B34" s="8">
        <v>16013.681599999998</v>
      </c>
      <c r="C34" s="33">
        <v>0.66365602388581513</v>
      </c>
      <c r="D34" t="str">
        <f t="shared" si="0"/>
        <v>A</v>
      </c>
    </row>
    <row r="35" spans="1:4">
      <c r="A35" s="11" t="s">
        <v>744</v>
      </c>
      <c r="B35" s="8">
        <v>16006.14344</v>
      </c>
      <c r="C35" s="33">
        <v>0.67552457970185364</v>
      </c>
      <c r="D35" t="str">
        <f t="shared" si="0"/>
        <v>A</v>
      </c>
    </row>
    <row r="36" spans="1:4">
      <c r="A36" s="11" t="s">
        <v>1286</v>
      </c>
      <c r="B36" s="8">
        <v>15860.782080000001</v>
      </c>
      <c r="C36" s="33">
        <v>0.68728535006531755</v>
      </c>
      <c r="D36" t="str">
        <f t="shared" si="0"/>
        <v>A</v>
      </c>
    </row>
    <row r="37" spans="1:4">
      <c r="A37" s="11" t="s">
        <v>1279</v>
      </c>
      <c r="B37" s="8">
        <v>15530.929919999999</v>
      </c>
      <c r="C37" s="33">
        <v>0.6988015350427591</v>
      </c>
      <c r="D37" t="str">
        <f t="shared" si="0"/>
        <v>A</v>
      </c>
    </row>
    <row r="38" spans="1:4">
      <c r="A38" s="11" t="s">
        <v>784</v>
      </c>
      <c r="B38" s="8">
        <v>14894.903999999999</v>
      </c>
      <c r="C38" s="33">
        <v>0.70984610678242943</v>
      </c>
      <c r="D38" t="str">
        <f t="shared" si="0"/>
        <v>A</v>
      </c>
    </row>
    <row r="39" spans="1:4">
      <c r="A39" s="11" t="s">
        <v>1188</v>
      </c>
      <c r="B39" s="8">
        <v>14752.706080000002</v>
      </c>
      <c r="C39" s="33">
        <v>0.72078523876037526</v>
      </c>
      <c r="D39" t="str">
        <f t="shared" si="0"/>
        <v>A</v>
      </c>
    </row>
    <row r="40" spans="1:4">
      <c r="A40" s="11" t="s">
        <v>904</v>
      </c>
      <c r="B40" s="8">
        <v>14549.029120000001</v>
      </c>
      <c r="C40" s="33">
        <v>0.73157334426668752</v>
      </c>
      <c r="D40" t="str">
        <f t="shared" si="0"/>
        <v>A</v>
      </c>
    </row>
    <row r="41" spans="1:4">
      <c r="A41" s="11" t="s">
        <v>1128</v>
      </c>
      <c r="B41" s="8">
        <v>14431.738420000001</v>
      </c>
      <c r="C41" s="33">
        <v>0.74227447871561369</v>
      </c>
      <c r="D41" t="str">
        <f t="shared" si="0"/>
        <v>A</v>
      </c>
    </row>
    <row r="42" spans="1:4">
      <c r="A42" s="11" t="s">
        <v>1338</v>
      </c>
      <c r="B42" s="8">
        <v>13856.52411</v>
      </c>
      <c r="C42" s="33">
        <v>0.75254909173731344</v>
      </c>
      <c r="D42" t="str">
        <f t="shared" si="0"/>
        <v>A</v>
      </c>
    </row>
    <row r="43" spans="1:4">
      <c r="A43" s="11" t="s">
        <v>881</v>
      </c>
      <c r="B43" s="8">
        <v>13321.14</v>
      </c>
      <c r="C43" s="33">
        <v>0.7624267174262197</v>
      </c>
      <c r="D43" t="str">
        <f t="shared" si="0"/>
        <v>A</v>
      </c>
    </row>
    <row r="44" spans="1:4">
      <c r="A44" s="11" t="s">
        <v>1291</v>
      </c>
      <c r="B44" s="8">
        <v>13108.78584</v>
      </c>
      <c r="C44" s="33">
        <v>0.77214688249944585</v>
      </c>
      <c r="D44" t="str">
        <f t="shared" si="0"/>
        <v>A</v>
      </c>
    </row>
    <row r="45" spans="1:4">
      <c r="A45" s="11" t="s">
        <v>1033</v>
      </c>
      <c r="B45" s="8">
        <v>12699.28</v>
      </c>
      <c r="C45" s="33">
        <v>0.78156339898066396</v>
      </c>
      <c r="D45" t="str">
        <f t="shared" si="0"/>
        <v>A</v>
      </c>
    </row>
    <row r="46" spans="1:4">
      <c r="A46" s="11" t="s">
        <v>1321</v>
      </c>
      <c r="B46" s="8">
        <v>12040.64352</v>
      </c>
      <c r="C46" s="33">
        <v>0.79049153649322779</v>
      </c>
      <c r="D46" t="str">
        <f t="shared" si="0"/>
        <v>A</v>
      </c>
    </row>
    <row r="47" spans="1:4">
      <c r="A47" s="11" t="s">
        <v>1227</v>
      </c>
      <c r="B47" s="8">
        <v>11859.695119999998</v>
      </c>
      <c r="C47" s="33">
        <v>0.79928550076204474</v>
      </c>
      <c r="D47" t="str">
        <f t="shared" si="0"/>
        <v>A</v>
      </c>
    </row>
    <row r="48" spans="1:4">
      <c r="A48" s="11" t="s">
        <v>1046</v>
      </c>
      <c r="B48" s="8">
        <v>11283.400799999999</v>
      </c>
      <c r="C48" s="33">
        <v>0.80765214277618957</v>
      </c>
      <c r="D48" t="str">
        <f t="shared" si="0"/>
        <v>B</v>
      </c>
    </row>
    <row r="49" spans="1:4">
      <c r="A49" s="11" t="s">
        <v>888</v>
      </c>
      <c r="B49" s="8">
        <v>11015.510400000003</v>
      </c>
      <c r="C49" s="33">
        <v>0.81582014405111469</v>
      </c>
      <c r="D49" t="str">
        <f t="shared" si="0"/>
        <v>B</v>
      </c>
    </row>
    <row r="50" spans="1:4">
      <c r="A50" s="11" t="s">
        <v>756</v>
      </c>
      <c r="B50" s="8">
        <v>10936.992</v>
      </c>
      <c r="C50" s="33">
        <v>0.82392992393020636</v>
      </c>
      <c r="D50" t="str">
        <f t="shared" si="0"/>
        <v>B</v>
      </c>
    </row>
    <row r="51" spans="1:4">
      <c r="A51" s="11" t="s">
        <v>1149</v>
      </c>
      <c r="B51" s="8">
        <v>10893.6232</v>
      </c>
      <c r="C51" s="33">
        <v>0.8320075458428644</v>
      </c>
      <c r="D51" t="str">
        <f t="shared" si="0"/>
        <v>B</v>
      </c>
    </row>
    <row r="52" spans="1:4">
      <c r="A52" s="11" t="s">
        <v>1355</v>
      </c>
      <c r="B52" s="8">
        <v>10693.88488</v>
      </c>
      <c r="C52" s="33">
        <v>0.83993706178556116</v>
      </c>
      <c r="D52" t="str">
        <f t="shared" si="0"/>
        <v>B</v>
      </c>
    </row>
    <row r="53" spans="1:4">
      <c r="A53" s="11" t="s">
        <v>804</v>
      </c>
      <c r="B53" s="8">
        <v>10647.727199999999</v>
      </c>
      <c r="C53" s="33">
        <v>0.84783235180722494</v>
      </c>
      <c r="D53" t="str">
        <f t="shared" si="0"/>
        <v>B</v>
      </c>
    </row>
    <row r="54" spans="1:4">
      <c r="A54" s="11" t="s">
        <v>919</v>
      </c>
      <c r="B54" s="8">
        <v>10388.429999999998</v>
      </c>
      <c r="C54" s="33">
        <v>0.8555353729477132</v>
      </c>
      <c r="D54" t="str">
        <f t="shared" si="0"/>
        <v>B</v>
      </c>
    </row>
    <row r="55" spans="1:4">
      <c r="A55" s="11" t="s">
        <v>892</v>
      </c>
      <c r="B55" s="8">
        <v>10382.65884</v>
      </c>
      <c r="C55" s="33">
        <v>0.86323411477289735</v>
      </c>
      <c r="D55" t="str">
        <f t="shared" si="0"/>
        <v>B</v>
      </c>
    </row>
    <row r="56" spans="1:4">
      <c r="A56" s="11" t="s">
        <v>1059</v>
      </c>
      <c r="B56" s="8">
        <v>9829.0483199999999</v>
      </c>
      <c r="C56" s="33">
        <v>0.87052235438175474</v>
      </c>
      <c r="D56" t="str">
        <f t="shared" si="0"/>
        <v>B</v>
      </c>
    </row>
    <row r="57" spans="1:4">
      <c r="A57" s="11" t="s">
        <v>1322</v>
      </c>
      <c r="B57" s="8">
        <v>9022.35</v>
      </c>
      <c r="C57" s="33">
        <v>0.87721242716338632</v>
      </c>
      <c r="D57" t="str">
        <f t="shared" si="0"/>
        <v>B</v>
      </c>
    </row>
    <row r="58" spans="1:4">
      <c r="A58" s="11" t="s">
        <v>1231</v>
      </c>
      <c r="B58" s="8">
        <v>8644.6696000000011</v>
      </c>
      <c r="C58" s="33">
        <v>0.88362244991767513</v>
      </c>
      <c r="D58" t="str">
        <f t="shared" si="0"/>
        <v>B</v>
      </c>
    </row>
    <row r="59" spans="1:4">
      <c r="A59" s="11" t="s">
        <v>759</v>
      </c>
      <c r="B59" s="8">
        <v>8596.2905599999995</v>
      </c>
      <c r="C59" s="33">
        <v>0.88999659961242794</v>
      </c>
      <c r="D59" t="str">
        <f t="shared" si="0"/>
        <v>B</v>
      </c>
    </row>
    <row r="60" spans="1:4">
      <c r="A60" s="11" t="s">
        <v>1326</v>
      </c>
      <c r="B60" s="8">
        <v>8366.02</v>
      </c>
      <c r="C60" s="33">
        <v>0.89620000368039088</v>
      </c>
      <c r="D60" t="str">
        <f t="shared" si="0"/>
        <v>B</v>
      </c>
    </row>
    <row r="61" spans="1:4">
      <c r="A61" s="11" t="s">
        <v>1150</v>
      </c>
      <c r="B61" s="8">
        <v>7969.4615000000003</v>
      </c>
      <c r="C61" s="33">
        <v>0.90210935960932415</v>
      </c>
      <c r="D61" t="str">
        <f t="shared" si="0"/>
        <v>B</v>
      </c>
    </row>
    <row r="62" spans="1:4">
      <c r="A62" s="11" t="s">
        <v>948</v>
      </c>
      <c r="B62" s="8">
        <v>7854.6693599999999</v>
      </c>
      <c r="C62" s="33">
        <v>0.90793359716318223</v>
      </c>
      <c r="D62" t="str">
        <f t="shared" si="0"/>
        <v>B</v>
      </c>
    </row>
    <row r="63" spans="1:4">
      <c r="A63" s="11" t="s">
        <v>916</v>
      </c>
      <c r="B63" s="8">
        <v>7689.4560000000001</v>
      </c>
      <c r="C63" s="33">
        <v>0.91363532900590094</v>
      </c>
      <c r="D63" t="str">
        <f t="shared" si="0"/>
        <v>B</v>
      </c>
    </row>
    <row r="64" spans="1:4">
      <c r="A64" s="11" t="s">
        <v>748</v>
      </c>
      <c r="B64" s="8">
        <v>7578.84</v>
      </c>
      <c r="C64" s="33">
        <v>0.91925503908147344</v>
      </c>
      <c r="D64" t="str">
        <f t="shared" si="0"/>
        <v>B</v>
      </c>
    </row>
    <row r="65" spans="1:4">
      <c r="A65" s="11" t="s">
        <v>993</v>
      </c>
      <c r="B65" s="8">
        <v>7568.9632000000001</v>
      </c>
      <c r="C65" s="33">
        <v>0.92486742550956502</v>
      </c>
      <c r="D65" t="str">
        <f t="shared" si="0"/>
        <v>B</v>
      </c>
    </row>
    <row r="66" spans="1:4">
      <c r="A66" s="11" t="s">
        <v>1225</v>
      </c>
      <c r="B66" s="8">
        <v>7507.4514899999995</v>
      </c>
      <c r="C66" s="33">
        <v>0.93043420100294172</v>
      </c>
      <c r="D66" t="str">
        <f t="shared" si="0"/>
        <v>B</v>
      </c>
    </row>
    <row r="67" spans="1:4">
      <c r="A67" s="11" t="s">
        <v>1027</v>
      </c>
      <c r="B67" s="8">
        <v>7382.1450000000004</v>
      </c>
      <c r="C67" s="33">
        <v>0.9359080617304194</v>
      </c>
      <c r="D67" t="str">
        <f t="shared" si="0"/>
        <v>B</v>
      </c>
    </row>
    <row r="68" spans="1:4">
      <c r="A68" s="11" t="s">
        <v>1004</v>
      </c>
      <c r="B68" s="8">
        <v>7235.2134999999998</v>
      </c>
      <c r="C68" s="33">
        <v>0.94127297274646771</v>
      </c>
      <c r="D68" t="str">
        <f t="shared" si="0"/>
        <v>B</v>
      </c>
    </row>
    <row r="69" spans="1:4">
      <c r="A69" s="11" t="s">
        <v>1066</v>
      </c>
      <c r="B69" s="8">
        <v>7105.3528000000006</v>
      </c>
      <c r="C69" s="33">
        <v>0.94654159204977228</v>
      </c>
      <c r="D69" t="str">
        <f t="shared" si="0"/>
        <v>B</v>
      </c>
    </row>
    <row r="70" spans="1:4">
      <c r="A70" s="11" t="s">
        <v>1310</v>
      </c>
      <c r="B70" s="8">
        <v>6732.4334000000008</v>
      </c>
      <c r="C70" s="33">
        <v>0.95153369160736945</v>
      </c>
      <c r="D70" t="str">
        <f t="shared" ref="D70:D133" si="1">IF(C70&lt;=0.8, "A", IF(C70&lt;=0.95, "B", "C"))</f>
        <v>C</v>
      </c>
    </row>
    <row r="71" spans="1:4">
      <c r="A71" s="11" t="s">
        <v>1011</v>
      </c>
      <c r="B71" s="8">
        <v>6066.54648</v>
      </c>
      <c r="C71" s="33">
        <v>0.95603203599484621</v>
      </c>
      <c r="D71" t="str">
        <f t="shared" si="1"/>
        <v>C</v>
      </c>
    </row>
    <row r="72" spans="1:4">
      <c r="A72" s="11" t="s">
        <v>837</v>
      </c>
      <c r="B72" s="8">
        <v>5960.3340000000007</v>
      </c>
      <c r="C72" s="33">
        <v>0.96045162382538185</v>
      </c>
      <c r="D72" t="str">
        <f t="shared" si="1"/>
        <v>C</v>
      </c>
    </row>
    <row r="73" spans="1:4">
      <c r="A73" s="11" t="s">
        <v>1067</v>
      </c>
      <c r="B73" s="8">
        <v>5610.0923999999995</v>
      </c>
      <c r="C73" s="33">
        <v>0.96461150749955527</v>
      </c>
      <c r="D73" t="str">
        <f t="shared" si="1"/>
        <v>C</v>
      </c>
    </row>
    <row r="74" spans="1:4">
      <c r="A74" s="11" t="s">
        <v>961</v>
      </c>
      <c r="B74" s="8">
        <v>5533.6230000000005</v>
      </c>
      <c r="C74" s="33">
        <v>0.96871468911145342</v>
      </c>
      <c r="D74" t="str">
        <f t="shared" si="1"/>
        <v>C</v>
      </c>
    </row>
    <row r="75" spans="1:4">
      <c r="A75" s="11" t="s">
        <v>791</v>
      </c>
      <c r="B75" s="8">
        <v>4790.1068000000005</v>
      </c>
      <c r="C75" s="33">
        <v>0.97226655343990309</v>
      </c>
      <c r="D75" t="str">
        <f t="shared" si="1"/>
        <v>C</v>
      </c>
    </row>
    <row r="76" spans="1:4">
      <c r="A76" s="11" t="s">
        <v>1275</v>
      </c>
      <c r="B76" s="8">
        <v>4737.2198399999997</v>
      </c>
      <c r="C76" s="33">
        <v>0.97577920208600855</v>
      </c>
      <c r="D76" t="str">
        <f t="shared" si="1"/>
        <v>C</v>
      </c>
    </row>
    <row r="77" spans="1:4">
      <c r="A77" s="11" t="s">
        <v>1303</v>
      </c>
      <c r="B77" s="8">
        <v>4577.1480000000001</v>
      </c>
      <c r="C77" s="33">
        <v>0.97917315745820088</v>
      </c>
      <c r="D77" t="str">
        <f t="shared" si="1"/>
        <v>C</v>
      </c>
    </row>
    <row r="78" spans="1:4">
      <c r="A78" s="11" t="s">
        <v>793</v>
      </c>
      <c r="B78" s="8">
        <v>4569.8508000000002</v>
      </c>
      <c r="C78" s="33">
        <v>0.98256170195638559</v>
      </c>
      <c r="D78" t="str">
        <f t="shared" si="1"/>
        <v>C</v>
      </c>
    </row>
    <row r="79" spans="1:4">
      <c r="A79" s="11" t="s">
        <v>865</v>
      </c>
      <c r="B79" s="8">
        <v>4417.8334199999999</v>
      </c>
      <c r="C79" s="33">
        <v>0.98583752556297632</v>
      </c>
      <c r="D79" t="str">
        <f t="shared" si="1"/>
        <v>C</v>
      </c>
    </row>
    <row r="80" spans="1:4">
      <c r="A80" s="11" t="s">
        <v>1092</v>
      </c>
      <c r="B80" s="8">
        <v>4071.8</v>
      </c>
      <c r="C80" s="33">
        <v>0.98885676537879463</v>
      </c>
      <c r="D80" t="str">
        <f t="shared" si="1"/>
        <v>C</v>
      </c>
    </row>
    <row r="81" spans="1:4">
      <c r="A81" s="11" t="s">
        <v>1072</v>
      </c>
      <c r="B81" s="8">
        <v>3021.5016000000001</v>
      </c>
      <c r="C81" s="33">
        <v>0.99109720890113817</v>
      </c>
      <c r="D81" t="str">
        <f t="shared" si="1"/>
        <v>C</v>
      </c>
    </row>
    <row r="82" spans="1:4">
      <c r="A82" s="11" t="s">
        <v>1199</v>
      </c>
      <c r="B82" s="8">
        <v>2719.8567000000003</v>
      </c>
      <c r="C82" s="33">
        <v>0.99311398272155171</v>
      </c>
      <c r="D82" t="str">
        <f t="shared" si="1"/>
        <v>C</v>
      </c>
    </row>
    <row r="83" spans="1:4">
      <c r="A83" s="11" t="s">
        <v>847</v>
      </c>
      <c r="B83" s="8">
        <v>2117.4834999999998</v>
      </c>
      <c r="C83" s="33">
        <v>0.9946840967970314</v>
      </c>
      <c r="D83" t="str">
        <f t="shared" si="1"/>
        <v>C</v>
      </c>
    </row>
    <row r="84" spans="1:4">
      <c r="A84" s="11" t="s">
        <v>1223</v>
      </c>
      <c r="B84" s="8">
        <v>1547.3500000000001</v>
      </c>
      <c r="C84" s="33">
        <v>0.99583145686604424</v>
      </c>
      <c r="D84" t="str">
        <f t="shared" si="1"/>
        <v>C</v>
      </c>
    </row>
    <row r="85" spans="1:4">
      <c r="A85" s="11" t="s">
        <v>873</v>
      </c>
      <c r="B85" s="8">
        <v>1446.9507000000001</v>
      </c>
      <c r="C85" s="33">
        <v>0.99690437085125128</v>
      </c>
      <c r="D85" t="str">
        <f t="shared" si="1"/>
        <v>C</v>
      </c>
    </row>
    <row r="86" spans="1:4">
      <c r="A86" s="11" t="s">
        <v>1352</v>
      </c>
      <c r="B86" s="8">
        <v>1030.7574</v>
      </c>
      <c r="C86" s="33">
        <v>0.99766867749267008</v>
      </c>
      <c r="D86" t="str">
        <f t="shared" si="1"/>
        <v>C</v>
      </c>
    </row>
    <row r="87" spans="1:4">
      <c r="A87" s="11" t="s">
        <v>1250</v>
      </c>
      <c r="B87" s="8">
        <v>1010.3759200000001</v>
      </c>
      <c r="C87" s="33">
        <v>0.99841787126608927</v>
      </c>
      <c r="D87" t="str">
        <f t="shared" si="1"/>
        <v>C</v>
      </c>
    </row>
    <row r="88" spans="1:4">
      <c r="A88" s="11" t="s">
        <v>1194</v>
      </c>
      <c r="B88" s="8">
        <v>930.17574000000002</v>
      </c>
      <c r="C88" s="33">
        <v>0.99910759660375725</v>
      </c>
      <c r="D88" t="str">
        <f t="shared" si="1"/>
        <v>C</v>
      </c>
    </row>
    <row r="89" spans="1:4">
      <c r="A89" s="11" t="s">
        <v>955</v>
      </c>
      <c r="B89" s="8">
        <v>908.03700000000003</v>
      </c>
      <c r="C89" s="33">
        <v>0.99978090606508541</v>
      </c>
      <c r="D89" t="str">
        <f t="shared" si="1"/>
        <v>C</v>
      </c>
    </row>
    <row r="90" spans="1:4">
      <c r="A90" s="11" t="s">
        <v>843</v>
      </c>
      <c r="B90" s="8">
        <v>549.80010000000004</v>
      </c>
      <c r="C90" s="33">
        <v>1.000188582854874</v>
      </c>
      <c r="D90" t="str">
        <f t="shared" si="1"/>
        <v>C</v>
      </c>
    </row>
    <row r="91" spans="1:4">
      <c r="A91" s="11" t="s">
        <v>914</v>
      </c>
      <c r="B91" s="8">
        <v>18.659839999999999</v>
      </c>
      <c r="C91" s="33">
        <v>1.0002024191267649</v>
      </c>
      <c r="D91" t="str">
        <f t="shared" si="1"/>
        <v>C</v>
      </c>
    </row>
    <row r="92" spans="1:4">
      <c r="A92" s="11" t="s">
        <v>792</v>
      </c>
      <c r="B92" s="8">
        <v>-272.98599999999999</v>
      </c>
      <c r="C92" s="33">
        <v>1</v>
      </c>
      <c r="D92" t="str">
        <f t="shared" si="1"/>
        <v>C</v>
      </c>
    </row>
    <row r="93" spans="1:4">
      <c r="A93" s="10" t="s">
        <v>727</v>
      </c>
      <c r="B93" s="8">
        <v>1564991.0698559193</v>
      </c>
      <c r="C93" s="33"/>
      <c r="D93" t="str">
        <f t="shared" si="1"/>
        <v>A</v>
      </c>
    </row>
    <row r="94" spans="1:4">
      <c r="A94" s="11" t="s">
        <v>971</v>
      </c>
      <c r="B94" s="8">
        <v>139277.83032000001</v>
      </c>
      <c r="C94" s="33">
        <v>8.8995926560029887E-2</v>
      </c>
      <c r="D94" t="str">
        <f t="shared" si="1"/>
        <v>A</v>
      </c>
    </row>
    <row r="95" spans="1:4">
      <c r="A95" s="11" t="s">
        <v>1198</v>
      </c>
      <c r="B95" s="8">
        <v>84136.119600000005</v>
      </c>
      <c r="C95" s="33">
        <v>0.14275733211728076</v>
      </c>
      <c r="D95" t="str">
        <f t="shared" si="1"/>
        <v>A</v>
      </c>
    </row>
    <row r="96" spans="1:4">
      <c r="A96" s="11" t="s">
        <v>1125</v>
      </c>
      <c r="B96" s="8">
        <v>65929.714136160008</v>
      </c>
      <c r="C96" s="33">
        <v>0.18488518537220688</v>
      </c>
      <c r="D96" t="str">
        <f t="shared" si="1"/>
        <v>A</v>
      </c>
    </row>
    <row r="97" spans="1:4">
      <c r="A97" s="11" t="s">
        <v>860</v>
      </c>
      <c r="B97" s="8">
        <v>65111.38614000001</v>
      </c>
      <c r="C97" s="33">
        <v>0.22649014235512085</v>
      </c>
      <c r="D97" t="str">
        <f t="shared" si="1"/>
        <v>A</v>
      </c>
    </row>
    <row r="98" spans="1:4">
      <c r="A98" s="11" t="s">
        <v>743</v>
      </c>
      <c r="B98" s="8">
        <v>60928.502359999999</v>
      </c>
      <c r="C98" s="33">
        <v>0.26542231489819446</v>
      </c>
      <c r="D98" t="str">
        <f t="shared" si="1"/>
        <v>A</v>
      </c>
    </row>
    <row r="99" spans="1:4">
      <c r="A99" s="11" t="s">
        <v>1245</v>
      </c>
      <c r="B99" s="8">
        <v>50296.415399999998</v>
      </c>
      <c r="C99" s="33">
        <v>0.29756078288614951</v>
      </c>
      <c r="D99" t="str">
        <f t="shared" si="1"/>
        <v>A</v>
      </c>
    </row>
    <row r="100" spans="1:4">
      <c r="A100" s="11" t="s">
        <v>1351</v>
      </c>
      <c r="B100" s="8">
        <v>41419.524249999995</v>
      </c>
      <c r="C100" s="33">
        <v>0.32402708358766935</v>
      </c>
      <c r="D100" t="str">
        <f t="shared" si="1"/>
        <v>A</v>
      </c>
    </row>
    <row r="101" spans="1:4">
      <c r="A101" s="11" t="s">
        <v>1361</v>
      </c>
      <c r="B101" s="8">
        <v>40476.013200000001</v>
      </c>
      <c r="C101" s="33">
        <v>0.34989049838896047</v>
      </c>
      <c r="D101" t="str">
        <f t="shared" si="1"/>
        <v>A</v>
      </c>
    </row>
    <row r="102" spans="1:4">
      <c r="A102" s="11" t="s">
        <v>794</v>
      </c>
      <c r="B102" s="8">
        <v>33687.501800000005</v>
      </c>
      <c r="C102" s="33">
        <v>0.3714161814735939</v>
      </c>
      <c r="D102" t="str">
        <f t="shared" si="1"/>
        <v>A</v>
      </c>
    </row>
    <row r="103" spans="1:4">
      <c r="A103" s="11" t="s">
        <v>1247</v>
      </c>
      <c r="B103" s="8">
        <v>33308.550000000003</v>
      </c>
      <c r="C103" s="33">
        <v>0.3926997214512799</v>
      </c>
      <c r="D103" t="str">
        <f t="shared" si="1"/>
        <v>A</v>
      </c>
    </row>
    <row r="104" spans="1:4">
      <c r="A104" s="11" t="s">
        <v>1238</v>
      </c>
      <c r="B104" s="8">
        <v>32335.21802</v>
      </c>
      <c r="C104" s="33">
        <v>0.41336132051265789</v>
      </c>
      <c r="D104" t="str">
        <f t="shared" si="1"/>
        <v>A</v>
      </c>
    </row>
    <row r="105" spans="1:4">
      <c r="A105" s="11" t="s">
        <v>795</v>
      </c>
      <c r="B105" s="8">
        <v>27701.570400000001</v>
      </c>
      <c r="C105" s="33">
        <v>0.43106210547787199</v>
      </c>
      <c r="D105" t="str">
        <f t="shared" si="1"/>
        <v>A</v>
      </c>
    </row>
    <row r="106" spans="1:4">
      <c r="A106" s="11" t="s">
        <v>844</v>
      </c>
      <c r="B106" s="8">
        <v>27676.35</v>
      </c>
      <c r="C106" s="33">
        <v>0.44874677507956373</v>
      </c>
      <c r="D106" t="str">
        <f t="shared" si="1"/>
        <v>A</v>
      </c>
    </row>
    <row r="107" spans="1:4">
      <c r="A107" s="11" t="s">
        <v>768</v>
      </c>
      <c r="B107" s="8">
        <v>27331.829999999998</v>
      </c>
      <c r="C107" s="33">
        <v>0.4662113028500105</v>
      </c>
      <c r="D107" t="str">
        <f t="shared" si="1"/>
        <v>A</v>
      </c>
    </row>
    <row r="108" spans="1:4">
      <c r="A108" s="11" t="s">
        <v>1082</v>
      </c>
      <c r="B108" s="8">
        <v>27158.894079999998</v>
      </c>
      <c r="C108" s="33">
        <v>0.48356532780460681</v>
      </c>
      <c r="D108" t="str">
        <f t="shared" si="1"/>
        <v>A</v>
      </c>
    </row>
    <row r="109" spans="1:4">
      <c r="A109" s="11" t="s">
        <v>1058</v>
      </c>
      <c r="B109" s="8">
        <v>26015.449459999996</v>
      </c>
      <c r="C109" s="33">
        <v>0.50018871305011825</v>
      </c>
      <c r="D109" t="str">
        <f t="shared" si="1"/>
        <v>A</v>
      </c>
    </row>
    <row r="110" spans="1:4">
      <c r="A110" s="11" t="s">
        <v>1034</v>
      </c>
      <c r="B110" s="8">
        <v>25577.274079999999</v>
      </c>
      <c r="C110" s="33">
        <v>0.51653211242961428</v>
      </c>
      <c r="D110" t="str">
        <f t="shared" si="1"/>
        <v>A</v>
      </c>
    </row>
    <row r="111" spans="1:4">
      <c r="A111" s="11" t="s">
        <v>1201</v>
      </c>
      <c r="B111" s="8">
        <v>25269.09</v>
      </c>
      <c r="C111" s="33">
        <v>0.53267858795060641</v>
      </c>
      <c r="D111" t="str">
        <f t="shared" si="1"/>
        <v>A</v>
      </c>
    </row>
    <row r="112" spans="1:4">
      <c r="A112" s="11" t="s">
        <v>1319</v>
      </c>
      <c r="B112" s="8">
        <v>25131.155999999999</v>
      </c>
      <c r="C112" s="33">
        <v>0.54873692622745907</v>
      </c>
      <c r="D112" t="str">
        <f t="shared" si="1"/>
        <v>A</v>
      </c>
    </row>
    <row r="113" spans="1:4">
      <c r="A113" s="11" t="s">
        <v>758</v>
      </c>
      <c r="B113" s="8">
        <v>24894.430559999997</v>
      </c>
      <c r="C113" s="33">
        <v>0.56464400137919901</v>
      </c>
      <c r="D113" t="str">
        <f t="shared" si="1"/>
        <v>A</v>
      </c>
    </row>
    <row r="114" spans="1:4">
      <c r="A114" s="11" t="s">
        <v>1192</v>
      </c>
      <c r="B114" s="8">
        <v>24321.57</v>
      </c>
      <c r="C114" s="33">
        <v>0.5801850293559524</v>
      </c>
      <c r="D114" t="str">
        <f t="shared" si="1"/>
        <v>A</v>
      </c>
    </row>
    <row r="115" spans="1:4">
      <c r="A115" s="11" t="s">
        <v>891</v>
      </c>
      <c r="B115" s="8">
        <v>24147.922500000001</v>
      </c>
      <c r="C115" s="33">
        <v>0.59561509983055461</v>
      </c>
      <c r="D115" t="str">
        <f t="shared" si="1"/>
        <v>A</v>
      </c>
    </row>
    <row r="116" spans="1:4">
      <c r="A116" s="11" t="s">
        <v>1185</v>
      </c>
      <c r="B116" s="8">
        <v>23694.405119999999</v>
      </c>
      <c r="C116" s="33">
        <v>0.61075538118831429</v>
      </c>
      <c r="D116" t="str">
        <f t="shared" si="1"/>
        <v>A</v>
      </c>
    </row>
    <row r="117" spans="1:4">
      <c r="A117" s="11" t="s">
        <v>994</v>
      </c>
      <c r="B117" s="8">
        <v>22882.675440000003</v>
      </c>
      <c r="C117" s="33">
        <v>0.62537698247458029</v>
      </c>
      <c r="D117" t="str">
        <f t="shared" si="1"/>
        <v>A</v>
      </c>
    </row>
    <row r="118" spans="1:4">
      <c r="A118" s="11" t="s">
        <v>812</v>
      </c>
      <c r="B118" s="8">
        <v>21787.936199999996</v>
      </c>
      <c r="C118" s="33">
        <v>0.63929906587790974</v>
      </c>
      <c r="D118" t="str">
        <f t="shared" si="1"/>
        <v>A</v>
      </c>
    </row>
    <row r="119" spans="1:4">
      <c r="A119" s="11" t="s">
        <v>1099</v>
      </c>
      <c r="B119" s="8">
        <v>21584.693520000001</v>
      </c>
      <c r="C119" s="33">
        <v>0.65309128101303326</v>
      </c>
      <c r="D119" t="str">
        <f t="shared" si="1"/>
        <v>A</v>
      </c>
    </row>
    <row r="120" spans="1:4">
      <c r="A120" s="11" t="s">
        <v>1127</v>
      </c>
      <c r="B120" s="8">
        <v>19800.88896</v>
      </c>
      <c r="C120" s="33">
        <v>0.66574367842372462</v>
      </c>
      <c r="D120" t="str">
        <f t="shared" si="1"/>
        <v>A</v>
      </c>
    </row>
    <row r="121" spans="1:4">
      <c r="A121" s="11" t="s">
        <v>990</v>
      </c>
      <c r="B121" s="8">
        <v>19073.059649999999</v>
      </c>
      <c r="C121" s="33">
        <v>0.67793100652889782</v>
      </c>
      <c r="D121" t="str">
        <f t="shared" si="1"/>
        <v>A</v>
      </c>
    </row>
    <row r="122" spans="1:4">
      <c r="A122" s="11" t="s">
        <v>770</v>
      </c>
      <c r="B122" s="8">
        <v>18957.37689</v>
      </c>
      <c r="C122" s="33">
        <v>0.69004441551579077</v>
      </c>
      <c r="D122" t="str">
        <f t="shared" si="1"/>
        <v>A</v>
      </c>
    </row>
    <row r="123" spans="1:4">
      <c r="A123" s="11" t="s">
        <v>1101</v>
      </c>
      <c r="B123" s="8">
        <v>18554.370299999999</v>
      </c>
      <c r="C123" s="33">
        <v>0.70190031083518589</v>
      </c>
      <c r="D123" t="str">
        <f t="shared" si="1"/>
        <v>A</v>
      </c>
    </row>
    <row r="124" spans="1:4">
      <c r="A124" s="11" t="s">
        <v>944</v>
      </c>
      <c r="B124" s="8">
        <v>18061.204320000004</v>
      </c>
      <c r="C124" s="33">
        <v>0.71344108232448444</v>
      </c>
      <c r="D124" t="str">
        <f t="shared" si="1"/>
        <v>A</v>
      </c>
    </row>
    <row r="125" spans="1:4">
      <c r="A125" s="11" t="s">
        <v>778</v>
      </c>
      <c r="B125" s="8">
        <v>17930.494560000003</v>
      </c>
      <c r="C125" s="33">
        <v>0.72489833272377957</v>
      </c>
      <c r="D125" t="str">
        <f t="shared" si="1"/>
        <v>A</v>
      </c>
    </row>
    <row r="126" spans="1:4">
      <c r="A126" s="11" t="s">
        <v>1001</v>
      </c>
      <c r="B126" s="8">
        <v>17594.028880000002</v>
      </c>
      <c r="C126" s="33">
        <v>0.73614058785154846</v>
      </c>
      <c r="D126" t="str">
        <f t="shared" si="1"/>
        <v>A</v>
      </c>
    </row>
    <row r="127" spans="1:4">
      <c r="A127" s="11" t="s">
        <v>1298</v>
      </c>
      <c r="B127" s="8">
        <v>17540.201120000002</v>
      </c>
      <c r="C127" s="33">
        <v>0.74734844804822986</v>
      </c>
      <c r="D127" t="str">
        <f t="shared" si="1"/>
        <v>A</v>
      </c>
    </row>
    <row r="128" spans="1:4">
      <c r="A128" s="11" t="s">
        <v>1135</v>
      </c>
      <c r="B128" s="8">
        <v>16946.091840000001</v>
      </c>
      <c r="C128" s="33">
        <v>0.75817668353557999</v>
      </c>
      <c r="D128" t="str">
        <f t="shared" si="1"/>
        <v>A</v>
      </c>
    </row>
    <row r="129" spans="1:4">
      <c r="A129" s="11" t="s">
        <v>1205</v>
      </c>
      <c r="B129" s="8">
        <v>15374.563199999999</v>
      </c>
      <c r="C129" s="33">
        <v>0.76800074163797893</v>
      </c>
      <c r="D129" t="str">
        <f t="shared" si="1"/>
        <v>A</v>
      </c>
    </row>
    <row r="130" spans="1:4">
      <c r="A130" s="11" t="s">
        <v>1111</v>
      </c>
      <c r="B130" s="8">
        <v>15348.702599999999</v>
      </c>
      <c r="C130" s="33">
        <v>0.77780827530103869</v>
      </c>
      <c r="D130" t="str">
        <f t="shared" si="1"/>
        <v>A</v>
      </c>
    </row>
    <row r="131" spans="1:4">
      <c r="A131" s="11" t="s">
        <v>968</v>
      </c>
      <c r="B131" s="8">
        <v>14269.848599999999</v>
      </c>
      <c r="C131" s="33">
        <v>0.78692644145218082</v>
      </c>
      <c r="D131" t="str">
        <f t="shared" si="1"/>
        <v>A</v>
      </c>
    </row>
    <row r="132" spans="1:4">
      <c r="A132" s="11" t="s">
        <v>820</v>
      </c>
      <c r="B132" s="8">
        <v>14197.064400000001</v>
      </c>
      <c r="C132" s="33">
        <v>0.79599809986190395</v>
      </c>
      <c r="D132" t="str">
        <f t="shared" si="1"/>
        <v>A</v>
      </c>
    </row>
    <row r="133" spans="1:4">
      <c r="A133" s="11" t="s">
        <v>1358</v>
      </c>
      <c r="B133" s="8">
        <v>13983.752729999998</v>
      </c>
      <c r="C133" s="33">
        <v>0.8049334561072834</v>
      </c>
      <c r="D133" t="str">
        <f t="shared" si="1"/>
        <v>B</v>
      </c>
    </row>
    <row r="134" spans="1:4">
      <c r="A134" s="11" t="s">
        <v>954</v>
      </c>
      <c r="B134" s="8">
        <v>13519.529099999998</v>
      </c>
      <c r="C134" s="33">
        <v>0.81357218214247062</v>
      </c>
      <c r="D134" t="str">
        <f t="shared" ref="D134:D197" si="2">IF(C134&lt;=0.8, "A", IF(C134&lt;=0.95, "B", "C"))</f>
        <v>B</v>
      </c>
    </row>
    <row r="135" spans="1:4">
      <c r="A135" s="11" t="s">
        <v>1131</v>
      </c>
      <c r="B135" s="8">
        <v>13185.543</v>
      </c>
      <c r="C135" s="33">
        <v>0.82199749731133864</v>
      </c>
      <c r="D135" t="str">
        <f t="shared" si="2"/>
        <v>B</v>
      </c>
    </row>
    <row r="136" spans="1:4">
      <c r="A136" s="11" t="s">
        <v>819</v>
      </c>
      <c r="B136" s="8">
        <v>13146.470699999998</v>
      </c>
      <c r="C136" s="33">
        <v>0.83039784601186528</v>
      </c>
      <c r="D136" t="str">
        <f t="shared" si="2"/>
        <v>B</v>
      </c>
    </row>
    <row r="137" spans="1:4">
      <c r="A137" s="11" t="s">
        <v>984</v>
      </c>
      <c r="B137" s="8">
        <v>12186.368600000002</v>
      </c>
      <c r="C137" s="33">
        <v>0.83818470744176587</v>
      </c>
      <c r="D137" t="str">
        <f t="shared" si="2"/>
        <v>B</v>
      </c>
    </row>
    <row r="138" spans="1:4">
      <c r="A138" s="11" t="s">
        <v>839</v>
      </c>
      <c r="B138" s="8">
        <v>12080.215199999999</v>
      </c>
      <c r="C138" s="33">
        <v>0.84590373883605496</v>
      </c>
      <c r="D138" t="str">
        <f t="shared" si="2"/>
        <v>B</v>
      </c>
    </row>
    <row r="139" spans="1:4">
      <c r="A139" s="11" t="s">
        <v>771</v>
      </c>
      <c r="B139" s="8">
        <v>11995.153920000001</v>
      </c>
      <c r="C139" s="33">
        <v>0.85356841766460856</v>
      </c>
      <c r="D139" t="str">
        <f t="shared" si="2"/>
        <v>B</v>
      </c>
    </row>
    <row r="140" spans="1:4">
      <c r="A140" s="11" t="s">
        <v>1323</v>
      </c>
      <c r="B140" s="8">
        <v>11742.8703</v>
      </c>
      <c r="C140" s="33">
        <v>0.86107189198224865</v>
      </c>
      <c r="D140" t="str">
        <f t="shared" si="2"/>
        <v>B</v>
      </c>
    </row>
    <row r="141" spans="1:4">
      <c r="A141" s="11" t="s">
        <v>1023</v>
      </c>
      <c r="B141" s="8">
        <v>10456.416880000001</v>
      </c>
      <c r="C141" s="33">
        <v>0.86775334664445491</v>
      </c>
      <c r="D141" t="str">
        <f t="shared" si="2"/>
        <v>B</v>
      </c>
    </row>
    <row r="142" spans="1:4">
      <c r="A142" s="11" t="s">
        <v>764</v>
      </c>
      <c r="B142" s="8">
        <v>9805.8573800000013</v>
      </c>
      <c r="C142" s="33">
        <v>0.87401910596338994</v>
      </c>
      <c r="D142" t="str">
        <f t="shared" si="2"/>
        <v>B</v>
      </c>
    </row>
    <row r="143" spans="1:4">
      <c r="A143" s="11" t="s">
        <v>870</v>
      </c>
      <c r="B143" s="8">
        <v>9698.1638399999993</v>
      </c>
      <c r="C143" s="33">
        <v>0.88021605112608214</v>
      </c>
      <c r="D143" t="str">
        <f t="shared" si="2"/>
        <v>B</v>
      </c>
    </row>
    <row r="144" spans="1:4">
      <c r="A144" s="11" t="s">
        <v>803</v>
      </c>
      <c r="B144" s="8">
        <v>8930.7124999999996</v>
      </c>
      <c r="C144" s="33">
        <v>0.88592260924773458</v>
      </c>
      <c r="D144" t="str">
        <f t="shared" si="2"/>
        <v>B</v>
      </c>
    </row>
    <row r="145" spans="1:4">
      <c r="A145" s="11" t="s">
        <v>905</v>
      </c>
      <c r="B145" s="8">
        <v>8928.9795999999988</v>
      </c>
      <c r="C145" s="33">
        <v>0.89162806007872364</v>
      </c>
      <c r="D145" t="str">
        <f t="shared" si="2"/>
        <v>B</v>
      </c>
    </row>
    <row r="146" spans="1:4">
      <c r="A146" s="11" t="s">
        <v>859</v>
      </c>
      <c r="B146" s="8">
        <v>8909.8587200000002</v>
      </c>
      <c r="C146" s="33">
        <v>0.89732129302529906</v>
      </c>
      <c r="D146" t="str">
        <f t="shared" si="2"/>
        <v>B</v>
      </c>
    </row>
    <row r="147" spans="1:4">
      <c r="A147" s="11" t="s">
        <v>1028</v>
      </c>
      <c r="B147" s="8">
        <v>8903.4839999999986</v>
      </c>
      <c r="C147" s="33">
        <v>0.90301045264511692</v>
      </c>
      <c r="D147" t="str">
        <f t="shared" si="2"/>
        <v>B</v>
      </c>
    </row>
    <row r="148" spans="1:4">
      <c r="A148" s="11" t="s">
        <v>1049</v>
      </c>
      <c r="B148" s="8">
        <v>8780.5809000000008</v>
      </c>
      <c r="C148" s="33">
        <v>0.90862107948454574</v>
      </c>
      <c r="D148" t="str">
        <f t="shared" si="2"/>
        <v>B</v>
      </c>
    </row>
    <row r="149" spans="1:4">
      <c r="A149" s="11" t="s">
        <v>1328</v>
      </c>
      <c r="B149" s="8">
        <v>8128.5187499999993</v>
      </c>
      <c r="C149" s="33">
        <v>0.91381505081548009</v>
      </c>
      <c r="D149" t="str">
        <f t="shared" si="2"/>
        <v>B</v>
      </c>
    </row>
    <row r="150" spans="1:4">
      <c r="A150" s="11" t="s">
        <v>1137</v>
      </c>
      <c r="B150" s="8">
        <v>7832.0010999999995</v>
      </c>
      <c r="C150" s="33">
        <v>0.91881955291830752</v>
      </c>
      <c r="D150" t="str">
        <f t="shared" si="2"/>
        <v>B</v>
      </c>
    </row>
    <row r="151" spans="1:4">
      <c r="A151" s="11" t="s">
        <v>1253</v>
      </c>
      <c r="B151" s="8">
        <v>7399.4832000000006</v>
      </c>
      <c r="C151" s="33">
        <v>0.92354768417894217</v>
      </c>
      <c r="D151" t="str">
        <f t="shared" si="2"/>
        <v>B</v>
      </c>
    </row>
    <row r="152" spans="1:4">
      <c r="A152" s="11" t="s">
        <v>1170</v>
      </c>
      <c r="B152" s="8">
        <v>7340.3891399999993</v>
      </c>
      <c r="C152" s="33">
        <v>0.92823805544136473</v>
      </c>
      <c r="D152" t="str">
        <f t="shared" si="2"/>
        <v>B</v>
      </c>
    </row>
    <row r="153" spans="1:4">
      <c r="A153" s="11" t="s">
        <v>809</v>
      </c>
      <c r="B153" s="8">
        <v>6874.4828600000001</v>
      </c>
      <c r="C153" s="33">
        <v>0.93263072131174118</v>
      </c>
      <c r="D153" t="str">
        <f t="shared" si="2"/>
        <v>B</v>
      </c>
    </row>
    <row r="154" spans="1:4">
      <c r="A154" s="11" t="s">
        <v>1293</v>
      </c>
      <c r="B154" s="8">
        <v>6766.9829999999993</v>
      </c>
      <c r="C154" s="33">
        <v>0.9369546967837693</v>
      </c>
      <c r="D154" t="str">
        <f t="shared" si="2"/>
        <v>B</v>
      </c>
    </row>
    <row r="155" spans="1:4">
      <c r="A155" s="11" t="s">
        <v>940</v>
      </c>
      <c r="B155" s="8">
        <v>6702.3501999999999</v>
      </c>
      <c r="C155" s="33">
        <v>0.94123737310639977</v>
      </c>
      <c r="D155" t="str">
        <f t="shared" si="2"/>
        <v>B</v>
      </c>
    </row>
    <row r="156" spans="1:4">
      <c r="A156" s="11" t="s">
        <v>1224</v>
      </c>
      <c r="B156" s="8">
        <v>6664.0999999999995</v>
      </c>
      <c r="C156" s="33">
        <v>0.9454956082672008</v>
      </c>
      <c r="D156" t="str">
        <f t="shared" si="2"/>
        <v>B</v>
      </c>
    </row>
    <row r="157" spans="1:4">
      <c r="A157" s="11" t="s">
        <v>1257</v>
      </c>
      <c r="B157" s="8">
        <v>6435.2555999999995</v>
      </c>
      <c r="C157" s="33">
        <v>0.94960761613993094</v>
      </c>
      <c r="D157" t="str">
        <f t="shared" si="2"/>
        <v>B</v>
      </c>
    </row>
    <row r="158" spans="1:4">
      <c r="A158" s="11" t="s">
        <v>835</v>
      </c>
      <c r="B158" s="8">
        <v>6324.5775999999996</v>
      </c>
      <c r="C158" s="33">
        <v>0.95364890284234149</v>
      </c>
      <c r="D158" t="str">
        <f t="shared" si="2"/>
        <v>C</v>
      </c>
    </row>
    <row r="159" spans="1:4">
      <c r="A159" s="11" t="s">
        <v>1313</v>
      </c>
      <c r="B159" s="8">
        <v>6137.8019999999988</v>
      </c>
      <c r="C159" s="33">
        <v>0.95757084343243382</v>
      </c>
      <c r="D159" t="str">
        <f t="shared" si="2"/>
        <v>C</v>
      </c>
    </row>
    <row r="160" spans="1:4">
      <c r="A160" s="11" t="s">
        <v>1218</v>
      </c>
      <c r="B160" s="8">
        <v>6063.2517199999993</v>
      </c>
      <c r="C160" s="33">
        <v>0.96144514778904477</v>
      </c>
      <c r="D160" t="str">
        <f t="shared" si="2"/>
        <v>C</v>
      </c>
    </row>
    <row r="161" spans="1:4">
      <c r="A161" s="11" t="s">
        <v>808</v>
      </c>
      <c r="B161" s="8">
        <v>5940.1863897600006</v>
      </c>
      <c r="C161" s="33">
        <v>0.96524081570317988</v>
      </c>
      <c r="D161" t="str">
        <f t="shared" si="2"/>
        <v>C</v>
      </c>
    </row>
    <row r="162" spans="1:4">
      <c r="A162" s="11" t="s">
        <v>895</v>
      </c>
      <c r="B162" s="8">
        <v>5650.1744000000008</v>
      </c>
      <c r="C162" s="33">
        <v>0.96885117138432775</v>
      </c>
      <c r="D162" t="str">
        <f t="shared" si="2"/>
        <v>C</v>
      </c>
    </row>
    <row r="163" spans="1:4">
      <c r="A163" s="11" t="s">
        <v>816</v>
      </c>
      <c r="B163" s="8">
        <v>5331.6696000000002</v>
      </c>
      <c r="C163" s="33">
        <v>0.97225800846007582</v>
      </c>
      <c r="D163" t="str">
        <f t="shared" si="2"/>
        <v>C</v>
      </c>
    </row>
    <row r="164" spans="1:4">
      <c r="A164" s="11" t="s">
        <v>746</v>
      </c>
      <c r="B164" s="8">
        <v>4968.5039999999999</v>
      </c>
      <c r="C164" s="33">
        <v>0.97543278951518908</v>
      </c>
      <c r="D164" t="str">
        <f t="shared" si="2"/>
        <v>C</v>
      </c>
    </row>
    <row r="165" spans="1:4">
      <c r="A165" s="11" t="s">
        <v>734</v>
      </c>
      <c r="B165" s="8">
        <v>4866.3287999999993</v>
      </c>
      <c r="C165" s="33">
        <v>0.97854228253002662</v>
      </c>
      <c r="D165" t="str">
        <f t="shared" si="2"/>
        <v>C</v>
      </c>
    </row>
    <row r="166" spans="1:4">
      <c r="A166" s="11" t="s">
        <v>956</v>
      </c>
      <c r="B166" s="8">
        <v>4503.4363999999996</v>
      </c>
      <c r="C166" s="33">
        <v>0.98141989409391528</v>
      </c>
      <c r="D166" t="str">
        <f t="shared" si="2"/>
        <v>C</v>
      </c>
    </row>
    <row r="167" spans="1:4">
      <c r="A167" s="11" t="s">
        <v>1210</v>
      </c>
      <c r="B167" s="8">
        <v>4212.3745999999992</v>
      </c>
      <c r="C167" s="33">
        <v>0.98411152261572399</v>
      </c>
      <c r="D167" t="str">
        <f t="shared" si="2"/>
        <v>C</v>
      </c>
    </row>
    <row r="168" spans="1:4">
      <c r="A168" s="11" t="s">
        <v>1244</v>
      </c>
      <c r="B168" s="8">
        <v>3525.5505600000001</v>
      </c>
      <c r="C168" s="33">
        <v>0.98636428343200422</v>
      </c>
      <c r="D168" t="str">
        <f t="shared" si="2"/>
        <v>C</v>
      </c>
    </row>
    <row r="169" spans="1:4">
      <c r="A169" s="11" t="s">
        <v>1302</v>
      </c>
      <c r="B169" s="8">
        <v>3378.1478400000001</v>
      </c>
      <c r="C169" s="33">
        <v>0.98852285666930129</v>
      </c>
      <c r="D169" t="str">
        <f t="shared" si="2"/>
        <v>C</v>
      </c>
    </row>
    <row r="170" spans="1:4">
      <c r="A170" s="11" t="s">
        <v>1060</v>
      </c>
      <c r="B170" s="8">
        <v>2373.9623200000001</v>
      </c>
      <c r="C170" s="33">
        <v>0.99003977415574962</v>
      </c>
      <c r="D170" t="str">
        <f t="shared" si="2"/>
        <v>C</v>
      </c>
    </row>
    <row r="171" spans="1:4">
      <c r="A171" s="11" t="s">
        <v>903</v>
      </c>
      <c r="B171" s="8">
        <v>2316.2621999999997</v>
      </c>
      <c r="C171" s="33">
        <v>0.9915198223455538</v>
      </c>
      <c r="D171" t="str">
        <f t="shared" si="2"/>
        <v>C</v>
      </c>
    </row>
    <row r="172" spans="1:4">
      <c r="A172" s="11" t="s">
        <v>1341</v>
      </c>
      <c r="B172" s="8">
        <v>2077.46</v>
      </c>
      <c r="C172" s="33">
        <v>0.99284728039947823</v>
      </c>
      <c r="D172" t="str">
        <f t="shared" si="2"/>
        <v>C</v>
      </c>
    </row>
    <row r="173" spans="1:4">
      <c r="A173" s="11" t="s">
        <v>858</v>
      </c>
      <c r="B173" s="8">
        <v>2072.9258400000003</v>
      </c>
      <c r="C173" s="33">
        <v>0.99417184121003332</v>
      </c>
      <c r="D173" t="str">
        <f t="shared" si="2"/>
        <v>C</v>
      </c>
    </row>
    <row r="174" spans="1:4">
      <c r="A174" s="11" t="s">
        <v>1197</v>
      </c>
      <c r="B174" s="8">
        <v>1808.04592</v>
      </c>
      <c r="C174" s="33">
        <v>0.9953271487097537</v>
      </c>
      <c r="D174" t="str">
        <f t="shared" si="2"/>
        <v>C</v>
      </c>
    </row>
    <row r="175" spans="1:4">
      <c r="A175" s="11" t="s">
        <v>1193</v>
      </c>
      <c r="B175" s="8">
        <v>1662.6945600000001</v>
      </c>
      <c r="C175" s="33">
        <v>0.99638957941113337</v>
      </c>
      <c r="D175" t="str">
        <f t="shared" si="2"/>
        <v>C</v>
      </c>
    </row>
    <row r="176" spans="1:4">
      <c r="A176" s="11" t="s">
        <v>821</v>
      </c>
      <c r="B176" s="8">
        <v>1654.8966000000003</v>
      </c>
      <c r="C176" s="33">
        <v>0.99744702736203605</v>
      </c>
      <c r="D176" t="str">
        <f t="shared" si="2"/>
        <v>C</v>
      </c>
    </row>
    <row r="177" spans="1:4">
      <c r="A177" s="11" t="s">
        <v>1252</v>
      </c>
      <c r="B177" s="8">
        <v>855.72881999999993</v>
      </c>
      <c r="C177" s="33">
        <v>0.99799382206041021</v>
      </c>
      <c r="D177" t="str">
        <f t="shared" si="2"/>
        <v>C</v>
      </c>
    </row>
    <row r="178" spans="1:4">
      <c r="A178" s="11" t="s">
        <v>861</v>
      </c>
      <c r="B178" s="8">
        <v>853.32276999999988</v>
      </c>
      <c r="C178" s="33">
        <v>0.99853907933787089</v>
      </c>
      <c r="D178" t="str">
        <f t="shared" si="2"/>
        <v>C</v>
      </c>
    </row>
    <row r="179" spans="1:4">
      <c r="A179" s="11" t="s">
        <v>1057</v>
      </c>
      <c r="B179" s="8">
        <v>703.2428000000001</v>
      </c>
      <c r="C179" s="33">
        <v>0.99898843832371143</v>
      </c>
      <c r="D179" t="str">
        <f t="shared" si="2"/>
        <v>C</v>
      </c>
    </row>
    <row r="180" spans="1:4">
      <c r="A180" s="11" t="s">
        <v>964</v>
      </c>
      <c r="B180" s="8">
        <v>667.15008</v>
      </c>
      <c r="C180" s="33">
        <v>0.99941473473705866</v>
      </c>
      <c r="D180" t="str">
        <f t="shared" si="2"/>
        <v>C</v>
      </c>
    </row>
    <row r="181" spans="1:4">
      <c r="A181" s="11" t="s">
        <v>1307</v>
      </c>
      <c r="B181" s="8">
        <v>496.98660000000001</v>
      </c>
      <c r="C181" s="33">
        <v>0.99973229987182055</v>
      </c>
      <c r="D181" t="str">
        <f t="shared" si="2"/>
        <v>C</v>
      </c>
    </row>
    <row r="182" spans="1:4">
      <c r="A182" s="11" t="s">
        <v>911</v>
      </c>
      <c r="B182" s="8">
        <v>321.93290999999999</v>
      </c>
      <c r="C182" s="33">
        <v>0.99993800897534257</v>
      </c>
      <c r="D182" t="str">
        <f t="shared" si="2"/>
        <v>C</v>
      </c>
    </row>
    <row r="183" spans="1:4">
      <c r="A183" s="11" t="s">
        <v>906</v>
      </c>
      <c r="B183" s="8">
        <v>97.0154</v>
      </c>
      <c r="C183" s="33">
        <v>0.99999999999999989</v>
      </c>
      <c r="D183" t="str">
        <f t="shared" si="2"/>
        <v>C</v>
      </c>
    </row>
    <row r="184" spans="1:4">
      <c r="A184" s="10" t="s">
        <v>731</v>
      </c>
      <c r="B184" s="8">
        <v>1711094.3776</v>
      </c>
      <c r="C184" s="33"/>
      <c r="D184" t="str">
        <f t="shared" si="2"/>
        <v>A</v>
      </c>
    </row>
    <row r="185" spans="1:4">
      <c r="A185" s="11" t="s">
        <v>1155</v>
      </c>
      <c r="B185" s="8">
        <v>102122.94203999999</v>
      </c>
      <c r="C185" s="33">
        <v>5.9682822512244341E-2</v>
      </c>
      <c r="D185" t="str">
        <f t="shared" si="2"/>
        <v>A</v>
      </c>
    </row>
    <row r="186" spans="1:4">
      <c r="A186" s="11" t="s">
        <v>1096</v>
      </c>
      <c r="B186" s="8">
        <v>82514.711519999997</v>
      </c>
      <c r="C186" s="33">
        <v>0.10790617745993347</v>
      </c>
      <c r="D186" t="str">
        <f t="shared" si="2"/>
        <v>A</v>
      </c>
    </row>
    <row r="187" spans="1:4">
      <c r="A187" s="11" t="s">
        <v>851</v>
      </c>
      <c r="B187" s="8">
        <v>65119.329599999997</v>
      </c>
      <c r="C187" s="33">
        <v>0.14596330069783289</v>
      </c>
      <c r="D187" t="str">
        <f t="shared" si="2"/>
        <v>A</v>
      </c>
    </row>
    <row r="188" spans="1:4">
      <c r="A188" s="11" t="s">
        <v>1121</v>
      </c>
      <c r="B188" s="8">
        <v>65066.934229999999</v>
      </c>
      <c r="C188" s="33">
        <v>0.18398980296550069</v>
      </c>
      <c r="D188" t="str">
        <f t="shared" si="2"/>
        <v>A</v>
      </c>
    </row>
    <row r="189" spans="1:4">
      <c r="A189" s="11" t="s">
        <v>1254</v>
      </c>
      <c r="B189" s="8">
        <v>64192.976999999999</v>
      </c>
      <c r="C189" s="33">
        <v>0.22150554601296354</v>
      </c>
      <c r="D189" t="str">
        <f t="shared" si="2"/>
        <v>A</v>
      </c>
    </row>
    <row r="190" spans="1:4">
      <c r="A190" s="11" t="s">
        <v>1261</v>
      </c>
      <c r="B190" s="8">
        <v>58526.83122</v>
      </c>
      <c r="C190" s="33">
        <v>0.25570987277960888</v>
      </c>
      <c r="D190" t="str">
        <f t="shared" si="2"/>
        <v>A</v>
      </c>
    </row>
    <row r="191" spans="1:4">
      <c r="A191" s="11" t="s">
        <v>1164</v>
      </c>
      <c r="B191" s="8">
        <v>58057.65</v>
      </c>
      <c r="C191" s="33">
        <v>0.28964000004788515</v>
      </c>
      <c r="D191" t="str">
        <f t="shared" si="2"/>
        <v>A</v>
      </c>
    </row>
    <row r="192" spans="1:4">
      <c r="A192" s="11" t="s">
        <v>1299</v>
      </c>
      <c r="B192" s="8">
        <v>44173.627960000005</v>
      </c>
      <c r="C192" s="33">
        <v>0.31545600911101962</v>
      </c>
      <c r="D192" t="str">
        <f t="shared" si="2"/>
        <v>A</v>
      </c>
    </row>
    <row r="193" spans="1:4">
      <c r="A193" s="11" t="s">
        <v>1267</v>
      </c>
      <c r="B193" s="8">
        <v>42433.254400000005</v>
      </c>
      <c r="C193" s="33">
        <v>0.34025490679632281</v>
      </c>
      <c r="D193" t="str">
        <f t="shared" si="2"/>
        <v>A</v>
      </c>
    </row>
    <row r="194" spans="1:4">
      <c r="A194" s="11" t="s">
        <v>1211</v>
      </c>
      <c r="B194" s="8">
        <v>41914.215840000004</v>
      </c>
      <c r="C194" s="33">
        <v>0.36475046729181654</v>
      </c>
      <c r="D194" t="str">
        <f t="shared" si="2"/>
        <v>A</v>
      </c>
    </row>
    <row r="195" spans="1:4">
      <c r="A195" s="11" t="s">
        <v>1315</v>
      </c>
      <c r="B195" s="8">
        <v>40563.321749999996</v>
      </c>
      <c r="C195" s="33">
        <v>0.38845653650752782</v>
      </c>
      <c r="D195" t="str">
        <f t="shared" si="2"/>
        <v>A</v>
      </c>
    </row>
    <row r="196" spans="1:4">
      <c r="A196" s="11" t="s">
        <v>998</v>
      </c>
      <c r="B196" s="8">
        <v>40139.874619999995</v>
      </c>
      <c r="C196" s="33">
        <v>0.41191513420118669</v>
      </c>
      <c r="D196" t="str">
        <f t="shared" si="2"/>
        <v>A</v>
      </c>
    </row>
    <row r="197" spans="1:4">
      <c r="A197" s="11" t="s">
        <v>753</v>
      </c>
      <c r="B197" s="8">
        <v>39263.702919999996</v>
      </c>
      <c r="C197" s="33">
        <v>0.43486167849120516</v>
      </c>
      <c r="D197" t="str">
        <f t="shared" si="2"/>
        <v>A</v>
      </c>
    </row>
    <row r="198" spans="1:4">
      <c r="A198" s="11" t="s">
        <v>1215</v>
      </c>
      <c r="B198" s="8">
        <v>36161.097000000002</v>
      </c>
      <c r="C198" s="33">
        <v>0.45599499379712061</v>
      </c>
      <c r="D198" t="str">
        <f t="shared" ref="D198:D261" si="3">IF(C198&lt;=0.8, "A", IF(C198&lt;=0.95, "B", "C"))</f>
        <v>A</v>
      </c>
    </row>
    <row r="199" spans="1:4">
      <c r="A199" s="11" t="s">
        <v>976</v>
      </c>
      <c r="B199" s="8">
        <v>34082.864639999993</v>
      </c>
      <c r="C199" s="33">
        <v>0.47591374584620688</v>
      </c>
      <c r="D199" t="str">
        <f t="shared" si="3"/>
        <v>A</v>
      </c>
    </row>
    <row r="200" spans="1:4">
      <c r="A200" s="11" t="s">
        <v>1332</v>
      </c>
      <c r="B200" s="8">
        <v>33938.142760000002</v>
      </c>
      <c r="C200" s="33">
        <v>0.49574791934609413</v>
      </c>
      <c r="D200" t="str">
        <f t="shared" si="3"/>
        <v>A</v>
      </c>
    </row>
    <row r="201" spans="1:4">
      <c r="A201" s="11" t="s">
        <v>907</v>
      </c>
      <c r="B201" s="8">
        <v>31556.187599999997</v>
      </c>
      <c r="C201" s="33">
        <v>0.51419002751563936</v>
      </c>
      <c r="D201" t="str">
        <f t="shared" si="3"/>
        <v>A</v>
      </c>
    </row>
    <row r="202" spans="1:4">
      <c r="A202" s="11" t="s">
        <v>1159</v>
      </c>
      <c r="B202" s="8">
        <v>30435.614999999998</v>
      </c>
      <c r="C202" s="33">
        <v>0.53197724918992795</v>
      </c>
      <c r="D202" t="str">
        <f t="shared" si="3"/>
        <v>A</v>
      </c>
    </row>
    <row r="203" spans="1:4">
      <c r="A203" s="11" t="s">
        <v>845</v>
      </c>
      <c r="B203" s="8">
        <v>30151.675319999998</v>
      </c>
      <c r="C203" s="33">
        <v>0.54959853046740548</v>
      </c>
      <c r="D203" t="str">
        <f t="shared" si="3"/>
        <v>A</v>
      </c>
    </row>
    <row r="204" spans="1:4">
      <c r="A204" s="11" t="s">
        <v>790</v>
      </c>
      <c r="B204" s="8">
        <v>29659.68995</v>
      </c>
      <c r="C204" s="33">
        <v>0.56693228501553339</v>
      </c>
      <c r="D204" t="str">
        <f t="shared" si="3"/>
        <v>A</v>
      </c>
    </row>
    <row r="205" spans="1:4">
      <c r="A205" s="11" t="s">
        <v>1063</v>
      </c>
      <c r="B205" s="8">
        <v>27756.432000000001</v>
      </c>
      <c r="C205" s="33">
        <v>0.58315373507893176</v>
      </c>
      <c r="D205" t="str">
        <f t="shared" si="3"/>
        <v>A</v>
      </c>
    </row>
    <row r="206" spans="1:4">
      <c r="A206" s="11" t="s">
        <v>798</v>
      </c>
      <c r="B206" s="8">
        <v>26304.275999999998</v>
      </c>
      <c r="C206" s="33">
        <v>0.59852651424549919</v>
      </c>
      <c r="D206" t="str">
        <f t="shared" si="3"/>
        <v>A</v>
      </c>
    </row>
    <row r="207" spans="1:4">
      <c r="A207" s="11" t="s">
        <v>833</v>
      </c>
      <c r="B207" s="8">
        <v>25502.910479999999</v>
      </c>
      <c r="C207" s="33">
        <v>0.61343095833336458</v>
      </c>
      <c r="D207" t="str">
        <f t="shared" si="3"/>
        <v>A</v>
      </c>
    </row>
    <row r="208" spans="1:4">
      <c r="A208" s="11" t="s">
        <v>926</v>
      </c>
      <c r="B208" s="8">
        <v>24374.594880000001</v>
      </c>
      <c r="C208" s="33">
        <v>0.62767599075184988</v>
      </c>
      <c r="D208" t="str">
        <f t="shared" si="3"/>
        <v>A</v>
      </c>
    </row>
    <row r="209" spans="1:4">
      <c r="A209" s="11" t="s">
        <v>989</v>
      </c>
      <c r="B209" s="8">
        <v>24161.205600000001</v>
      </c>
      <c r="C209" s="33">
        <v>0.64179631392998382</v>
      </c>
      <c r="D209" t="str">
        <f t="shared" si="3"/>
        <v>A</v>
      </c>
    </row>
    <row r="210" spans="1:4">
      <c r="A210" s="11" t="s">
        <v>754</v>
      </c>
      <c r="B210" s="8">
        <v>23782.310720000001</v>
      </c>
      <c r="C210" s="33">
        <v>0.65569520286991323</v>
      </c>
      <c r="D210" t="str">
        <f t="shared" si="3"/>
        <v>A</v>
      </c>
    </row>
    <row r="211" spans="1:4">
      <c r="A211" s="11" t="s">
        <v>1118</v>
      </c>
      <c r="B211" s="8">
        <v>22064.910300000003</v>
      </c>
      <c r="C211" s="33">
        <v>0.66859040642434753</v>
      </c>
      <c r="D211" t="str">
        <f t="shared" si="3"/>
        <v>A</v>
      </c>
    </row>
    <row r="212" spans="1:4">
      <c r="A212" s="11" t="s">
        <v>885</v>
      </c>
      <c r="B212" s="8">
        <v>21572.590500000002</v>
      </c>
      <c r="C212" s="33">
        <v>0.68119788780141677</v>
      </c>
      <c r="D212" t="str">
        <f t="shared" si="3"/>
        <v>A</v>
      </c>
    </row>
    <row r="213" spans="1:4">
      <c r="A213" s="11" t="s">
        <v>1029</v>
      </c>
      <c r="B213" s="8">
        <v>20455.985130000001</v>
      </c>
      <c r="C213" s="33">
        <v>0.693152801216942</v>
      </c>
      <c r="D213" t="str">
        <f t="shared" si="3"/>
        <v>A</v>
      </c>
    </row>
    <row r="214" spans="1:4">
      <c r="A214" s="11" t="s">
        <v>757</v>
      </c>
      <c r="B214" s="8">
        <v>20225.2248</v>
      </c>
      <c r="C214" s="33">
        <v>0.70497285338049831</v>
      </c>
      <c r="D214" t="str">
        <f t="shared" si="3"/>
        <v>A</v>
      </c>
    </row>
    <row r="215" spans="1:4">
      <c r="A215" s="11" t="s">
        <v>806</v>
      </c>
      <c r="B215" s="8">
        <v>20171.63305</v>
      </c>
      <c r="C215" s="33">
        <v>0.71676158538386858</v>
      </c>
      <c r="D215" t="str">
        <f t="shared" si="3"/>
        <v>A</v>
      </c>
    </row>
    <row r="216" spans="1:4">
      <c r="A216" s="11" t="s">
        <v>1120</v>
      </c>
      <c r="B216" s="8">
        <v>19773.362699999998</v>
      </c>
      <c r="C216" s="33">
        <v>0.72831755971167533</v>
      </c>
      <c r="D216" t="str">
        <f t="shared" si="3"/>
        <v>A</v>
      </c>
    </row>
    <row r="217" spans="1:4">
      <c r="A217" s="11" t="s">
        <v>1273</v>
      </c>
      <c r="B217" s="8">
        <v>19581.87</v>
      </c>
      <c r="C217" s="33">
        <v>0.73976162162687242</v>
      </c>
      <c r="D217" t="str">
        <f t="shared" si="3"/>
        <v>A</v>
      </c>
    </row>
    <row r="218" spans="1:4">
      <c r="A218" s="11" t="s">
        <v>924</v>
      </c>
      <c r="B218" s="8">
        <v>19542.975350000001</v>
      </c>
      <c r="C218" s="33">
        <v>0.75118295268016655</v>
      </c>
      <c r="D218" t="str">
        <f t="shared" si="3"/>
        <v>A</v>
      </c>
    </row>
    <row r="219" spans="1:4">
      <c r="A219" s="11" t="s">
        <v>1305</v>
      </c>
      <c r="B219" s="8">
        <v>19139.594240000002</v>
      </c>
      <c r="C219" s="33">
        <v>0.76236853922089587</v>
      </c>
      <c r="D219" t="str">
        <f t="shared" si="3"/>
        <v>A</v>
      </c>
    </row>
    <row r="220" spans="1:4">
      <c r="A220" s="11" t="s">
        <v>1130</v>
      </c>
      <c r="B220" s="8">
        <v>18641.222160000001</v>
      </c>
      <c r="C220" s="33">
        <v>0.77326286650291653</v>
      </c>
      <c r="D220" t="str">
        <f t="shared" si="3"/>
        <v>A</v>
      </c>
    </row>
    <row r="221" spans="1:4">
      <c r="A221" s="11" t="s">
        <v>985</v>
      </c>
      <c r="B221" s="8">
        <v>17453.3436</v>
      </c>
      <c r="C221" s="33">
        <v>0.78346297225306238</v>
      </c>
      <c r="D221" t="str">
        <f t="shared" si="3"/>
        <v>A</v>
      </c>
    </row>
    <row r="222" spans="1:4">
      <c r="A222" s="11" t="s">
        <v>1018</v>
      </c>
      <c r="B222" s="8">
        <v>15505.479600000001</v>
      </c>
      <c r="C222" s="33">
        <v>0.79252470479276493</v>
      </c>
      <c r="D222" t="str">
        <f t="shared" si="3"/>
        <v>A</v>
      </c>
    </row>
    <row r="223" spans="1:4">
      <c r="A223" s="11" t="s">
        <v>958</v>
      </c>
      <c r="B223" s="8">
        <v>15490.527</v>
      </c>
      <c r="C223" s="33">
        <v>0.8015776987145421</v>
      </c>
      <c r="D223" t="str">
        <f t="shared" si="3"/>
        <v>B</v>
      </c>
    </row>
    <row r="224" spans="1:4">
      <c r="A224" s="11" t="s">
        <v>1158</v>
      </c>
      <c r="B224" s="8">
        <v>15366.983199999999</v>
      </c>
      <c r="C224" s="33">
        <v>0.81055849100815824</v>
      </c>
      <c r="D224" t="str">
        <f t="shared" si="3"/>
        <v>B</v>
      </c>
    </row>
    <row r="225" spans="1:4">
      <c r="A225" s="11" t="s">
        <v>1268</v>
      </c>
      <c r="B225" s="8">
        <v>15155.326800000001</v>
      </c>
      <c r="C225" s="33">
        <v>0.81941558679340476</v>
      </c>
      <c r="D225" t="str">
        <f t="shared" si="3"/>
        <v>B</v>
      </c>
    </row>
    <row r="226" spans="1:4">
      <c r="A226" s="11" t="s">
        <v>1327</v>
      </c>
      <c r="B226" s="8">
        <v>14910.609600000002</v>
      </c>
      <c r="C226" s="33">
        <v>0.82812966463457782</v>
      </c>
      <c r="D226" t="str">
        <f t="shared" si="3"/>
        <v>B</v>
      </c>
    </row>
    <row r="227" spans="1:4">
      <c r="A227" s="11" t="s">
        <v>900</v>
      </c>
      <c r="B227" s="8">
        <v>14448.298699999998</v>
      </c>
      <c r="C227" s="33">
        <v>0.83657355813872536</v>
      </c>
      <c r="D227" t="str">
        <f t="shared" si="3"/>
        <v>B</v>
      </c>
    </row>
    <row r="228" spans="1:4">
      <c r="A228" s="11" t="s">
        <v>1276</v>
      </c>
      <c r="B228" s="8">
        <v>14114.068500000001</v>
      </c>
      <c r="C228" s="33">
        <v>0.84482212039500282</v>
      </c>
      <c r="D228" t="str">
        <f t="shared" si="3"/>
        <v>B</v>
      </c>
    </row>
    <row r="229" spans="1:4">
      <c r="A229" s="11" t="s">
        <v>1102</v>
      </c>
      <c r="B229" s="8">
        <v>13784.586000000001</v>
      </c>
      <c r="C229" s="33">
        <v>0.85287812606041469</v>
      </c>
      <c r="D229" t="str">
        <f t="shared" si="3"/>
        <v>B</v>
      </c>
    </row>
    <row r="230" spans="1:4">
      <c r="A230" s="11" t="s">
        <v>836</v>
      </c>
      <c r="B230" s="8">
        <v>13669.81</v>
      </c>
      <c r="C230" s="33">
        <v>0.8608670541867367</v>
      </c>
      <c r="D230" t="str">
        <f t="shared" si="3"/>
        <v>B</v>
      </c>
    </row>
    <row r="231" spans="1:4">
      <c r="A231" s="11" t="s">
        <v>1079</v>
      </c>
      <c r="B231" s="8">
        <v>13637.287999999999</v>
      </c>
      <c r="C231" s="33">
        <v>0.86883697576355101</v>
      </c>
      <c r="D231" t="str">
        <f t="shared" si="3"/>
        <v>B</v>
      </c>
    </row>
    <row r="232" spans="1:4">
      <c r="A232" s="11" t="s">
        <v>767</v>
      </c>
      <c r="B232" s="8">
        <v>13218.5</v>
      </c>
      <c r="C232" s="33">
        <v>0.87656214871312288</v>
      </c>
      <c r="D232" t="str">
        <f t="shared" si="3"/>
        <v>B</v>
      </c>
    </row>
    <row r="233" spans="1:4">
      <c r="A233" s="11" t="s">
        <v>879</v>
      </c>
      <c r="B233" s="8">
        <v>12954.358080000002</v>
      </c>
      <c r="C233" s="33">
        <v>0.88413295149851323</v>
      </c>
      <c r="D233" t="str">
        <f t="shared" si="3"/>
        <v>B</v>
      </c>
    </row>
    <row r="234" spans="1:4">
      <c r="A234" s="11" t="s">
        <v>838</v>
      </c>
      <c r="B234" s="8">
        <v>12335.654849999999</v>
      </c>
      <c r="C234" s="33">
        <v>0.89134217093812251</v>
      </c>
      <c r="D234" t="str">
        <f t="shared" si="3"/>
        <v>B</v>
      </c>
    </row>
    <row r="235" spans="1:4">
      <c r="A235" s="11" t="s">
        <v>1083</v>
      </c>
      <c r="B235" s="8">
        <v>12236.874600000001</v>
      </c>
      <c r="C235" s="33">
        <v>0.89849366109564588</v>
      </c>
      <c r="D235" t="str">
        <f t="shared" si="3"/>
        <v>B</v>
      </c>
    </row>
    <row r="236" spans="1:4">
      <c r="A236" s="11" t="s">
        <v>1017</v>
      </c>
      <c r="B236" s="8">
        <v>11696.156879999999</v>
      </c>
      <c r="C236" s="33">
        <v>0.90532914430049694</v>
      </c>
      <c r="D236" t="str">
        <f t="shared" si="3"/>
        <v>B</v>
      </c>
    </row>
    <row r="237" spans="1:4">
      <c r="A237" s="11" t="s">
        <v>1248</v>
      </c>
      <c r="B237" s="8">
        <v>10859.64</v>
      </c>
      <c r="C237" s="33">
        <v>0.91167574922314987</v>
      </c>
      <c r="D237" t="str">
        <f t="shared" si="3"/>
        <v>B</v>
      </c>
    </row>
    <row r="238" spans="1:4">
      <c r="A238" s="11" t="s">
        <v>1043</v>
      </c>
      <c r="B238" s="8">
        <v>9847.2358600000007</v>
      </c>
      <c r="C238" s="33">
        <v>0.91743068360252156</v>
      </c>
      <c r="D238" t="str">
        <f t="shared" si="3"/>
        <v>B</v>
      </c>
    </row>
    <row r="239" spans="1:4">
      <c r="A239" s="11" t="s">
        <v>980</v>
      </c>
      <c r="B239" s="8">
        <v>9774.3888000000006</v>
      </c>
      <c r="C239" s="33">
        <v>0.92314304460841168</v>
      </c>
      <c r="D239" t="str">
        <f t="shared" si="3"/>
        <v>B</v>
      </c>
    </row>
    <row r="240" spans="1:4">
      <c r="A240" s="11" t="s">
        <v>1179</v>
      </c>
      <c r="B240" s="8">
        <v>9771.4483199999995</v>
      </c>
      <c r="C240" s="33">
        <v>0.92885368713515859</v>
      </c>
      <c r="D240" t="str">
        <f t="shared" si="3"/>
        <v>B</v>
      </c>
    </row>
    <row r="241" spans="1:4">
      <c r="A241" s="11" t="s">
        <v>1013</v>
      </c>
      <c r="B241" s="8">
        <v>8907.6924999999992</v>
      </c>
      <c r="C241" s="33">
        <v>0.934059532362991</v>
      </c>
      <c r="D241" t="str">
        <f t="shared" si="3"/>
        <v>B</v>
      </c>
    </row>
    <row r="242" spans="1:4">
      <c r="A242" s="11" t="s">
        <v>1009</v>
      </c>
      <c r="B242" s="8">
        <v>8567.3924999999999</v>
      </c>
      <c r="C242" s="33">
        <v>0.9390664990225488</v>
      </c>
      <c r="D242" t="str">
        <f t="shared" si="3"/>
        <v>B</v>
      </c>
    </row>
    <row r="243" spans="1:4">
      <c r="A243" s="11" t="s">
        <v>866</v>
      </c>
      <c r="B243" s="8">
        <v>8336.8896000000004</v>
      </c>
      <c r="C243" s="33">
        <v>0.94393875487771306</v>
      </c>
      <c r="D243" t="str">
        <f t="shared" si="3"/>
        <v>B</v>
      </c>
    </row>
    <row r="244" spans="1:4">
      <c r="A244" s="11" t="s">
        <v>1242</v>
      </c>
      <c r="B244" s="8">
        <v>8297.4286000000011</v>
      </c>
      <c r="C244" s="33">
        <v>0.94878794888397122</v>
      </c>
      <c r="D244" t="str">
        <f t="shared" si="3"/>
        <v>B</v>
      </c>
    </row>
    <row r="245" spans="1:4">
      <c r="A245" s="11" t="s">
        <v>1191</v>
      </c>
      <c r="B245" s="8">
        <v>7643.2649999999994</v>
      </c>
      <c r="C245" s="33">
        <v>0.95325483574892622</v>
      </c>
      <c r="D245" t="str">
        <f t="shared" si="3"/>
        <v>C</v>
      </c>
    </row>
    <row r="246" spans="1:4">
      <c r="A246" s="11" t="s">
        <v>749</v>
      </c>
      <c r="B246" s="8">
        <v>7090.5672000000004</v>
      </c>
      <c r="C246" s="33">
        <v>0.95739871424728551</v>
      </c>
      <c r="D246" t="str">
        <f t="shared" si="3"/>
        <v>C</v>
      </c>
    </row>
    <row r="247" spans="1:4">
      <c r="A247" s="11" t="s">
        <v>1337</v>
      </c>
      <c r="B247" s="8">
        <v>7071.6331400000008</v>
      </c>
      <c r="C247" s="33">
        <v>0.96153152727769164</v>
      </c>
      <c r="D247" t="str">
        <f t="shared" si="3"/>
        <v>C</v>
      </c>
    </row>
    <row r="248" spans="1:4">
      <c r="A248" s="11" t="s">
        <v>805</v>
      </c>
      <c r="B248" s="8">
        <v>6393.0952799999995</v>
      </c>
      <c r="C248" s="33">
        <v>0.96526778833008731</v>
      </c>
      <c r="D248" t="str">
        <f t="shared" si="3"/>
        <v>C</v>
      </c>
    </row>
    <row r="249" spans="1:4">
      <c r="A249" s="11" t="s">
        <v>1038</v>
      </c>
      <c r="B249" s="8">
        <v>5932.7856000000002</v>
      </c>
      <c r="C249" s="33">
        <v>0.9687350346010507</v>
      </c>
      <c r="D249" t="str">
        <f t="shared" si="3"/>
        <v>C</v>
      </c>
    </row>
    <row r="250" spans="1:4">
      <c r="A250" s="11" t="s">
        <v>786</v>
      </c>
      <c r="B250" s="8">
        <v>5785.8</v>
      </c>
      <c r="C250" s="33">
        <v>0.97211637935663064</v>
      </c>
      <c r="D250" t="str">
        <f t="shared" si="3"/>
        <v>C</v>
      </c>
    </row>
    <row r="251" spans="1:4">
      <c r="A251" s="11" t="s">
        <v>1143</v>
      </c>
      <c r="B251" s="8">
        <v>5323.9903199999999</v>
      </c>
      <c r="C251" s="33">
        <v>0.97522783269882884</v>
      </c>
      <c r="D251" t="str">
        <f t="shared" si="3"/>
        <v>C</v>
      </c>
    </row>
    <row r="252" spans="1:4">
      <c r="A252" s="11" t="s">
        <v>1136</v>
      </c>
      <c r="B252" s="8">
        <v>5250.4239000000007</v>
      </c>
      <c r="C252" s="33">
        <v>0.97829629225823922</v>
      </c>
      <c r="D252" t="str">
        <f t="shared" si="3"/>
        <v>C</v>
      </c>
    </row>
    <row r="253" spans="1:4">
      <c r="A253" s="11" t="s">
        <v>1141</v>
      </c>
      <c r="B253" s="8">
        <v>4679.7141600000004</v>
      </c>
      <c r="C253" s="33">
        <v>0.98103121688966943</v>
      </c>
      <c r="D253" t="str">
        <f t="shared" si="3"/>
        <v>C</v>
      </c>
    </row>
    <row r="254" spans="1:4">
      <c r="A254" s="11" t="s">
        <v>1297</v>
      </c>
      <c r="B254" s="8">
        <v>4229.4321199999995</v>
      </c>
      <c r="C254" s="33">
        <v>0.98350298710606876</v>
      </c>
      <c r="D254" t="str">
        <f t="shared" si="3"/>
        <v>C</v>
      </c>
    </row>
    <row r="255" spans="1:4">
      <c r="A255" s="11" t="s">
        <v>739</v>
      </c>
      <c r="B255" s="8">
        <v>4141.7599999999993</v>
      </c>
      <c r="C255" s="33">
        <v>0.98592351986815352</v>
      </c>
      <c r="D255" t="str">
        <f t="shared" si="3"/>
        <v>C</v>
      </c>
    </row>
    <row r="256" spans="1:4">
      <c r="A256" s="11" t="s">
        <v>1104</v>
      </c>
      <c r="B256" s="8">
        <v>4133.25108</v>
      </c>
      <c r="C256" s="33">
        <v>0.98833907983615332</v>
      </c>
      <c r="D256" t="str">
        <f t="shared" si="3"/>
        <v>C</v>
      </c>
    </row>
    <row r="257" spans="1:4">
      <c r="A257" s="11" t="s">
        <v>1241</v>
      </c>
      <c r="B257" s="8">
        <v>3921.1744000000008</v>
      </c>
      <c r="C257" s="33">
        <v>0.99063069767519962</v>
      </c>
      <c r="D257" t="str">
        <f t="shared" si="3"/>
        <v>C</v>
      </c>
    </row>
    <row r="258" spans="1:4">
      <c r="A258" s="11" t="s">
        <v>1316</v>
      </c>
      <c r="B258" s="8">
        <v>3823.6151599999998</v>
      </c>
      <c r="C258" s="33">
        <v>0.99286529981641114</v>
      </c>
      <c r="D258" t="str">
        <f t="shared" si="3"/>
        <v>C</v>
      </c>
    </row>
    <row r="259" spans="1:4">
      <c r="A259" s="11" t="s">
        <v>973</v>
      </c>
      <c r="B259" s="8">
        <v>3823.5108</v>
      </c>
      <c r="C259" s="33">
        <v>0.99509984096741588</v>
      </c>
      <c r="D259" t="str">
        <f t="shared" si="3"/>
        <v>C</v>
      </c>
    </row>
    <row r="260" spans="1:4">
      <c r="A260" s="11" t="s">
        <v>880</v>
      </c>
      <c r="B260" s="8">
        <v>3562.9028999999996</v>
      </c>
      <c r="C260" s="33">
        <v>0.99718207731080077</v>
      </c>
      <c r="D260" t="str">
        <f t="shared" si="3"/>
        <v>C</v>
      </c>
    </row>
    <row r="261" spans="1:4">
      <c r="A261" s="11" t="s">
        <v>787</v>
      </c>
      <c r="B261" s="8">
        <v>2518.8755800000004</v>
      </c>
      <c r="C261" s="33">
        <v>0.99865416185094924</v>
      </c>
      <c r="D261" t="str">
        <f t="shared" si="3"/>
        <v>C</v>
      </c>
    </row>
    <row r="262" spans="1:4">
      <c r="A262" s="11" t="s">
        <v>1209</v>
      </c>
      <c r="B262" s="8">
        <v>1009.2969000000002</v>
      </c>
      <c r="C262" s="33">
        <v>0.99924401645699124</v>
      </c>
      <c r="D262" t="str">
        <f t="shared" ref="D262:D325" si="4">IF(C262&lt;=0.8, "A", IF(C262&lt;=0.95, "B", "C"))</f>
        <v>C</v>
      </c>
    </row>
    <row r="263" spans="1:4">
      <c r="A263" s="11" t="s">
        <v>853</v>
      </c>
      <c r="B263" s="8">
        <v>592.92849000000001</v>
      </c>
      <c r="C263" s="33">
        <v>0.99959053649572327</v>
      </c>
      <c r="D263" t="str">
        <f t="shared" si="4"/>
        <v>C</v>
      </c>
    </row>
    <row r="264" spans="1:4">
      <c r="A264" s="11" t="s">
        <v>1122</v>
      </c>
      <c r="B264" s="8">
        <v>434.45248000000004</v>
      </c>
      <c r="C264" s="33">
        <v>0.99984443977872584</v>
      </c>
      <c r="D264" t="str">
        <f t="shared" si="4"/>
        <v>C</v>
      </c>
    </row>
    <row r="265" spans="1:4">
      <c r="A265" s="11" t="s">
        <v>1363</v>
      </c>
      <c r="B265" s="8">
        <v>266.17821999999995</v>
      </c>
      <c r="C265" s="33">
        <v>0.99999999999999978</v>
      </c>
      <c r="D265" t="str">
        <f t="shared" si="4"/>
        <v>C</v>
      </c>
    </row>
    <row r="266" spans="1:4">
      <c r="A266" s="10" t="s">
        <v>732</v>
      </c>
      <c r="B266" s="8">
        <v>1551625.9920613593</v>
      </c>
      <c r="C266" s="33"/>
      <c r="D266" t="str">
        <f t="shared" si="4"/>
        <v>A</v>
      </c>
    </row>
    <row r="267" spans="1:4">
      <c r="A267" s="11" t="s">
        <v>909</v>
      </c>
      <c r="B267" s="8">
        <v>92715.25</v>
      </c>
      <c r="C267" s="33">
        <v>5.9753607167166843E-2</v>
      </c>
      <c r="D267" t="str">
        <f t="shared" si="4"/>
        <v>A</v>
      </c>
    </row>
    <row r="268" spans="1:4">
      <c r="A268" s="11" t="s">
        <v>874</v>
      </c>
      <c r="B268" s="8">
        <v>87404.929919999995</v>
      </c>
      <c r="C268" s="33">
        <v>0.11608479159382186</v>
      </c>
      <c r="D268" t="str">
        <f t="shared" si="4"/>
        <v>A</v>
      </c>
    </row>
    <row r="269" spans="1:4">
      <c r="A269" s="11" t="s">
        <v>899</v>
      </c>
      <c r="B269" s="8">
        <v>85637.740319999997</v>
      </c>
      <c r="C269" s="33">
        <v>0.17127704846380953</v>
      </c>
      <c r="D269" t="str">
        <f t="shared" si="4"/>
        <v>A</v>
      </c>
    </row>
    <row r="270" spans="1:4">
      <c r="A270" s="11" t="s">
        <v>797</v>
      </c>
      <c r="B270" s="8">
        <v>72665.817450000002</v>
      </c>
      <c r="C270" s="33">
        <v>0.2181090929267038</v>
      </c>
      <c r="D270" t="str">
        <f t="shared" si="4"/>
        <v>A</v>
      </c>
    </row>
    <row r="271" spans="1:4">
      <c r="A271" s="11" t="s">
        <v>1129</v>
      </c>
      <c r="B271" s="8">
        <v>56176.777799999996</v>
      </c>
      <c r="C271" s="33">
        <v>0.25431419524351162</v>
      </c>
      <c r="D271" t="str">
        <f t="shared" si="4"/>
        <v>A</v>
      </c>
    </row>
    <row r="272" spans="1:4">
      <c r="A272" s="11" t="s">
        <v>1181</v>
      </c>
      <c r="B272" s="8">
        <v>45547.183360000003</v>
      </c>
      <c r="C272" s="33">
        <v>0.28366868117828892</v>
      </c>
      <c r="D272" t="str">
        <f t="shared" si="4"/>
        <v>A</v>
      </c>
    </row>
    <row r="273" spans="1:4">
      <c r="A273" s="11" t="s">
        <v>774</v>
      </c>
      <c r="B273" s="8">
        <v>41106.800970000004</v>
      </c>
      <c r="C273" s="33">
        <v>0.31016140634551104</v>
      </c>
      <c r="D273" t="str">
        <f t="shared" si="4"/>
        <v>A</v>
      </c>
    </row>
    <row r="274" spans="1:4">
      <c r="A274" s="11" t="s">
        <v>1000</v>
      </c>
      <c r="B274" s="8">
        <v>38818.760160000005</v>
      </c>
      <c r="C274" s="33">
        <v>0.33517952305572979</v>
      </c>
      <c r="D274" t="str">
        <f t="shared" si="4"/>
        <v>A</v>
      </c>
    </row>
    <row r="275" spans="1:4">
      <c r="A275" s="11" t="s">
        <v>1006</v>
      </c>
      <c r="B275" s="8">
        <v>34632.106319999999</v>
      </c>
      <c r="C275" s="33">
        <v>0.35749940329567775</v>
      </c>
      <c r="D275" t="str">
        <f t="shared" si="4"/>
        <v>A</v>
      </c>
    </row>
    <row r="276" spans="1:4">
      <c r="A276" s="11" t="s">
        <v>1106</v>
      </c>
      <c r="B276" s="8">
        <v>32280.32474</v>
      </c>
      <c r="C276" s="33">
        <v>0.37830359509522027</v>
      </c>
      <c r="D276" t="str">
        <f t="shared" si="4"/>
        <v>A</v>
      </c>
    </row>
    <row r="277" spans="1:4">
      <c r="A277" s="11" t="s">
        <v>789</v>
      </c>
      <c r="B277" s="8">
        <v>31680.795320000001</v>
      </c>
      <c r="C277" s="33">
        <v>0.39872139905190163</v>
      </c>
      <c r="D277" t="str">
        <f t="shared" si="4"/>
        <v>A</v>
      </c>
    </row>
    <row r="278" spans="1:4">
      <c r="A278" s="11" t="s">
        <v>929</v>
      </c>
      <c r="B278" s="8">
        <v>31191.64716</v>
      </c>
      <c r="C278" s="33">
        <v>0.41882395425501562</v>
      </c>
      <c r="D278" t="str">
        <f t="shared" si="4"/>
        <v>A</v>
      </c>
    </row>
    <row r="279" spans="1:4">
      <c r="A279" s="11" t="s">
        <v>1044</v>
      </c>
      <c r="B279" s="8">
        <v>30799.273800000003</v>
      </c>
      <c r="C279" s="33">
        <v>0.43867363063165499</v>
      </c>
      <c r="D279" t="str">
        <f t="shared" si="4"/>
        <v>A</v>
      </c>
    </row>
    <row r="280" spans="1:4">
      <c r="A280" s="11" t="s">
        <v>1274</v>
      </c>
      <c r="B280" s="8">
        <v>30652.403519999996</v>
      </c>
      <c r="C280" s="33">
        <v>0.45842865128536153</v>
      </c>
      <c r="D280" t="str">
        <f t="shared" si="4"/>
        <v>A</v>
      </c>
    </row>
    <row r="281" spans="1:4">
      <c r="A281" s="11" t="s">
        <v>1007</v>
      </c>
      <c r="B281" s="8">
        <v>29536.716</v>
      </c>
      <c r="C281" s="33">
        <v>0.47746462783584459</v>
      </c>
      <c r="D281" t="str">
        <f t="shared" si="4"/>
        <v>A</v>
      </c>
    </row>
    <row r="282" spans="1:4">
      <c r="A282" s="11" t="s">
        <v>922</v>
      </c>
      <c r="B282" s="8">
        <v>28072.190160000002</v>
      </c>
      <c r="C282" s="33">
        <v>0.49555673914593268</v>
      </c>
      <c r="D282" t="str">
        <f t="shared" si="4"/>
        <v>A</v>
      </c>
    </row>
    <row r="283" spans="1:4">
      <c r="A283" s="11" t="s">
        <v>869</v>
      </c>
      <c r="B283" s="8">
        <v>27370.540859999997</v>
      </c>
      <c r="C283" s="33">
        <v>0.51319664786107211</v>
      </c>
      <c r="D283" t="str">
        <f t="shared" si="4"/>
        <v>A</v>
      </c>
    </row>
    <row r="284" spans="1:4">
      <c r="A284" s="11" t="s">
        <v>918</v>
      </c>
      <c r="B284" s="8">
        <v>26408.63841</v>
      </c>
      <c r="C284" s="33">
        <v>0.53021662467579123</v>
      </c>
      <c r="D284" t="str">
        <f t="shared" si="4"/>
        <v>A</v>
      </c>
    </row>
    <row r="285" spans="1:4">
      <c r="A285" s="11" t="s">
        <v>939</v>
      </c>
      <c r="B285" s="8">
        <v>26131.70736</v>
      </c>
      <c r="C285" s="33">
        <v>0.5470581235251909</v>
      </c>
      <c r="D285" t="str">
        <f t="shared" si="4"/>
        <v>A</v>
      </c>
    </row>
    <row r="286" spans="1:4">
      <c r="A286" s="11" t="s">
        <v>1073</v>
      </c>
      <c r="B286" s="8">
        <v>26106.613960000002</v>
      </c>
      <c r="C286" s="33">
        <v>0.56388345004947593</v>
      </c>
      <c r="D286" t="str">
        <f t="shared" si="4"/>
        <v>A</v>
      </c>
    </row>
    <row r="287" spans="1:4">
      <c r="A287" s="11" t="s">
        <v>938</v>
      </c>
      <c r="B287" s="8">
        <v>25553.782800000001</v>
      </c>
      <c r="C287" s="33">
        <v>0.58035248506870207</v>
      </c>
      <c r="D287" t="str">
        <f t="shared" si="4"/>
        <v>A</v>
      </c>
    </row>
    <row r="288" spans="1:4">
      <c r="A288" s="11" t="s">
        <v>1300</v>
      </c>
      <c r="B288" s="8">
        <v>25079.480689999997</v>
      </c>
      <c r="C288" s="33">
        <v>0.5965158393939809</v>
      </c>
      <c r="D288" t="str">
        <f t="shared" si="4"/>
        <v>A</v>
      </c>
    </row>
    <row r="289" spans="1:4">
      <c r="A289" s="11" t="s">
        <v>849</v>
      </c>
      <c r="B289" s="8">
        <v>24523.006720000001</v>
      </c>
      <c r="C289" s="33">
        <v>0.61232055447704081</v>
      </c>
      <c r="D289" t="str">
        <f t="shared" si="4"/>
        <v>A</v>
      </c>
    </row>
    <row r="290" spans="1:4">
      <c r="A290" s="11" t="s">
        <v>1187</v>
      </c>
      <c r="B290" s="8">
        <v>23132.398349999996</v>
      </c>
      <c r="C290" s="33">
        <v>0.62722904303572258</v>
      </c>
      <c r="D290" t="str">
        <f t="shared" si="4"/>
        <v>A</v>
      </c>
    </row>
    <row r="291" spans="1:4">
      <c r="A291" s="11" t="s">
        <v>855</v>
      </c>
      <c r="B291" s="8">
        <v>22983.34563</v>
      </c>
      <c r="C291" s="33">
        <v>0.64204146932117434</v>
      </c>
      <c r="D291" t="str">
        <f t="shared" si="4"/>
        <v>A</v>
      </c>
    </row>
    <row r="292" spans="1:4">
      <c r="A292" s="11" t="s">
        <v>894</v>
      </c>
      <c r="B292" s="8">
        <v>22044.871499999997</v>
      </c>
      <c r="C292" s="33">
        <v>0.65624906291189089</v>
      </c>
      <c r="D292" t="str">
        <f t="shared" si="4"/>
        <v>A</v>
      </c>
    </row>
    <row r="293" spans="1:4">
      <c r="A293" s="11" t="s">
        <v>1233</v>
      </c>
      <c r="B293" s="8">
        <v>20332.775539999999</v>
      </c>
      <c r="C293" s="33">
        <v>0.6693532359819665</v>
      </c>
      <c r="D293" t="str">
        <f t="shared" si="4"/>
        <v>A</v>
      </c>
    </row>
    <row r="294" spans="1:4">
      <c r="A294" s="11" t="s">
        <v>986</v>
      </c>
      <c r="B294" s="8">
        <v>17689.623</v>
      </c>
      <c r="C294" s="33">
        <v>0.68075393633791959</v>
      </c>
      <c r="D294" t="str">
        <f t="shared" si="4"/>
        <v>A</v>
      </c>
    </row>
    <row r="295" spans="1:4">
      <c r="A295" s="11" t="s">
        <v>1014</v>
      </c>
      <c r="B295" s="8">
        <v>17441.021520000002</v>
      </c>
      <c r="C295" s="33">
        <v>0.69199441671736284</v>
      </c>
      <c r="D295" t="str">
        <f t="shared" si="4"/>
        <v>A</v>
      </c>
    </row>
    <row r="296" spans="1:4">
      <c r="A296" s="11" t="s">
        <v>1232</v>
      </c>
      <c r="B296" s="8">
        <v>16574.544740000001</v>
      </c>
      <c r="C296" s="33">
        <v>0.7026764656291502</v>
      </c>
      <c r="D296" t="str">
        <f t="shared" si="4"/>
        <v>A</v>
      </c>
    </row>
    <row r="297" spans="1:4">
      <c r="A297" s="11" t="s">
        <v>1085</v>
      </c>
      <c r="B297" s="8">
        <v>16487.22781</v>
      </c>
      <c r="C297" s="33">
        <v>0.71330224007115772</v>
      </c>
      <c r="D297" t="str">
        <f t="shared" si="4"/>
        <v>A</v>
      </c>
    </row>
    <row r="298" spans="1:4">
      <c r="A298" s="11" t="s">
        <v>1123</v>
      </c>
      <c r="B298" s="8">
        <v>16142.527829999999</v>
      </c>
      <c r="C298" s="33">
        <v>0.7237058604749087</v>
      </c>
      <c r="D298" t="str">
        <f t="shared" si="4"/>
        <v>A</v>
      </c>
    </row>
    <row r="299" spans="1:4">
      <c r="A299" s="11" t="s">
        <v>1256</v>
      </c>
      <c r="B299" s="8">
        <v>16121.273400000002</v>
      </c>
      <c r="C299" s="33">
        <v>0.73409578271292353</v>
      </c>
      <c r="D299" t="str">
        <f t="shared" si="4"/>
        <v>A</v>
      </c>
    </row>
    <row r="300" spans="1:4">
      <c r="A300" s="11" t="s">
        <v>1117</v>
      </c>
      <c r="B300" s="8">
        <v>15257.51748</v>
      </c>
      <c r="C300" s="33">
        <v>0.7439290270373049</v>
      </c>
      <c r="D300" t="str">
        <f t="shared" si="4"/>
        <v>A</v>
      </c>
    </row>
    <row r="301" spans="1:4">
      <c r="A301" s="11" t="s">
        <v>742</v>
      </c>
      <c r="B301" s="8">
        <v>14714.12934</v>
      </c>
      <c r="C301" s="33">
        <v>0.75341206574333486</v>
      </c>
      <c r="D301" t="str">
        <f t="shared" si="4"/>
        <v>A</v>
      </c>
    </row>
    <row r="302" spans="1:4">
      <c r="A302" s="11" t="s">
        <v>1306</v>
      </c>
      <c r="B302" s="8">
        <v>14466.95104</v>
      </c>
      <c r="C302" s="33">
        <v>0.76273580169131305</v>
      </c>
      <c r="D302" t="str">
        <f t="shared" si="4"/>
        <v>A</v>
      </c>
    </row>
    <row r="303" spans="1:4">
      <c r="A303" s="11" t="s">
        <v>801</v>
      </c>
      <c r="B303" s="8">
        <v>14287.896349999999</v>
      </c>
      <c r="C303" s="33">
        <v>0.77194413954019014</v>
      </c>
      <c r="D303" t="str">
        <f t="shared" si="4"/>
        <v>A</v>
      </c>
    </row>
    <row r="304" spans="1:4">
      <c r="A304" s="11" t="s">
        <v>1161</v>
      </c>
      <c r="B304" s="8">
        <v>13450.74</v>
      </c>
      <c r="C304" s="33">
        <v>0.78061294250483404</v>
      </c>
      <c r="D304" t="str">
        <f t="shared" si="4"/>
        <v>A</v>
      </c>
    </row>
    <row r="305" spans="1:4">
      <c r="A305" s="11" t="s">
        <v>1138</v>
      </c>
      <c r="B305" s="8">
        <v>13437.300239999999</v>
      </c>
      <c r="C305" s="33">
        <v>0.78927308374296079</v>
      </c>
      <c r="D305" t="str">
        <f t="shared" si="4"/>
        <v>A</v>
      </c>
    </row>
    <row r="306" spans="1:4">
      <c r="A306" s="11" t="s">
        <v>1132</v>
      </c>
      <c r="B306" s="8">
        <v>12972.00222</v>
      </c>
      <c r="C306" s="33">
        <v>0.79763334728995539</v>
      </c>
      <c r="D306" t="str">
        <f t="shared" si="4"/>
        <v>A</v>
      </c>
    </row>
    <row r="307" spans="1:4">
      <c r="A307" s="11" t="s">
        <v>1166</v>
      </c>
      <c r="B307" s="8">
        <v>12967.958640000001</v>
      </c>
      <c r="C307" s="33">
        <v>0.8059910048094534</v>
      </c>
      <c r="D307" t="str">
        <f t="shared" si="4"/>
        <v>B</v>
      </c>
    </row>
    <row r="308" spans="1:4">
      <c r="A308" s="11" t="s">
        <v>901</v>
      </c>
      <c r="B308" s="8">
        <v>12413.98458</v>
      </c>
      <c r="C308" s="33">
        <v>0.81399163424174836</v>
      </c>
      <c r="D308" t="str">
        <f t="shared" si="4"/>
        <v>B</v>
      </c>
    </row>
    <row r="309" spans="1:4">
      <c r="A309" s="11" t="s">
        <v>897</v>
      </c>
      <c r="B309" s="8">
        <v>12194.714</v>
      </c>
      <c r="C309" s="33">
        <v>0.82185094702871642</v>
      </c>
      <c r="D309" t="str">
        <f t="shared" si="4"/>
        <v>B</v>
      </c>
    </row>
    <row r="310" spans="1:4">
      <c r="A310" s="11" t="s">
        <v>822</v>
      </c>
      <c r="B310" s="8">
        <v>11842.8464</v>
      </c>
      <c r="C310" s="33">
        <v>0.82948348635236269</v>
      </c>
      <c r="D310" t="str">
        <f t="shared" si="4"/>
        <v>B</v>
      </c>
    </row>
    <row r="311" spans="1:4">
      <c r="A311" s="11" t="s">
        <v>983</v>
      </c>
      <c r="B311" s="8">
        <v>11813.604160000001</v>
      </c>
      <c r="C311" s="33">
        <v>0.8370971794848846</v>
      </c>
      <c r="D311" t="str">
        <f t="shared" si="4"/>
        <v>B</v>
      </c>
    </row>
    <row r="312" spans="1:4">
      <c r="A312" s="11" t="s">
        <v>1281</v>
      </c>
      <c r="B312" s="8">
        <v>10937.519999999999</v>
      </c>
      <c r="C312" s="33">
        <v>0.84414624933545424</v>
      </c>
      <c r="D312" t="str">
        <f t="shared" si="4"/>
        <v>B</v>
      </c>
    </row>
    <row r="313" spans="1:4">
      <c r="A313" s="11" t="s">
        <v>1290</v>
      </c>
      <c r="B313" s="8">
        <v>10519.776450000001</v>
      </c>
      <c r="C313" s="33">
        <v>0.85092608964737404</v>
      </c>
      <c r="D313" t="str">
        <f t="shared" si="4"/>
        <v>B</v>
      </c>
    </row>
    <row r="314" spans="1:4">
      <c r="A314" s="11" t="s">
        <v>1152</v>
      </c>
      <c r="B314" s="8">
        <v>9509.2865999999995</v>
      </c>
      <c r="C314" s="33">
        <v>0.85705468419828557</v>
      </c>
      <c r="D314" t="str">
        <f t="shared" si="4"/>
        <v>B</v>
      </c>
    </row>
    <row r="315" spans="1:4">
      <c r="A315" s="11" t="s">
        <v>1344</v>
      </c>
      <c r="B315" s="8">
        <v>9256.14</v>
      </c>
      <c r="C315" s="33">
        <v>0.86302012951007934</v>
      </c>
      <c r="D315" t="str">
        <f t="shared" si="4"/>
        <v>B</v>
      </c>
    </row>
    <row r="316" spans="1:4">
      <c r="A316" s="11" t="s">
        <v>1243</v>
      </c>
      <c r="B316" s="8">
        <v>9232.2830599999998</v>
      </c>
      <c r="C316" s="33">
        <v>0.86897019937693876</v>
      </c>
      <c r="D316" t="str">
        <f t="shared" si="4"/>
        <v>B</v>
      </c>
    </row>
    <row r="317" spans="1:4">
      <c r="A317" s="11" t="s">
        <v>925</v>
      </c>
      <c r="B317" s="8">
        <v>8763.2849999999999</v>
      </c>
      <c r="C317" s="33">
        <v>0.8746180069316174</v>
      </c>
      <c r="D317" t="str">
        <f t="shared" si="4"/>
        <v>B</v>
      </c>
    </row>
    <row r="318" spans="1:4">
      <c r="A318" s="11" t="s">
        <v>917</v>
      </c>
      <c r="B318" s="8">
        <v>8698.8768300000011</v>
      </c>
      <c r="C318" s="33">
        <v>0.88022430437346633</v>
      </c>
      <c r="D318" t="str">
        <f t="shared" si="4"/>
        <v>B</v>
      </c>
    </row>
    <row r="319" spans="1:4">
      <c r="A319" s="11" t="s">
        <v>802</v>
      </c>
      <c r="B319" s="8">
        <v>8671.7354400000004</v>
      </c>
      <c r="C319" s="33">
        <v>0.88581310959093984</v>
      </c>
      <c r="D319" t="str">
        <f t="shared" si="4"/>
        <v>B</v>
      </c>
    </row>
    <row r="320" spans="1:4">
      <c r="A320" s="11" t="s">
        <v>923</v>
      </c>
      <c r="B320" s="8">
        <v>8590.7094000000016</v>
      </c>
      <c r="C320" s="33">
        <v>0.89134969472418268</v>
      </c>
      <c r="D320" t="str">
        <f t="shared" si="4"/>
        <v>B</v>
      </c>
    </row>
    <row r="321" spans="1:4">
      <c r="A321" s="11" t="s">
        <v>1295</v>
      </c>
      <c r="B321" s="8">
        <v>8520.2954399999999</v>
      </c>
      <c r="C321" s="33">
        <v>0.89684089910177922</v>
      </c>
      <c r="D321" t="str">
        <f t="shared" si="4"/>
        <v>B</v>
      </c>
    </row>
    <row r="322" spans="1:4">
      <c r="A322" s="11" t="s">
        <v>1062</v>
      </c>
      <c r="B322" s="8">
        <v>8395.7266713599984</v>
      </c>
      <c r="C322" s="33">
        <v>0.90225182075062715</v>
      </c>
      <c r="D322" t="str">
        <f t="shared" si="4"/>
        <v>B</v>
      </c>
    </row>
    <row r="323" spans="1:4">
      <c r="A323" s="11" t="s">
        <v>1206</v>
      </c>
      <c r="B323" s="8">
        <v>8330.2513199999994</v>
      </c>
      <c r="C323" s="33">
        <v>0.90762054450404483</v>
      </c>
      <c r="D323" t="str">
        <f t="shared" si="4"/>
        <v>B</v>
      </c>
    </row>
    <row r="324" spans="1:4">
      <c r="A324" s="11" t="s">
        <v>1190</v>
      </c>
      <c r="B324" s="8">
        <v>7854.6931199999999</v>
      </c>
      <c r="C324" s="33">
        <v>0.91268277803209041</v>
      </c>
      <c r="D324" t="str">
        <f t="shared" si="4"/>
        <v>B</v>
      </c>
    </row>
    <row r="325" spans="1:4">
      <c r="A325" s="11" t="s">
        <v>950</v>
      </c>
      <c r="B325" s="8">
        <v>7738.9596900000006</v>
      </c>
      <c r="C325" s="33">
        <v>0.91767042307644708</v>
      </c>
      <c r="D325" t="str">
        <f t="shared" si="4"/>
        <v>B</v>
      </c>
    </row>
    <row r="326" spans="1:4">
      <c r="A326" s="11" t="s">
        <v>864</v>
      </c>
      <c r="B326" s="8">
        <v>7703.8640800000003</v>
      </c>
      <c r="C326" s="33">
        <v>0.92263544951929832</v>
      </c>
      <c r="D326" t="str">
        <f t="shared" ref="D326:D389" si="5">IF(C326&lt;=0.8, "A", IF(C326&lt;=0.95, "B", "C"))</f>
        <v>B</v>
      </c>
    </row>
    <row r="327" spans="1:4">
      <c r="A327" s="11" t="s">
        <v>1097</v>
      </c>
      <c r="B327" s="8">
        <v>7327.9533600000004</v>
      </c>
      <c r="C327" s="33">
        <v>0.92735820706363714</v>
      </c>
      <c r="D327" t="str">
        <f t="shared" si="5"/>
        <v>B</v>
      </c>
    </row>
    <row r="328" spans="1:4">
      <c r="A328" s="11" t="s">
        <v>1005</v>
      </c>
      <c r="B328" s="8">
        <v>7120.6486400000003</v>
      </c>
      <c r="C328" s="33">
        <v>0.93194735978241838</v>
      </c>
      <c r="D328" t="str">
        <f t="shared" si="5"/>
        <v>B</v>
      </c>
    </row>
    <row r="329" spans="1:4">
      <c r="A329" s="11" t="s">
        <v>912</v>
      </c>
      <c r="B329" s="8">
        <v>7098.5495999999994</v>
      </c>
      <c r="C329" s="33">
        <v>0.93652226999681198</v>
      </c>
      <c r="D329" t="str">
        <f t="shared" si="5"/>
        <v>B</v>
      </c>
    </row>
    <row r="330" spans="1:4">
      <c r="A330" s="11" t="s">
        <v>902</v>
      </c>
      <c r="B330" s="8">
        <v>6824.2884000000004</v>
      </c>
      <c r="C330" s="33">
        <v>0.94092042292471811</v>
      </c>
      <c r="D330" t="str">
        <f t="shared" si="5"/>
        <v>B</v>
      </c>
    </row>
    <row r="331" spans="1:4">
      <c r="A331" s="11" t="s">
        <v>988</v>
      </c>
      <c r="B331" s="8">
        <v>6468.2751599999992</v>
      </c>
      <c r="C331" s="33">
        <v>0.94508913058564525</v>
      </c>
      <c r="D331" t="str">
        <f t="shared" si="5"/>
        <v>B</v>
      </c>
    </row>
    <row r="332" spans="1:4">
      <c r="A332" s="11" t="s">
        <v>1331</v>
      </c>
      <c r="B332" s="8">
        <v>5962.1422499999999</v>
      </c>
      <c r="C332" s="33">
        <v>0.94893164307287114</v>
      </c>
      <c r="D332" t="str">
        <f t="shared" si="5"/>
        <v>B</v>
      </c>
    </row>
    <row r="333" spans="1:4">
      <c r="A333" s="11" t="s">
        <v>852</v>
      </c>
      <c r="B333" s="8">
        <v>5769.2758000000003</v>
      </c>
      <c r="C333" s="33">
        <v>0.9526498559859814</v>
      </c>
      <c r="D333" t="str">
        <f t="shared" si="5"/>
        <v>C</v>
      </c>
    </row>
    <row r="334" spans="1:4">
      <c r="A334" s="11" t="s">
        <v>1325</v>
      </c>
      <c r="B334" s="8">
        <v>5725.6496000000006</v>
      </c>
      <c r="C334" s="33">
        <v>0.95633995245851677</v>
      </c>
      <c r="D334" t="str">
        <f t="shared" si="5"/>
        <v>C</v>
      </c>
    </row>
    <row r="335" spans="1:4">
      <c r="A335" s="11" t="s">
        <v>1180</v>
      </c>
      <c r="B335" s="8">
        <v>5565.3272500000003</v>
      </c>
      <c r="C335" s="33">
        <v>0.95992672354798947</v>
      </c>
      <c r="D335" t="str">
        <f t="shared" si="5"/>
        <v>C</v>
      </c>
    </row>
    <row r="336" spans="1:4">
      <c r="A336" s="11" t="s">
        <v>967</v>
      </c>
      <c r="B336" s="8">
        <v>5280.8577599999999</v>
      </c>
      <c r="C336" s="33">
        <v>0.96333015825907242</v>
      </c>
      <c r="D336" t="str">
        <f t="shared" si="5"/>
        <v>C</v>
      </c>
    </row>
    <row r="337" spans="1:4">
      <c r="A337" s="11" t="s">
        <v>1359</v>
      </c>
      <c r="B337" s="8">
        <v>5096.4790800000001</v>
      </c>
      <c r="C337" s="33">
        <v>0.96661476363825216</v>
      </c>
      <c r="D337" t="str">
        <f t="shared" si="5"/>
        <v>C</v>
      </c>
    </row>
    <row r="338" spans="1:4">
      <c r="A338" s="11" t="s">
        <v>1048</v>
      </c>
      <c r="B338" s="8">
        <v>5032.4433599999993</v>
      </c>
      <c r="C338" s="33">
        <v>0.96985809894311792</v>
      </c>
      <c r="D338" t="str">
        <f t="shared" si="5"/>
        <v>C</v>
      </c>
    </row>
    <row r="339" spans="1:4">
      <c r="A339" s="11" t="s">
        <v>813</v>
      </c>
      <c r="B339" s="8">
        <v>4877.1379800000004</v>
      </c>
      <c r="C339" s="33">
        <v>0.97300134222787416</v>
      </c>
      <c r="D339" t="str">
        <f t="shared" si="5"/>
        <v>C</v>
      </c>
    </row>
    <row r="340" spans="1:4">
      <c r="A340" s="11" t="s">
        <v>920</v>
      </c>
      <c r="B340" s="8">
        <v>4831.9464600000001</v>
      </c>
      <c r="C340" s="33">
        <v>0.97611546024647011</v>
      </c>
      <c r="D340" t="str">
        <f t="shared" si="5"/>
        <v>C</v>
      </c>
    </row>
    <row r="341" spans="1:4">
      <c r="A341" s="11" t="s">
        <v>1278</v>
      </c>
      <c r="B341" s="8">
        <v>4826.5396199999996</v>
      </c>
      <c r="C341" s="33">
        <v>0.97922609363666469</v>
      </c>
      <c r="D341" t="str">
        <f t="shared" si="5"/>
        <v>C</v>
      </c>
    </row>
    <row r="342" spans="1:4">
      <c r="A342" s="11" t="s">
        <v>1228</v>
      </c>
      <c r="B342" s="8">
        <v>4682.9519799999998</v>
      </c>
      <c r="C342" s="33">
        <v>0.98224418691684912</v>
      </c>
      <c r="D342" t="str">
        <f t="shared" si="5"/>
        <v>C</v>
      </c>
    </row>
    <row r="343" spans="1:4">
      <c r="A343" s="11" t="s">
        <v>992</v>
      </c>
      <c r="B343" s="8">
        <v>4375.3620000000001</v>
      </c>
      <c r="C343" s="33">
        <v>0.98506404300484052</v>
      </c>
      <c r="D343" t="str">
        <f t="shared" si="5"/>
        <v>C</v>
      </c>
    </row>
    <row r="344" spans="1:4">
      <c r="A344" s="11" t="s">
        <v>1031</v>
      </c>
      <c r="B344" s="8">
        <v>3190.8713200000002</v>
      </c>
      <c r="C344" s="33">
        <v>0.98712051237073506</v>
      </c>
      <c r="D344" t="str">
        <f t="shared" si="5"/>
        <v>C</v>
      </c>
    </row>
    <row r="345" spans="1:4">
      <c r="A345" s="11" t="s">
        <v>1052</v>
      </c>
      <c r="B345" s="8">
        <v>2915.4540999999999</v>
      </c>
      <c r="C345" s="33">
        <v>0.98899947941235233</v>
      </c>
      <c r="D345" t="str">
        <f t="shared" si="5"/>
        <v>C</v>
      </c>
    </row>
    <row r="346" spans="1:4">
      <c r="A346" s="11" t="s">
        <v>740</v>
      </c>
      <c r="B346" s="8">
        <v>2886.4496399999998</v>
      </c>
      <c r="C346" s="33">
        <v>0.99085975350853794</v>
      </c>
      <c r="D346" t="str">
        <f t="shared" si="5"/>
        <v>C</v>
      </c>
    </row>
    <row r="347" spans="1:4">
      <c r="A347" s="11" t="s">
        <v>1165</v>
      </c>
      <c r="B347" s="8">
        <v>2627.6239999999998</v>
      </c>
      <c r="C347" s="33">
        <v>0.9925532183083311</v>
      </c>
      <c r="D347" t="str">
        <f t="shared" si="5"/>
        <v>C</v>
      </c>
    </row>
    <row r="348" spans="1:4">
      <c r="A348" s="11" t="s">
        <v>951</v>
      </c>
      <c r="B348" s="8">
        <v>2231.6467200000002</v>
      </c>
      <c r="C348" s="33">
        <v>0.99399148160851936</v>
      </c>
      <c r="D348" t="str">
        <f t="shared" si="5"/>
        <v>C</v>
      </c>
    </row>
    <row r="349" spans="1:4">
      <c r="A349" s="11" t="s">
        <v>1283</v>
      </c>
      <c r="B349" s="8">
        <v>1846.8040799999999</v>
      </c>
      <c r="C349" s="33">
        <v>0.99518171951987744</v>
      </c>
      <c r="D349" t="str">
        <f t="shared" si="5"/>
        <v>C</v>
      </c>
    </row>
    <row r="350" spans="1:4">
      <c r="A350" s="11" t="s">
        <v>1314</v>
      </c>
      <c r="B350" s="8">
        <v>1801.4076000000002</v>
      </c>
      <c r="C350" s="33">
        <v>0.99634270007138703</v>
      </c>
      <c r="D350" t="str">
        <f t="shared" si="5"/>
        <v>C</v>
      </c>
    </row>
    <row r="351" spans="1:4">
      <c r="A351" s="11" t="s">
        <v>945</v>
      </c>
      <c r="B351" s="8">
        <v>1774.8072</v>
      </c>
      <c r="C351" s="33">
        <v>0.9974865370585736</v>
      </c>
      <c r="D351" t="str">
        <f t="shared" si="5"/>
        <v>C</v>
      </c>
    </row>
    <row r="352" spans="1:4">
      <c r="A352" s="11" t="s">
        <v>1039</v>
      </c>
      <c r="B352" s="8">
        <v>1641.7107199999998</v>
      </c>
      <c r="C352" s="33">
        <v>0.9985445953331834</v>
      </c>
      <c r="D352" t="str">
        <f t="shared" si="5"/>
        <v>C</v>
      </c>
    </row>
    <row r="353" spans="1:4">
      <c r="A353" s="11" t="s">
        <v>823</v>
      </c>
      <c r="B353" s="8">
        <v>624.43503999999996</v>
      </c>
      <c r="C353" s="33">
        <v>0.99894703447972688</v>
      </c>
      <c r="D353" t="str">
        <f t="shared" si="5"/>
        <v>C</v>
      </c>
    </row>
    <row r="354" spans="1:4">
      <c r="A354" s="11" t="s">
        <v>981</v>
      </c>
      <c r="B354" s="8">
        <v>607.30668000000003</v>
      </c>
      <c r="C354" s="33">
        <v>0.99933843465161565</v>
      </c>
      <c r="D354" t="str">
        <f t="shared" si="5"/>
        <v>C</v>
      </c>
    </row>
    <row r="355" spans="1:4">
      <c r="A355" s="11" t="s">
        <v>785</v>
      </c>
      <c r="B355" s="8">
        <v>599.53200000000004</v>
      </c>
      <c r="C355" s="33">
        <v>0.99972482415724861</v>
      </c>
      <c r="D355" t="str">
        <f t="shared" si="5"/>
        <v>C</v>
      </c>
    </row>
    <row r="356" spans="1:4">
      <c r="A356" s="11" t="s">
        <v>1265</v>
      </c>
      <c r="B356" s="8">
        <v>534.57695999999999</v>
      </c>
      <c r="C356" s="33">
        <v>1.0000693511004264</v>
      </c>
      <c r="D356" t="str">
        <f t="shared" si="5"/>
        <v>C</v>
      </c>
    </row>
    <row r="357" spans="1:4">
      <c r="A357" s="11" t="s">
        <v>817</v>
      </c>
      <c r="B357" s="8">
        <v>524.81174999999996</v>
      </c>
      <c r="C357" s="33">
        <v>1.0004075845102076</v>
      </c>
      <c r="D357" t="str">
        <f t="shared" si="5"/>
        <v>C</v>
      </c>
    </row>
    <row r="358" spans="1:4">
      <c r="A358" s="11" t="s">
        <v>830</v>
      </c>
      <c r="B358" s="8">
        <v>147.00756000000001</v>
      </c>
      <c r="C358" s="33">
        <v>1.0005023287080699</v>
      </c>
      <c r="D358" t="str">
        <f t="shared" si="5"/>
        <v>C</v>
      </c>
    </row>
    <row r="359" spans="1:4">
      <c r="A359" s="11" t="s">
        <v>1032</v>
      </c>
      <c r="B359" s="8">
        <v>66.920760000000001</v>
      </c>
      <c r="C359" s="33">
        <v>1.0005454581479878</v>
      </c>
      <c r="D359" t="str">
        <f t="shared" si="5"/>
        <v>C</v>
      </c>
    </row>
    <row r="360" spans="1:4">
      <c r="A360" s="11" t="s">
        <v>1349</v>
      </c>
      <c r="B360" s="8">
        <v>-846.34703999999988</v>
      </c>
      <c r="C360" s="33">
        <v>0.99999999999999989</v>
      </c>
      <c r="D360" t="str">
        <f t="shared" si="5"/>
        <v>C</v>
      </c>
    </row>
    <row r="361" spans="1:4">
      <c r="A361" s="10" t="s">
        <v>729</v>
      </c>
      <c r="B361" s="8">
        <v>1777505.6254727044</v>
      </c>
      <c r="C361" s="33"/>
      <c r="D361" t="str">
        <f t="shared" si="5"/>
        <v>A</v>
      </c>
    </row>
    <row r="362" spans="1:4">
      <c r="A362" s="11" t="s">
        <v>781</v>
      </c>
      <c r="B362" s="8">
        <v>109244</v>
      </c>
      <c r="C362" s="33">
        <v>6.1459158516557706E-2</v>
      </c>
      <c r="D362" t="str">
        <f t="shared" si="5"/>
        <v>A</v>
      </c>
    </row>
    <row r="363" spans="1:4">
      <c r="A363" s="11" t="s">
        <v>1345</v>
      </c>
      <c r="B363" s="8">
        <v>82141.339799999987</v>
      </c>
      <c r="C363" s="33">
        <v>0.1076707364845068</v>
      </c>
      <c r="D363" t="str">
        <f t="shared" si="5"/>
        <v>A</v>
      </c>
    </row>
    <row r="364" spans="1:4">
      <c r="A364" s="11" t="s">
        <v>1010</v>
      </c>
      <c r="B364" s="8">
        <v>79548.755999999994</v>
      </c>
      <c r="C364" s="33">
        <v>0.15242376278159381</v>
      </c>
      <c r="D364" t="str">
        <f t="shared" si="5"/>
        <v>A</v>
      </c>
    </row>
    <row r="365" spans="1:4">
      <c r="A365" s="11" t="s">
        <v>957</v>
      </c>
      <c r="B365" s="8">
        <v>66988.771199999988</v>
      </c>
      <c r="C365" s="33">
        <v>0.19011071591412476</v>
      </c>
      <c r="D365" t="str">
        <f t="shared" si="5"/>
        <v>A</v>
      </c>
    </row>
    <row r="366" spans="1:4">
      <c r="A366" s="11" t="s">
        <v>814</v>
      </c>
      <c r="B366" s="8">
        <v>60292.805299999993</v>
      </c>
      <c r="C366" s="33">
        <v>0.22403061154537821</v>
      </c>
      <c r="D366" t="str">
        <f t="shared" si="5"/>
        <v>A</v>
      </c>
    </row>
    <row r="367" spans="1:4">
      <c r="A367" s="11" t="s">
        <v>1324</v>
      </c>
      <c r="B367" s="8">
        <v>51768.181920000003</v>
      </c>
      <c r="C367" s="33">
        <v>0.25315467235178657</v>
      </c>
      <c r="D367" t="str">
        <f t="shared" si="5"/>
        <v>A</v>
      </c>
    </row>
    <row r="368" spans="1:4">
      <c r="A368" s="11" t="s">
        <v>1356</v>
      </c>
      <c r="B368" s="8">
        <v>50090.397499999999</v>
      </c>
      <c r="C368" s="33">
        <v>0.28133483492465</v>
      </c>
      <c r="D368" t="str">
        <f t="shared" si="5"/>
        <v>A</v>
      </c>
    </row>
    <row r="369" spans="1:4">
      <c r="A369" s="11" t="s">
        <v>1091</v>
      </c>
      <c r="B369" s="8">
        <v>49336.511399999996</v>
      </c>
      <c r="C369" s="33">
        <v>0.30909087163867138</v>
      </c>
      <c r="D369" t="str">
        <f t="shared" si="5"/>
        <v>A</v>
      </c>
    </row>
    <row r="370" spans="1:4">
      <c r="A370" s="11" t="s">
        <v>937</v>
      </c>
      <c r="B370" s="8">
        <v>47962.717579999997</v>
      </c>
      <c r="C370" s="33">
        <v>0.33607403101249611</v>
      </c>
      <c r="D370" t="str">
        <f t="shared" si="5"/>
        <v>A</v>
      </c>
    </row>
    <row r="371" spans="1:4">
      <c r="A371" s="11" t="s">
        <v>1116</v>
      </c>
      <c r="B371" s="8">
        <v>47693.373</v>
      </c>
      <c r="C371" s="33">
        <v>0.36290566086307202</v>
      </c>
      <c r="D371" t="str">
        <f t="shared" si="5"/>
        <v>A</v>
      </c>
    </row>
    <row r="372" spans="1:4">
      <c r="A372" s="11" t="s">
        <v>1110</v>
      </c>
      <c r="B372" s="8">
        <v>43553.493060000001</v>
      </c>
      <c r="C372" s="33">
        <v>0.38740825170489707</v>
      </c>
      <c r="D372" t="str">
        <f t="shared" si="5"/>
        <v>A</v>
      </c>
    </row>
    <row r="373" spans="1:4">
      <c r="A373" s="11" t="s">
        <v>1213</v>
      </c>
      <c r="B373" s="8">
        <v>40488.792960000006</v>
      </c>
      <c r="C373" s="33">
        <v>0.41018668479662501</v>
      </c>
      <c r="D373" t="str">
        <f t="shared" si="5"/>
        <v>A</v>
      </c>
    </row>
    <row r="374" spans="1:4">
      <c r="A374" s="11" t="s">
        <v>1036</v>
      </c>
      <c r="B374" s="8">
        <v>39686.4182</v>
      </c>
      <c r="C374" s="33">
        <v>0.43251371298222968</v>
      </c>
      <c r="D374" t="str">
        <f t="shared" si="5"/>
        <v>A</v>
      </c>
    </row>
    <row r="375" spans="1:4">
      <c r="A375" s="11" t="s">
        <v>1056</v>
      </c>
      <c r="B375" s="8">
        <v>39546.774539999999</v>
      </c>
      <c r="C375" s="33">
        <v>0.45476217958243131</v>
      </c>
      <c r="D375" t="str">
        <f t="shared" si="5"/>
        <v>A</v>
      </c>
    </row>
    <row r="376" spans="1:4">
      <c r="A376" s="11" t="s">
        <v>854</v>
      </c>
      <c r="B376" s="8">
        <v>39516.804389999998</v>
      </c>
      <c r="C376" s="33">
        <v>0.47699378539211251</v>
      </c>
      <c r="D376" t="str">
        <f t="shared" si="5"/>
        <v>A</v>
      </c>
    </row>
    <row r="377" spans="1:4">
      <c r="A377" s="11" t="s">
        <v>782</v>
      </c>
      <c r="B377" s="8">
        <v>35621.302319999995</v>
      </c>
      <c r="C377" s="33">
        <v>0.49703383579168692</v>
      </c>
      <c r="D377" t="str">
        <f t="shared" si="5"/>
        <v>A</v>
      </c>
    </row>
    <row r="378" spans="1:4">
      <c r="A378" s="11" t="s">
        <v>1087</v>
      </c>
      <c r="B378" s="8">
        <v>34816.968000000001</v>
      </c>
      <c r="C378" s="33">
        <v>0.51662137886387316</v>
      </c>
      <c r="D378" t="str">
        <f t="shared" si="5"/>
        <v>A</v>
      </c>
    </row>
    <row r="379" spans="1:4">
      <c r="A379" s="11" t="s">
        <v>1301</v>
      </c>
      <c r="B379" s="8">
        <v>34307.159999999996</v>
      </c>
      <c r="C379" s="33">
        <v>0.53592211102941922</v>
      </c>
      <c r="D379" t="str">
        <f t="shared" si="5"/>
        <v>A</v>
      </c>
    </row>
    <row r="380" spans="1:4">
      <c r="A380" s="11" t="s">
        <v>1113</v>
      </c>
      <c r="B380" s="8">
        <v>33200.038079999998</v>
      </c>
      <c r="C380" s="33">
        <v>0.55459999176533581</v>
      </c>
      <c r="D380" t="str">
        <f t="shared" si="5"/>
        <v>A</v>
      </c>
    </row>
    <row r="381" spans="1:4">
      <c r="A381" s="11" t="s">
        <v>1357</v>
      </c>
      <c r="B381" s="8">
        <v>32704.386400000003</v>
      </c>
      <c r="C381" s="33">
        <v>0.57299902574380923</v>
      </c>
      <c r="D381" t="str">
        <f t="shared" si="5"/>
        <v>A</v>
      </c>
    </row>
    <row r="382" spans="1:4">
      <c r="A382" s="11" t="s">
        <v>779</v>
      </c>
      <c r="B382" s="8">
        <v>32506.559399999998</v>
      </c>
      <c r="C382" s="33">
        <v>0.59128676499715493</v>
      </c>
      <c r="D382" t="str">
        <f t="shared" si="5"/>
        <v>A</v>
      </c>
    </row>
    <row r="383" spans="1:4">
      <c r="A383" s="11" t="s">
        <v>1147</v>
      </c>
      <c r="B383" s="8">
        <v>31513.423040000001</v>
      </c>
      <c r="C383" s="33">
        <v>0.60901577951524932</v>
      </c>
      <c r="D383" t="str">
        <f t="shared" si="5"/>
        <v>A</v>
      </c>
    </row>
    <row r="384" spans="1:4">
      <c r="A384" s="11" t="s">
        <v>1229</v>
      </c>
      <c r="B384" s="8">
        <v>30692.47896</v>
      </c>
      <c r="C384" s="33">
        <v>0.62628294228545867</v>
      </c>
      <c r="D384" t="str">
        <f t="shared" si="5"/>
        <v>A</v>
      </c>
    </row>
    <row r="385" spans="1:4">
      <c r="A385" s="11" t="s">
        <v>960</v>
      </c>
      <c r="B385" s="8">
        <v>30479.418970000002</v>
      </c>
      <c r="C385" s="33">
        <v>0.64343024046174124</v>
      </c>
      <c r="D385" t="str">
        <f t="shared" si="5"/>
        <v>A</v>
      </c>
    </row>
    <row r="386" spans="1:4">
      <c r="A386" s="11" t="s">
        <v>1354</v>
      </c>
      <c r="B386" s="8">
        <v>30229.994880000002</v>
      </c>
      <c r="C386" s="33">
        <v>0.66043721610602957</v>
      </c>
      <c r="D386" t="str">
        <f t="shared" si="5"/>
        <v>A</v>
      </c>
    </row>
    <row r="387" spans="1:4">
      <c r="A387" s="11" t="s">
        <v>1282</v>
      </c>
      <c r="B387" s="8">
        <v>29673.454499999993</v>
      </c>
      <c r="C387" s="33">
        <v>0.67713108985515413</v>
      </c>
      <c r="D387" t="str">
        <f t="shared" si="5"/>
        <v>A</v>
      </c>
    </row>
    <row r="388" spans="1:4">
      <c r="A388" s="11" t="s">
        <v>878</v>
      </c>
      <c r="B388" s="8">
        <v>25672.127039999999</v>
      </c>
      <c r="C388" s="33">
        <v>0.69157387229820422</v>
      </c>
      <c r="D388" t="str">
        <f t="shared" si="5"/>
        <v>A</v>
      </c>
    </row>
    <row r="389" spans="1:4">
      <c r="A389" s="11" t="s">
        <v>1230</v>
      </c>
      <c r="B389" s="8">
        <v>25249.613219999999</v>
      </c>
      <c r="C389" s="33">
        <v>0.70577895432897708</v>
      </c>
      <c r="D389" t="str">
        <f t="shared" si="5"/>
        <v>A</v>
      </c>
    </row>
    <row r="390" spans="1:4">
      <c r="A390" s="11" t="s">
        <v>1217</v>
      </c>
      <c r="B390" s="8">
        <v>21908.731650000002</v>
      </c>
      <c r="C390" s="33">
        <v>0.71810450274695947</v>
      </c>
      <c r="D390" t="str">
        <f t="shared" ref="D390:D453" si="6">IF(C390&lt;=0.8, "A", IF(C390&lt;=0.95, "B", "C"))</f>
        <v>A</v>
      </c>
    </row>
    <row r="391" spans="1:4">
      <c r="A391" s="11" t="s">
        <v>818</v>
      </c>
      <c r="B391" s="8">
        <v>21062.61248</v>
      </c>
      <c r="C391" s="33">
        <v>0.72995403626075561</v>
      </c>
      <c r="D391" t="str">
        <f t="shared" si="6"/>
        <v>A</v>
      </c>
    </row>
    <row r="392" spans="1:4">
      <c r="A392" s="11" t="s">
        <v>763</v>
      </c>
      <c r="B392" s="8">
        <v>20084.133720000002</v>
      </c>
      <c r="C392" s="33">
        <v>0.74125309120166971</v>
      </c>
      <c r="D392" t="str">
        <f t="shared" si="6"/>
        <v>A</v>
      </c>
    </row>
    <row r="393" spans="1:4">
      <c r="A393" s="11" t="s">
        <v>1021</v>
      </c>
      <c r="B393" s="8">
        <v>20028.787380000002</v>
      </c>
      <c r="C393" s="33">
        <v>0.75252100905969266</v>
      </c>
      <c r="D393" t="str">
        <f t="shared" si="6"/>
        <v>A</v>
      </c>
    </row>
    <row r="394" spans="1:4">
      <c r="A394" s="11" t="s">
        <v>755</v>
      </c>
      <c r="B394" s="8">
        <v>19903.585040000002</v>
      </c>
      <c r="C394" s="33">
        <v>0.76371848981855495</v>
      </c>
      <c r="D394" t="str">
        <f t="shared" si="6"/>
        <v>A</v>
      </c>
    </row>
    <row r="395" spans="1:4">
      <c r="A395" s="11" t="s">
        <v>1284</v>
      </c>
      <c r="B395" s="8">
        <v>18830.12472</v>
      </c>
      <c r="C395" s="33">
        <v>0.7743120566968551</v>
      </c>
      <c r="D395" t="str">
        <f t="shared" si="6"/>
        <v>A</v>
      </c>
    </row>
    <row r="396" spans="1:4">
      <c r="A396" s="11" t="s">
        <v>1346</v>
      </c>
      <c r="B396" s="8">
        <v>18500.693520000001</v>
      </c>
      <c r="C396" s="33">
        <v>0.78472029015326406</v>
      </c>
      <c r="D396" t="str">
        <f t="shared" si="6"/>
        <v>A</v>
      </c>
    </row>
    <row r="397" spans="1:4">
      <c r="A397" s="11" t="s">
        <v>1133</v>
      </c>
      <c r="B397" s="8">
        <v>17731.623</v>
      </c>
      <c r="C397" s="33">
        <v>0.79469585520683983</v>
      </c>
      <c r="D397" t="str">
        <f t="shared" si="6"/>
        <v>A</v>
      </c>
    </row>
    <row r="398" spans="1:4">
      <c r="A398" s="11" t="s">
        <v>1015</v>
      </c>
      <c r="B398" s="8">
        <v>16822.425232704001</v>
      </c>
      <c r="C398" s="33">
        <v>0.80415991821267718</v>
      </c>
      <c r="D398" t="str">
        <f t="shared" si="6"/>
        <v>B</v>
      </c>
    </row>
    <row r="399" spans="1:4">
      <c r="A399" s="11" t="s">
        <v>1051</v>
      </c>
      <c r="B399" s="8">
        <v>16306.59375</v>
      </c>
      <c r="C399" s="33">
        <v>0.81333378158408765</v>
      </c>
      <c r="D399" t="str">
        <f t="shared" si="6"/>
        <v>B</v>
      </c>
    </row>
    <row r="400" spans="1:4">
      <c r="A400" s="11" t="s">
        <v>863</v>
      </c>
      <c r="B400" s="8">
        <v>16071.44868</v>
      </c>
      <c r="C400" s="33">
        <v>0.82237535560201847</v>
      </c>
      <c r="D400" t="str">
        <f t="shared" si="6"/>
        <v>B</v>
      </c>
    </row>
    <row r="401" spans="1:4">
      <c r="A401" s="11" t="s">
        <v>1240</v>
      </c>
      <c r="B401" s="8">
        <v>15323.926799999999</v>
      </c>
      <c r="C401" s="33">
        <v>0.83099638418296873</v>
      </c>
      <c r="D401" t="str">
        <f t="shared" si="6"/>
        <v>B</v>
      </c>
    </row>
    <row r="402" spans="1:4">
      <c r="A402" s="11" t="s">
        <v>949</v>
      </c>
      <c r="B402" s="8">
        <v>15253.069799999999</v>
      </c>
      <c r="C402" s="33">
        <v>0.83957754959893949</v>
      </c>
      <c r="D402" t="str">
        <f t="shared" si="6"/>
        <v>B</v>
      </c>
    </row>
    <row r="403" spans="1:4">
      <c r="A403" s="11" t="s">
        <v>1200</v>
      </c>
      <c r="B403" s="8">
        <v>14261.92439</v>
      </c>
      <c r="C403" s="33">
        <v>0.84760111036050234</v>
      </c>
      <c r="D403" t="str">
        <f t="shared" si="6"/>
        <v>B</v>
      </c>
    </row>
    <row r="404" spans="1:4">
      <c r="A404" s="11" t="s">
        <v>1309</v>
      </c>
      <c r="B404" s="8">
        <v>13882.6016</v>
      </c>
      <c r="C404" s="33">
        <v>0.85541126938394174</v>
      </c>
      <c r="D404" t="str">
        <f t="shared" si="6"/>
        <v>B</v>
      </c>
    </row>
    <row r="405" spans="1:4">
      <c r="A405" s="11" t="s">
        <v>1114</v>
      </c>
      <c r="B405" s="8">
        <v>12881.097599999999</v>
      </c>
      <c r="C405" s="33">
        <v>0.86265799615397631</v>
      </c>
      <c r="D405" t="str">
        <f t="shared" si="6"/>
        <v>B</v>
      </c>
    </row>
    <row r="406" spans="1:4">
      <c r="A406" s="11" t="s">
        <v>1308</v>
      </c>
      <c r="B406" s="8">
        <v>12091.190399999999</v>
      </c>
      <c r="C406" s="33">
        <v>0.86946033209414209</v>
      </c>
      <c r="D406" t="str">
        <f t="shared" si="6"/>
        <v>B</v>
      </c>
    </row>
    <row r="407" spans="1:4">
      <c r="A407" s="11" t="s">
        <v>857</v>
      </c>
      <c r="B407" s="8">
        <v>10817.3416</v>
      </c>
      <c r="C407" s="33">
        <v>0.8755460183755136</v>
      </c>
      <c r="D407" t="str">
        <f t="shared" si="6"/>
        <v>B</v>
      </c>
    </row>
    <row r="408" spans="1:4">
      <c r="A408" s="11" t="s">
        <v>1277</v>
      </c>
      <c r="B408" s="8">
        <v>10792.637119999999</v>
      </c>
      <c r="C408" s="33">
        <v>0.88161780625923969</v>
      </c>
      <c r="D408" t="str">
        <f t="shared" si="6"/>
        <v>B</v>
      </c>
    </row>
    <row r="409" spans="1:4">
      <c r="A409" s="11" t="s">
        <v>1348</v>
      </c>
      <c r="B409" s="8">
        <v>10786.32144</v>
      </c>
      <c r="C409" s="33">
        <v>0.88768604102903492</v>
      </c>
      <c r="D409" t="str">
        <f t="shared" si="6"/>
        <v>B</v>
      </c>
    </row>
    <row r="410" spans="1:4">
      <c r="A410" s="11" t="s">
        <v>775</v>
      </c>
      <c r="B410" s="8">
        <v>10558.74</v>
      </c>
      <c r="C410" s="33">
        <v>0.89362624163863469</v>
      </c>
      <c r="D410" t="str">
        <f t="shared" si="6"/>
        <v>B</v>
      </c>
    </row>
    <row r="411" spans="1:4">
      <c r="A411" s="11" t="s">
        <v>1237</v>
      </c>
      <c r="B411" s="8">
        <v>10189.8891</v>
      </c>
      <c r="C411" s="33">
        <v>0.89935893185011584</v>
      </c>
      <c r="D411" t="str">
        <f t="shared" si="6"/>
        <v>B</v>
      </c>
    </row>
    <row r="412" spans="1:4">
      <c r="A412" s="11" t="s">
        <v>1296</v>
      </c>
      <c r="B412" s="8">
        <v>10166.535600000001</v>
      </c>
      <c r="C412" s="33">
        <v>0.90507848370655308</v>
      </c>
      <c r="D412" t="str">
        <f t="shared" si="6"/>
        <v>B</v>
      </c>
    </row>
    <row r="413" spans="1:4">
      <c r="A413" s="11" t="s">
        <v>1251</v>
      </c>
      <c r="B413" s="8">
        <v>9807.7842799999999</v>
      </c>
      <c r="C413" s="33">
        <v>0.91059620704843658</v>
      </c>
      <c r="D413" t="str">
        <f t="shared" si="6"/>
        <v>B</v>
      </c>
    </row>
    <row r="414" spans="1:4">
      <c r="A414" s="11" t="s">
        <v>766</v>
      </c>
      <c r="B414" s="8">
        <v>9647.3852800000004</v>
      </c>
      <c r="C414" s="33">
        <v>0.91602369213863677</v>
      </c>
      <c r="D414" t="str">
        <f t="shared" si="6"/>
        <v>B</v>
      </c>
    </row>
    <row r="415" spans="1:4">
      <c r="A415" s="11" t="s">
        <v>807</v>
      </c>
      <c r="B415" s="8">
        <v>9373.460219999999</v>
      </c>
      <c r="C415" s="33">
        <v>0.92129707079109946</v>
      </c>
      <c r="D415" t="str">
        <f t="shared" si="6"/>
        <v>B</v>
      </c>
    </row>
    <row r="416" spans="1:4">
      <c r="A416" s="11" t="s">
        <v>1263</v>
      </c>
      <c r="B416" s="8">
        <v>9262.0686600000008</v>
      </c>
      <c r="C416" s="33">
        <v>0.92650778209758944</v>
      </c>
      <c r="D416" t="str">
        <f t="shared" si="6"/>
        <v>B</v>
      </c>
    </row>
    <row r="417" spans="1:4">
      <c r="A417" s="11" t="s">
        <v>889</v>
      </c>
      <c r="B417" s="8">
        <v>8909.6646800000017</v>
      </c>
      <c r="C417" s="33">
        <v>0.93152023581493304</v>
      </c>
      <c r="D417" t="str">
        <f t="shared" si="6"/>
        <v>B</v>
      </c>
    </row>
    <row r="418" spans="1:4">
      <c r="A418" s="11" t="s">
        <v>1065</v>
      </c>
      <c r="B418" s="8">
        <v>8764.4065599999994</v>
      </c>
      <c r="C418" s="33">
        <v>0.9364509693295846</v>
      </c>
      <c r="D418" t="str">
        <f t="shared" si="6"/>
        <v>B</v>
      </c>
    </row>
    <row r="419" spans="1:4">
      <c r="A419" s="11" t="s">
        <v>1236</v>
      </c>
      <c r="B419" s="8">
        <v>8637.1874499999994</v>
      </c>
      <c r="C419" s="33">
        <v>0.94131013113825857</v>
      </c>
      <c r="D419" t="str">
        <f t="shared" si="6"/>
        <v>B</v>
      </c>
    </row>
    <row r="420" spans="1:4">
      <c r="A420" s="11" t="s">
        <v>932</v>
      </c>
      <c r="B420" s="8">
        <v>8349.2224200000001</v>
      </c>
      <c r="C420" s="33">
        <v>0.94600728781689336</v>
      </c>
      <c r="D420" t="str">
        <f t="shared" si="6"/>
        <v>B</v>
      </c>
    </row>
    <row r="421" spans="1:4">
      <c r="A421" s="11" t="s">
        <v>824</v>
      </c>
      <c r="B421" s="8">
        <v>8324.8326000000015</v>
      </c>
      <c r="C421" s="33">
        <v>0.95069072312123237</v>
      </c>
      <c r="D421" t="str">
        <f t="shared" si="6"/>
        <v>C</v>
      </c>
    </row>
    <row r="422" spans="1:4">
      <c r="A422" s="11" t="s">
        <v>996</v>
      </c>
      <c r="B422" s="8">
        <v>8186.057600000001</v>
      </c>
      <c r="C422" s="33">
        <v>0.95529608553623069</v>
      </c>
      <c r="D422" t="str">
        <f t="shared" si="6"/>
        <v>C</v>
      </c>
    </row>
    <row r="423" spans="1:4">
      <c r="A423" s="11" t="s">
        <v>1269</v>
      </c>
      <c r="B423" s="8">
        <v>7823.4472399999995</v>
      </c>
      <c r="C423" s="33">
        <v>0.9596974483943197</v>
      </c>
      <c r="D423" t="str">
        <f t="shared" si="6"/>
        <v>C</v>
      </c>
    </row>
    <row r="424" spans="1:4">
      <c r="A424" s="11" t="s">
        <v>1055</v>
      </c>
      <c r="B424" s="8">
        <v>7493.1076000000012</v>
      </c>
      <c r="C424" s="33">
        <v>0.96391296675477911</v>
      </c>
      <c r="D424" t="str">
        <f t="shared" si="6"/>
        <v>C</v>
      </c>
    </row>
    <row r="425" spans="1:4">
      <c r="A425" s="11" t="s">
        <v>890</v>
      </c>
      <c r="B425" s="8">
        <v>7203.8047000000006</v>
      </c>
      <c r="C425" s="33">
        <v>0.96796572731810171</v>
      </c>
      <c r="D425" t="str">
        <f t="shared" si="6"/>
        <v>C</v>
      </c>
    </row>
    <row r="426" spans="1:4">
      <c r="A426" s="11" t="s">
        <v>1112</v>
      </c>
      <c r="B426" s="8">
        <v>6576.298960000001</v>
      </c>
      <c r="C426" s="33">
        <v>0.9716654618594488</v>
      </c>
      <c r="D426" t="str">
        <f t="shared" si="6"/>
        <v>C</v>
      </c>
    </row>
    <row r="427" spans="1:4">
      <c r="A427" s="11" t="s">
        <v>1169</v>
      </c>
      <c r="B427" s="8">
        <v>5546.4642200000008</v>
      </c>
      <c r="C427" s="33">
        <v>0.97478582566618777</v>
      </c>
      <c r="D427" t="str">
        <f t="shared" si="6"/>
        <v>C</v>
      </c>
    </row>
    <row r="428" spans="1:4">
      <c r="A428" s="11" t="s">
        <v>832</v>
      </c>
      <c r="B428" s="8">
        <v>5328.4890400000004</v>
      </c>
      <c r="C428" s="33">
        <v>0.9777835596613097</v>
      </c>
      <c r="D428" t="str">
        <f t="shared" si="6"/>
        <v>C</v>
      </c>
    </row>
    <row r="429" spans="1:4">
      <c r="A429" s="11" t="s">
        <v>1311</v>
      </c>
      <c r="B429" s="8">
        <v>4280.6786400000001</v>
      </c>
      <c r="C429" s="33">
        <v>0.98019181006494016</v>
      </c>
      <c r="D429" t="str">
        <f t="shared" si="6"/>
        <v>C</v>
      </c>
    </row>
    <row r="430" spans="1:4">
      <c r="A430" s="11" t="s">
        <v>928</v>
      </c>
      <c r="B430" s="8">
        <v>3928.3797600000003</v>
      </c>
      <c r="C430" s="33">
        <v>0.9824018620072259</v>
      </c>
      <c r="D430" t="str">
        <f t="shared" si="6"/>
        <v>C</v>
      </c>
    </row>
    <row r="431" spans="1:4">
      <c r="A431" s="11" t="s">
        <v>1041</v>
      </c>
      <c r="B431" s="8">
        <v>3644.3212800000006</v>
      </c>
      <c r="C431" s="33">
        <v>0.98445210659029492</v>
      </c>
      <c r="D431" t="str">
        <f t="shared" si="6"/>
        <v>C</v>
      </c>
    </row>
    <row r="432" spans="1:4">
      <c r="A432" s="11" t="s">
        <v>982</v>
      </c>
      <c r="B432" s="8">
        <v>3592.04</v>
      </c>
      <c r="C432" s="33">
        <v>0.9864729384506975</v>
      </c>
      <c r="D432" t="str">
        <f t="shared" si="6"/>
        <v>C</v>
      </c>
    </row>
    <row r="433" spans="1:4">
      <c r="A433" s="11" t="s">
        <v>1272</v>
      </c>
      <c r="B433" s="8">
        <v>3340.6370000000002</v>
      </c>
      <c r="C433" s="33">
        <v>0.9883523344717996</v>
      </c>
      <c r="D433" t="str">
        <f t="shared" si="6"/>
        <v>C</v>
      </c>
    </row>
    <row r="434" spans="1:4">
      <c r="A434" s="11" t="s">
        <v>1078</v>
      </c>
      <c r="B434" s="8">
        <v>3175.1547799999998</v>
      </c>
      <c r="C434" s="33">
        <v>0.9901386324921817</v>
      </c>
      <c r="D434" t="str">
        <f t="shared" si="6"/>
        <v>C</v>
      </c>
    </row>
    <row r="435" spans="1:4">
      <c r="A435" s="11" t="s">
        <v>1172</v>
      </c>
      <c r="B435" s="8">
        <v>2795.6384399999997</v>
      </c>
      <c r="C435" s="33">
        <v>0.99171141988589617</v>
      </c>
      <c r="D435" t="str">
        <f t="shared" si="6"/>
        <v>C</v>
      </c>
    </row>
    <row r="436" spans="1:4">
      <c r="A436" s="11" t="s">
        <v>991</v>
      </c>
      <c r="B436" s="8">
        <v>2394.1605599999998</v>
      </c>
      <c r="C436" s="33">
        <v>0.99305834139528004</v>
      </c>
      <c r="D436" t="str">
        <f t="shared" si="6"/>
        <v>C</v>
      </c>
    </row>
    <row r="437" spans="1:4">
      <c r="A437" s="11" t="s">
        <v>1353</v>
      </c>
      <c r="B437" s="8">
        <v>2355.2113199999999</v>
      </c>
      <c r="C437" s="33">
        <v>0.99438335060270444</v>
      </c>
      <c r="D437" t="str">
        <f t="shared" si="6"/>
        <v>C</v>
      </c>
    </row>
    <row r="438" spans="1:4">
      <c r="A438" s="11" t="s">
        <v>1167</v>
      </c>
      <c r="B438" s="8">
        <v>1950.0031200000001</v>
      </c>
      <c r="C438" s="33">
        <v>0.99548039529952859</v>
      </c>
      <c r="D438" t="str">
        <f t="shared" si="6"/>
        <v>C</v>
      </c>
    </row>
    <row r="439" spans="1:4">
      <c r="A439" s="11" t="s">
        <v>1196</v>
      </c>
      <c r="B439" s="8">
        <v>1886.9915999999998</v>
      </c>
      <c r="C439" s="33">
        <v>0.99654199058955661</v>
      </c>
      <c r="D439" t="str">
        <f t="shared" si="6"/>
        <v>C</v>
      </c>
    </row>
    <row r="440" spans="1:4">
      <c r="A440" s="11" t="s">
        <v>842</v>
      </c>
      <c r="B440" s="8">
        <v>1660.3999999999999</v>
      </c>
      <c r="C440" s="33">
        <v>0.99747610858963798</v>
      </c>
      <c r="D440" t="str">
        <f t="shared" si="6"/>
        <v>C</v>
      </c>
    </row>
    <row r="441" spans="1:4">
      <c r="A441" s="11" t="s">
        <v>848</v>
      </c>
      <c r="B441" s="8">
        <v>1499.22</v>
      </c>
      <c r="C441" s="33">
        <v>0.99831954895827324</v>
      </c>
      <c r="D441" t="str">
        <f t="shared" si="6"/>
        <v>C</v>
      </c>
    </row>
    <row r="442" spans="1:4">
      <c r="A442" s="11" t="s">
        <v>1075</v>
      </c>
      <c r="B442" s="8">
        <v>1115.1975999999997</v>
      </c>
      <c r="C442" s="33">
        <v>0.99894694365341152</v>
      </c>
      <c r="D442" t="str">
        <f t="shared" si="6"/>
        <v>C</v>
      </c>
    </row>
    <row r="443" spans="1:4">
      <c r="A443" s="11" t="s">
        <v>1334</v>
      </c>
      <c r="B443" s="8">
        <v>1062.5902000000001</v>
      </c>
      <c r="C443" s="33">
        <v>0.99954474215529665</v>
      </c>
      <c r="D443" t="str">
        <f t="shared" si="6"/>
        <v>C</v>
      </c>
    </row>
    <row r="444" spans="1:4">
      <c r="A444" s="11" t="s">
        <v>1045</v>
      </c>
      <c r="B444" s="8">
        <v>879.05840000000001</v>
      </c>
      <c r="C444" s="33">
        <v>1.0000392882132121</v>
      </c>
      <c r="D444" t="str">
        <f t="shared" si="6"/>
        <v>C</v>
      </c>
    </row>
    <row r="445" spans="1:4">
      <c r="A445" s="11" t="s">
        <v>788</v>
      </c>
      <c r="B445" s="8">
        <v>215.19839999999996</v>
      </c>
      <c r="C445" s="33">
        <v>1.0001603558469321</v>
      </c>
      <c r="D445" t="str">
        <f t="shared" si="6"/>
        <v>C</v>
      </c>
    </row>
    <row r="446" spans="1:4">
      <c r="A446" s="11" t="s">
        <v>846</v>
      </c>
      <c r="B446" s="8">
        <v>34.689059999999998</v>
      </c>
      <c r="C446" s="33">
        <v>1.0001798714307384</v>
      </c>
      <c r="D446" t="str">
        <f t="shared" si="6"/>
        <v>C</v>
      </c>
    </row>
    <row r="447" spans="1:4">
      <c r="A447" s="11" t="s">
        <v>736</v>
      </c>
      <c r="B447" s="8">
        <v>-319.72248000000002</v>
      </c>
      <c r="C447" s="33">
        <v>0.99999999999999956</v>
      </c>
      <c r="D447" t="str">
        <f t="shared" si="6"/>
        <v>C</v>
      </c>
    </row>
    <row r="448" spans="1:4">
      <c r="A448" s="10" t="s">
        <v>730</v>
      </c>
      <c r="B448" s="8">
        <v>1404434.6552706882</v>
      </c>
      <c r="C448" s="33"/>
      <c r="D448" t="str">
        <f t="shared" si="6"/>
        <v>A</v>
      </c>
    </row>
    <row r="449" spans="1:4">
      <c r="A449" s="11" t="s">
        <v>1320</v>
      </c>
      <c r="B449" s="8">
        <v>68665.574250000005</v>
      </c>
      <c r="C449" s="33">
        <v>4.8891968018807914E-2</v>
      </c>
      <c r="D449" t="str">
        <f t="shared" si="6"/>
        <v>A</v>
      </c>
    </row>
    <row r="450" spans="1:4">
      <c r="A450" s="11" t="s">
        <v>834</v>
      </c>
      <c r="B450" s="8">
        <v>52780.07</v>
      </c>
      <c r="C450" s="33">
        <v>8.6472976007981511E-2</v>
      </c>
      <c r="D450" t="str">
        <f t="shared" si="6"/>
        <v>A</v>
      </c>
    </row>
    <row r="451" spans="1:4">
      <c r="A451" s="11" t="s">
        <v>883</v>
      </c>
      <c r="B451" s="8">
        <v>42495.805439999996</v>
      </c>
      <c r="C451" s="33">
        <v>0.11673127622901204</v>
      </c>
      <c r="D451" t="str">
        <f t="shared" si="6"/>
        <v>A</v>
      </c>
    </row>
    <row r="452" spans="1:4">
      <c r="A452" s="11" t="s">
        <v>915</v>
      </c>
      <c r="B452" s="8">
        <v>41352.246200000009</v>
      </c>
      <c r="C452" s="33">
        <v>0.14617532764486796</v>
      </c>
      <c r="D452" t="str">
        <f t="shared" si="6"/>
        <v>A</v>
      </c>
    </row>
    <row r="453" spans="1:4">
      <c r="A453" s="11" t="s">
        <v>1162</v>
      </c>
      <c r="B453" s="8">
        <v>41138.261999999995</v>
      </c>
      <c r="C453" s="33">
        <v>0.17546701583100935</v>
      </c>
      <c r="D453" t="str">
        <f t="shared" si="6"/>
        <v>A</v>
      </c>
    </row>
    <row r="454" spans="1:4">
      <c r="A454" s="11" t="s">
        <v>1109</v>
      </c>
      <c r="B454" s="8">
        <v>38422.022320000004</v>
      </c>
      <c r="C454" s="33">
        <v>0.20282465911886641</v>
      </c>
      <c r="D454" t="str">
        <f t="shared" ref="D454:D517" si="7">IF(C454&lt;=0.8, "A", IF(C454&lt;=0.95, "B", "C"))</f>
        <v>A</v>
      </c>
    </row>
    <row r="455" spans="1:4">
      <c r="A455" s="11" t="s">
        <v>970</v>
      </c>
      <c r="B455" s="8">
        <v>37038.581760000001</v>
      </c>
      <c r="C455" s="33">
        <v>0.22919725083824496</v>
      </c>
      <c r="D455" t="str">
        <f t="shared" si="7"/>
        <v>A</v>
      </c>
    </row>
    <row r="456" spans="1:4">
      <c r="A456" s="11" t="s">
        <v>751</v>
      </c>
      <c r="B456" s="8">
        <v>35367.211040000002</v>
      </c>
      <c r="C456" s="33">
        <v>0.25437977599687073</v>
      </c>
      <c r="D456" t="str">
        <f t="shared" si="7"/>
        <v>A</v>
      </c>
    </row>
    <row r="457" spans="1:4">
      <c r="A457" s="11" t="s">
        <v>1012</v>
      </c>
      <c r="B457" s="8">
        <v>34840.344000000005</v>
      </c>
      <c r="C457" s="33">
        <v>0.27918715586979542</v>
      </c>
      <c r="D457" t="str">
        <f t="shared" si="7"/>
        <v>A</v>
      </c>
    </row>
    <row r="458" spans="1:4">
      <c r="A458" s="11" t="s">
        <v>1239</v>
      </c>
      <c r="B458" s="8">
        <v>34800.431400000001</v>
      </c>
      <c r="C458" s="33">
        <v>0.30396611676299029</v>
      </c>
      <c r="D458" t="str">
        <f t="shared" si="7"/>
        <v>A</v>
      </c>
    </row>
    <row r="459" spans="1:4">
      <c r="A459" s="11" t="s">
        <v>1287</v>
      </c>
      <c r="B459" s="8">
        <v>33551.927499999998</v>
      </c>
      <c r="C459" s="33">
        <v>0.32785610507542856</v>
      </c>
      <c r="D459" t="str">
        <f t="shared" si="7"/>
        <v>A</v>
      </c>
    </row>
    <row r="460" spans="1:4">
      <c r="A460" s="11" t="s">
        <v>1294</v>
      </c>
      <c r="B460" s="8">
        <v>33071.3145</v>
      </c>
      <c r="C460" s="33">
        <v>0.35140388237919057</v>
      </c>
      <c r="D460" t="str">
        <f t="shared" si="7"/>
        <v>A</v>
      </c>
    </row>
    <row r="461" spans="1:4">
      <c r="A461" s="11" t="s">
        <v>1360</v>
      </c>
      <c r="B461" s="8">
        <v>33017.42</v>
      </c>
      <c r="C461" s="33">
        <v>0.37491328516705924</v>
      </c>
      <c r="D461" t="str">
        <f t="shared" si="7"/>
        <v>A</v>
      </c>
    </row>
    <row r="462" spans="1:4">
      <c r="A462" s="11" t="s">
        <v>1108</v>
      </c>
      <c r="B462" s="8">
        <v>31005.24768</v>
      </c>
      <c r="C462" s="33">
        <v>0.39698996033570505</v>
      </c>
      <c r="D462" t="str">
        <f t="shared" si="7"/>
        <v>A</v>
      </c>
    </row>
    <row r="463" spans="1:4">
      <c r="A463" s="11" t="s">
        <v>1156</v>
      </c>
      <c r="B463" s="8">
        <v>29627.320319999999</v>
      </c>
      <c r="C463" s="33">
        <v>0.41808550950120865</v>
      </c>
      <c r="D463" t="str">
        <f t="shared" si="7"/>
        <v>A</v>
      </c>
    </row>
    <row r="464" spans="1:4">
      <c r="A464" s="11" t="s">
        <v>893</v>
      </c>
      <c r="B464" s="8">
        <v>29263.754519999995</v>
      </c>
      <c r="C464" s="33">
        <v>0.43892218880855577</v>
      </c>
      <c r="D464" t="str">
        <f t="shared" si="7"/>
        <v>A</v>
      </c>
    </row>
    <row r="465" spans="1:4">
      <c r="A465" s="11" t="s">
        <v>1339</v>
      </c>
      <c r="B465" s="8">
        <v>29175.036029999999</v>
      </c>
      <c r="C465" s="33">
        <v>0.45969569786467973</v>
      </c>
      <c r="D465" t="str">
        <f t="shared" si="7"/>
        <v>A</v>
      </c>
    </row>
    <row r="466" spans="1:4">
      <c r="A466" s="11" t="s">
        <v>1070</v>
      </c>
      <c r="B466" s="8">
        <v>28247.74656</v>
      </c>
      <c r="C466" s="33">
        <v>0.47980894874038926</v>
      </c>
      <c r="D466" t="str">
        <f t="shared" si="7"/>
        <v>A</v>
      </c>
    </row>
    <row r="467" spans="1:4">
      <c r="A467" s="11" t="s">
        <v>1168</v>
      </c>
      <c r="B467" s="8">
        <v>27249</v>
      </c>
      <c r="C467" s="33">
        <v>0.49921106182392616</v>
      </c>
      <c r="D467" t="str">
        <f t="shared" si="7"/>
        <v>A</v>
      </c>
    </row>
    <row r="468" spans="1:4">
      <c r="A468" s="11" t="s">
        <v>765</v>
      </c>
      <c r="B468" s="8">
        <v>26150.364320000001</v>
      </c>
      <c r="C468" s="33">
        <v>0.51783091303726714</v>
      </c>
      <c r="D468" t="str">
        <f t="shared" si="7"/>
        <v>A</v>
      </c>
    </row>
    <row r="469" spans="1:4">
      <c r="A469" s="11" t="s">
        <v>936</v>
      </c>
      <c r="B469" s="8">
        <v>25299.040000000001</v>
      </c>
      <c r="C469" s="33">
        <v>0.53584459555717334</v>
      </c>
      <c r="D469" t="str">
        <f t="shared" si="7"/>
        <v>A</v>
      </c>
    </row>
    <row r="470" spans="1:4">
      <c r="A470" s="11" t="s">
        <v>1160</v>
      </c>
      <c r="B470" s="8">
        <v>25230.967250687998</v>
      </c>
      <c r="C470" s="33">
        <v>0.55380980821836689</v>
      </c>
      <c r="D470" t="str">
        <f t="shared" si="7"/>
        <v>A</v>
      </c>
    </row>
    <row r="471" spans="1:4">
      <c r="A471" s="11" t="s">
        <v>947</v>
      </c>
      <c r="B471" s="8">
        <v>24223.05</v>
      </c>
      <c r="C471" s="33">
        <v>0.57105735327793483</v>
      </c>
      <c r="D471" t="str">
        <f t="shared" si="7"/>
        <v>A</v>
      </c>
    </row>
    <row r="472" spans="1:4">
      <c r="A472" s="11" t="s">
        <v>841</v>
      </c>
      <c r="B472" s="8">
        <v>23687.524440000001</v>
      </c>
      <c r="C472" s="33">
        <v>0.58792358792338684</v>
      </c>
      <c r="D472" t="str">
        <f t="shared" si="7"/>
        <v>A</v>
      </c>
    </row>
    <row r="473" spans="1:4">
      <c r="A473" s="11" t="s">
        <v>1317</v>
      </c>
      <c r="B473" s="8">
        <v>22676.312610000001</v>
      </c>
      <c r="C473" s="33">
        <v>0.60406980912698527</v>
      </c>
      <c r="D473" t="str">
        <f t="shared" si="7"/>
        <v>A</v>
      </c>
    </row>
    <row r="474" spans="1:4">
      <c r="A474" s="11" t="s">
        <v>1054</v>
      </c>
      <c r="B474" s="8">
        <v>22380.204000000002</v>
      </c>
      <c r="C474" s="33">
        <v>0.62000519203427085</v>
      </c>
      <c r="D474" t="str">
        <f t="shared" si="7"/>
        <v>A</v>
      </c>
    </row>
    <row r="475" spans="1:4">
      <c r="A475" s="11" t="s">
        <v>930</v>
      </c>
      <c r="B475" s="8">
        <v>21679.749799999998</v>
      </c>
      <c r="C475" s="33">
        <v>0.63544183034181922</v>
      </c>
      <c r="D475" t="str">
        <f t="shared" si="7"/>
        <v>A</v>
      </c>
    </row>
    <row r="476" spans="1:4">
      <c r="A476" s="11" t="s">
        <v>959</v>
      </c>
      <c r="B476" s="8">
        <v>21573.6495</v>
      </c>
      <c r="C476" s="33">
        <v>0.65080292202311352</v>
      </c>
      <c r="D476" t="str">
        <f t="shared" si="7"/>
        <v>A</v>
      </c>
    </row>
    <row r="477" spans="1:4">
      <c r="A477" s="11" t="s">
        <v>1140</v>
      </c>
      <c r="B477" s="8">
        <v>21541.017959999997</v>
      </c>
      <c r="C477" s="33">
        <v>0.66614077905986413</v>
      </c>
      <c r="D477" t="str">
        <f t="shared" si="7"/>
        <v>A</v>
      </c>
    </row>
    <row r="478" spans="1:4">
      <c r="A478" s="11" t="s">
        <v>1189</v>
      </c>
      <c r="B478" s="8">
        <v>20797.98</v>
      </c>
      <c r="C478" s="33">
        <v>0.68094957057034666</v>
      </c>
      <c r="D478" t="str">
        <f t="shared" si="7"/>
        <v>A</v>
      </c>
    </row>
    <row r="479" spans="1:4">
      <c r="A479" s="11" t="s">
        <v>1100</v>
      </c>
      <c r="B479" s="8">
        <v>19547.329920000004</v>
      </c>
      <c r="C479" s="33">
        <v>0.69486786135492751</v>
      </c>
      <c r="D479" t="str">
        <f t="shared" si="7"/>
        <v>A</v>
      </c>
    </row>
    <row r="480" spans="1:4">
      <c r="A480" s="11" t="s">
        <v>825</v>
      </c>
      <c r="B480" s="8">
        <v>19510.808000000001</v>
      </c>
      <c r="C480" s="33">
        <v>0.70876014742660631</v>
      </c>
      <c r="D480" t="str">
        <f t="shared" si="7"/>
        <v>A</v>
      </c>
    </row>
    <row r="481" spans="1:4">
      <c r="A481" s="11" t="s">
        <v>1207</v>
      </c>
      <c r="B481" s="8">
        <v>19233.355499999998</v>
      </c>
      <c r="C481" s="33">
        <v>0.72245487891718818</v>
      </c>
      <c r="D481" t="str">
        <f t="shared" si="7"/>
        <v>A</v>
      </c>
    </row>
    <row r="482" spans="1:4">
      <c r="A482" s="11" t="s">
        <v>1105</v>
      </c>
      <c r="B482" s="8">
        <v>16873.45</v>
      </c>
      <c r="C482" s="33">
        <v>0.734469286235233</v>
      </c>
      <c r="D482" t="str">
        <f t="shared" si="7"/>
        <v>A</v>
      </c>
    </row>
    <row r="483" spans="1:4">
      <c r="A483" s="11" t="s">
        <v>1146</v>
      </c>
      <c r="B483" s="8">
        <v>16134.22069</v>
      </c>
      <c r="C483" s="33">
        <v>0.74595733990113333</v>
      </c>
      <c r="D483" t="str">
        <f t="shared" si="7"/>
        <v>A</v>
      </c>
    </row>
    <row r="484" spans="1:4">
      <c r="A484" s="11" t="s">
        <v>856</v>
      </c>
      <c r="B484" s="8">
        <v>16061.972879999999</v>
      </c>
      <c r="C484" s="33">
        <v>0.75739395093869299</v>
      </c>
      <c r="D484" t="str">
        <f t="shared" si="7"/>
        <v>A</v>
      </c>
    </row>
    <row r="485" spans="1:4">
      <c r="A485" s="11" t="s">
        <v>934</v>
      </c>
      <c r="B485" s="8">
        <v>14963.769179999999</v>
      </c>
      <c r="C485" s="33">
        <v>0.76804860768889682</v>
      </c>
      <c r="D485" t="str">
        <f t="shared" si="7"/>
        <v>A</v>
      </c>
    </row>
    <row r="486" spans="1:4">
      <c r="A486" s="11" t="s">
        <v>1153</v>
      </c>
      <c r="B486" s="8">
        <v>14527.748400000002</v>
      </c>
      <c r="C486" s="33">
        <v>0.77839280444129033</v>
      </c>
      <c r="D486" t="str">
        <f t="shared" si="7"/>
        <v>A</v>
      </c>
    </row>
    <row r="487" spans="1:4">
      <c r="A487" s="11" t="s">
        <v>1362</v>
      </c>
      <c r="B487" s="8">
        <v>12769.38768</v>
      </c>
      <c r="C487" s="33">
        <v>0.78748499511892556</v>
      </c>
      <c r="D487" t="str">
        <f t="shared" si="7"/>
        <v>A</v>
      </c>
    </row>
    <row r="488" spans="1:4">
      <c r="A488" s="11" t="s">
        <v>1174</v>
      </c>
      <c r="B488" s="8">
        <v>12668.50728</v>
      </c>
      <c r="C488" s="33">
        <v>0.7965053558971622</v>
      </c>
      <c r="D488" t="str">
        <f t="shared" si="7"/>
        <v>A</v>
      </c>
    </row>
    <row r="489" spans="1:4">
      <c r="A489" s="11" t="s">
        <v>1182</v>
      </c>
      <c r="B489" s="8">
        <v>12289.2</v>
      </c>
      <c r="C489" s="33">
        <v>0.80525563840683956</v>
      </c>
      <c r="D489" t="str">
        <f t="shared" si="7"/>
        <v>B</v>
      </c>
    </row>
    <row r="490" spans="1:4">
      <c r="A490" s="11" t="s">
        <v>978</v>
      </c>
      <c r="B490" s="8">
        <v>12248.675999999999</v>
      </c>
      <c r="C490" s="33">
        <v>0.8139770666014744</v>
      </c>
      <c r="D490" t="str">
        <f t="shared" si="7"/>
        <v>B</v>
      </c>
    </row>
    <row r="491" spans="1:4">
      <c r="A491" s="11" t="s">
        <v>799</v>
      </c>
      <c r="B491" s="8">
        <v>12153.267360000002</v>
      </c>
      <c r="C491" s="33">
        <v>0.82263056095551224</v>
      </c>
      <c r="D491" t="str">
        <f t="shared" si="7"/>
        <v>B</v>
      </c>
    </row>
    <row r="492" spans="1:4">
      <c r="A492" s="11" t="s">
        <v>1186</v>
      </c>
      <c r="B492" s="8">
        <v>11984.891250000001</v>
      </c>
      <c r="C492" s="33">
        <v>0.83116416642090152</v>
      </c>
      <c r="D492" t="str">
        <f t="shared" si="7"/>
        <v>B</v>
      </c>
    </row>
    <row r="493" spans="1:4">
      <c r="A493" s="11" t="s">
        <v>1266</v>
      </c>
      <c r="B493" s="8">
        <v>11924.0978</v>
      </c>
      <c r="C493" s="33">
        <v>0.83965448510910123</v>
      </c>
      <c r="D493" t="str">
        <f t="shared" si="7"/>
        <v>B</v>
      </c>
    </row>
    <row r="494" spans="1:4">
      <c r="A494" s="11" t="s">
        <v>931</v>
      </c>
      <c r="B494" s="8">
        <v>11326.846439999999</v>
      </c>
      <c r="C494" s="33">
        <v>0.84771954274456451</v>
      </c>
      <c r="D494" t="str">
        <f t="shared" si="7"/>
        <v>B</v>
      </c>
    </row>
    <row r="495" spans="1:4">
      <c r="A495" s="11" t="s">
        <v>1126</v>
      </c>
      <c r="B495" s="8">
        <v>11285.764020000001</v>
      </c>
      <c r="C495" s="33">
        <v>0.85575534845303636</v>
      </c>
      <c r="D495" t="str">
        <f t="shared" si="7"/>
        <v>B</v>
      </c>
    </row>
    <row r="496" spans="1:4">
      <c r="A496" s="11" t="s">
        <v>796</v>
      </c>
      <c r="B496" s="8">
        <v>10947.904</v>
      </c>
      <c r="C496" s="33">
        <v>0.8635505875970676</v>
      </c>
      <c r="D496" t="str">
        <f t="shared" si="7"/>
        <v>B</v>
      </c>
    </row>
    <row r="497" spans="1:4">
      <c r="A497" s="11" t="s">
        <v>745</v>
      </c>
      <c r="B497" s="8">
        <v>10370.549999999999</v>
      </c>
      <c r="C497" s="33">
        <v>0.87093473321116255</v>
      </c>
      <c r="D497" t="str">
        <f t="shared" si="7"/>
        <v>B</v>
      </c>
    </row>
    <row r="498" spans="1:4">
      <c r="A498" s="11" t="s">
        <v>1154</v>
      </c>
      <c r="B498" s="8">
        <v>9984.7160999999978</v>
      </c>
      <c r="C498" s="33">
        <v>0.87804415340563624</v>
      </c>
      <c r="D498" t="str">
        <f t="shared" si="7"/>
        <v>B</v>
      </c>
    </row>
    <row r="499" spans="1:4">
      <c r="A499" s="11" t="s">
        <v>975</v>
      </c>
      <c r="B499" s="8">
        <v>9684.8756000000012</v>
      </c>
      <c r="C499" s="33">
        <v>0.88494007808511743</v>
      </c>
      <c r="D499" t="str">
        <f t="shared" si="7"/>
        <v>B</v>
      </c>
    </row>
    <row r="500" spans="1:4">
      <c r="A500" s="11" t="s">
        <v>1222</v>
      </c>
      <c r="B500" s="8">
        <v>9614.4403999999995</v>
      </c>
      <c r="C500" s="33">
        <v>0.89178585076946282</v>
      </c>
      <c r="D500" t="str">
        <f t="shared" si="7"/>
        <v>B</v>
      </c>
    </row>
    <row r="501" spans="1:4">
      <c r="A501" s="11" t="s">
        <v>1050</v>
      </c>
      <c r="B501" s="8">
        <v>9062.34692</v>
      </c>
      <c r="C501" s="33">
        <v>0.89823851617898531</v>
      </c>
      <c r="D501" t="str">
        <f t="shared" si="7"/>
        <v>B</v>
      </c>
    </row>
    <row r="502" spans="1:4">
      <c r="A502" s="11" t="s">
        <v>1077</v>
      </c>
      <c r="B502" s="8">
        <v>8938.8996600000009</v>
      </c>
      <c r="C502" s="33">
        <v>0.90460328340147833</v>
      </c>
      <c r="D502" t="str">
        <f t="shared" si="7"/>
        <v>B</v>
      </c>
    </row>
    <row r="503" spans="1:4">
      <c r="A503" s="11" t="s">
        <v>875</v>
      </c>
      <c r="B503" s="8">
        <v>8211.6342000000004</v>
      </c>
      <c r="C503" s="33">
        <v>0.91045021559528505</v>
      </c>
      <c r="D503" t="str">
        <f t="shared" si="7"/>
        <v>B</v>
      </c>
    </row>
    <row r="504" spans="1:4">
      <c r="A504" s="11" t="s">
        <v>896</v>
      </c>
      <c r="B504" s="8">
        <v>8154.5511600000009</v>
      </c>
      <c r="C504" s="33">
        <v>0.91625650293617122</v>
      </c>
      <c r="D504" t="str">
        <f t="shared" si="7"/>
        <v>B</v>
      </c>
    </row>
    <row r="505" spans="1:4">
      <c r="A505" s="11" t="s">
        <v>1037</v>
      </c>
      <c r="B505" s="8">
        <v>8093.4784</v>
      </c>
      <c r="C505" s="33">
        <v>0.92201930462269033</v>
      </c>
      <c r="D505" t="str">
        <f t="shared" si="7"/>
        <v>B</v>
      </c>
    </row>
    <row r="506" spans="1:4">
      <c r="A506" s="11" t="s">
        <v>1234</v>
      </c>
      <c r="B506" s="8">
        <v>7428.1108999999988</v>
      </c>
      <c r="C506" s="33">
        <v>0.92730834450227684</v>
      </c>
      <c r="D506" t="str">
        <f t="shared" si="7"/>
        <v>B</v>
      </c>
    </row>
    <row r="507" spans="1:4">
      <c r="A507" s="11" t="s">
        <v>1312</v>
      </c>
      <c r="B507" s="8">
        <v>7173.3342799999991</v>
      </c>
      <c r="C507" s="33">
        <v>0.93241597571393864</v>
      </c>
      <c r="D507" t="str">
        <f t="shared" si="7"/>
        <v>B</v>
      </c>
    </row>
    <row r="508" spans="1:4">
      <c r="A508" s="11" t="s">
        <v>1002</v>
      </c>
      <c r="B508" s="8">
        <v>6946.8</v>
      </c>
      <c r="C508" s="33">
        <v>0.93736230765891704</v>
      </c>
      <c r="D508" t="str">
        <f t="shared" si="7"/>
        <v>B</v>
      </c>
    </row>
    <row r="509" spans="1:4">
      <c r="A509" s="11" t="s">
        <v>972</v>
      </c>
      <c r="B509" s="8">
        <v>6684.1875</v>
      </c>
      <c r="C509" s="33">
        <v>0.94212165155214478</v>
      </c>
      <c r="D509" t="str">
        <f t="shared" si="7"/>
        <v>B</v>
      </c>
    </row>
    <row r="510" spans="1:4">
      <c r="A510" s="11" t="s">
        <v>965</v>
      </c>
      <c r="B510" s="8">
        <v>5814.6927299999998</v>
      </c>
      <c r="C510" s="33">
        <v>0.94626188884134732</v>
      </c>
      <c r="D510" t="str">
        <f t="shared" si="7"/>
        <v>B</v>
      </c>
    </row>
    <row r="511" spans="1:4">
      <c r="A511" s="11" t="s">
        <v>828</v>
      </c>
      <c r="B511" s="8">
        <v>5487.6023999999998</v>
      </c>
      <c r="C511" s="33">
        <v>0.95016922791148883</v>
      </c>
      <c r="D511" t="str">
        <f t="shared" si="7"/>
        <v>C</v>
      </c>
    </row>
    <row r="512" spans="1:4">
      <c r="A512" s="11" t="s">
        <v>737</v>
      </c>
      <c r="B512" s="8">
        <v>5225.2710400000005</v>
      </c>
      <c r="C512" s="33">
        <v>0.95388977911007267</v>
      </c>
      <c r="D512" t="str">
        <f t="shared" si="7"/>
        <v>C</v>
      </c>
    </row>
    <row r="513" spans="1:4">
      <c r="A513" s="11" t="s">
        <v>1246</v>
      </c>
      <c r="B513" s="8">
        <v>5189.8836000000001</v>
      </c>
      <c r="C513" s="33">
        <v>0.95758513337986584</v>
      </c>
      <c r="D513" t="str">
        <f t="shared" si="7"/>
        <v>C</v>
      </c>
    </row>
    <row r="514" spans="1:4">
      <c r="A514" s="11" t="s">
        <v>1219</v>
      </c>
      <c r="B514" s="8">
        <v>5159.7893599999998</v>
      </c>
      <c r="C514" s="33">
        <v>0.96125905963954339</v>
      </c>
      <c r="D514" t="str">
        <f t="shared" si="7"/>
        <v>C</v>
      </c>
    </row>
    <row r="515" spans="1:4">
      <c r="A515" s="11" t="s">
        <v>1216</v>
      </c>
      <c r="B515" s="8">
        <v>5127.0390600000001</v>
      </c>
      <c r="C515" s="33">
        <v>0.96490966669396117</v>
      </c>
      <c r="D515" t="str">
        <f t="shared" si="7"/>
        <v>C</v>
      </c>
    </row>
    <row r="516" spans="1:4">
      <c r="A516" s="11" t="s">
        <v>1068</v>
      </c>
      <c r="B516" s="8">
        <v>4856.35725</v>
      </c>
      <c r="C516" s="33">
        <v>0.96836754010357451</v>
      </c>
      <c r="D516" t="str">
        <f t="shared" si="7"/>
        <v>C</v>
      </c>
    </row>
    <row r="517" spans="1:4">
      <c r="A517" s="11" t="s">
        <v>1095</v>
      </c>
      <c r="B517" s="8">
        <v>4804.4682400000002</v>
      </c>
      <c r="C517" s="33">
        <v>0.97178846696689947</v>
      </c>
      <c r="D517" t="str">
        <f t="shared" si="7"/>
        <v>C</v>
      </c>
    </row>
    <row r="518" spans="1:4">
      <c r="A518" s="11" t="s">
        <v>871</v>
      </c>
      <c r="B518" s="8">
        <v>4336.2427499999994</v>
      </c>
      <c r="C518" s="33">
        <v>0.97487600310375466</v>
      </c>
      <c r="D518" t="str">
        <f t="shared" ref="D518:D581" si="8">IF(C518&lt;=0.8, "A", IF(C518&lt;=0.95, "B", "C"))</f>
        <v>C</v>
      </c>
    </row>
    <row r="519" spans="1:4">
      <c r="A519" s="11" t="s">
        <v>761</v>
      </c>
      <c r="B519" s="8">
        <v>3980.7075</v>
      </c>
      <c r="C519" s="33">
        <v>0.97771038737721361</v>
      </c>
      <c r="D519" t="str">
        <f t="shared" si="8"/>
        <v>C</v>
      </c>
    </row>
    <row r="520" spans="1:4">
      <c r="A520" s="11" t="s">
        <v>1019</v>
      </c>
      <c r="B520" s="8">
        <v>3978.6474000000003</v>
      </c>
      <c r="C520" s="33">
        <v>0.98054330479709395</v>
      </c>
      <c r="D520" t="str">
        <f t="shared" si="8"/>
        <v>C</v>
      </c>
    </row>
    <row r="521" spans="1:4">
      <c r="A521" s="11" t="s">
        <v>762</v>
      </c>
      <c r="B521" s="8">
        <v>3913.2000000000003</v>
      </c>
      <c r="C521" s="33">
        <v>0.98332962168646587</v>
      </c>
      <c r="D521" t="str">
        <f t="shared" si="8"/>
        <v>C</v>
      </c>
    </row>
    <row r="522" spans="1:4">
      <c r="A522" s="11" t="s">
        <v>1061</v>
      </c>
      <c r="B522" s="8">
        <v>3799.8031499999997</v>
      </c>
      <c r="C522" s="33">
        <v>0.98603519658504857</v>
      </c>
      <c r="D522" t="str">
        <f t="shared" si="8"/>
        <v>C</v>
      </c>
    </row>
    <row r="523" spans="1:4">
      <c r="A523" s="11" t="s">
        <v>867</v>
      </c>
      <c r="B523" s="8">
        <v>3494.4040799999998</v>
      </c>
      <c r="C523" s="33">
        <v>0.98852331809848881</v>
      </c>
      <c r="D523" t="str">
        <f t="shared" si="8"/>
        <v>C</v>
      </c>
    </row>
    <row r="524" spans="1:4">
      <c r="A524" s="11" t="s">
        <v>979</v>
      </c>
      <c r="B524" s="8">
        <v>2909.8689199999999</v>
      </c>
      <c r="C524" s="33">
        <v>0.99059523287863149</v>
      </c>
      <c r="D524" t="str">
        <f t="shared" si="8"/>
        <v>C</v>
      </c>
    </row>
    <row r="525" spans="1:4">
      <c r="A525" s="11" t="s">
        <v>862</v>
      </c>
      <c r="B525" s="8">
        <v>2642.1686999999997</v>
      </c>
      <c r="C525" s="33">
        <v>0.99247653699633065</v>
      </c>
      <c r="D525" t="str">
        <f t="shared" si="8"/>
        <v>C</v>
      </c>
    </row>
    <row r="526" spans="1:4">
      <c r="A526" s="11" t="s">
        <v>1064</v>
      </c>
      <c r="B526" s="8">
        <v>2537.2908000000002</v>
      </c>
      <c r="C526" s="33">
        <v>0.99428316487358925</v>
      </c>
      <c r="D526" t="str">
        <f t="shared" si="8"/>
        <v>C</v>
      </c>
    </row>
    <row r="527" spans="1:4">
      <c r="A527" s="11" t="s">
        <v>1081</v>
      </c>
      <c r="B527" s="8">
        <v>2206.8000000000002</v>
      </c>
      <c r="C527" s="33">
        <v>0.99585447329418264</v>
      </c>
      <c r="D527" t="str">
        <f t="shared" si="8"/>
        <v>C</v>
      </c>
    </row>
    <row r="528" spans="1:4">
      <c r="A528" s="11" t="s">
        <v>1145</v>
      </c>
      <c r="B528" s="8">
        <v>2059.0056</v>
      </c>
      <c r="C528" s="33">
        <v>0.99732054762684941</v>
      </c>
      <c r="D528" t="str">
        <f t="shared" si="8"/>
        <v>C</v>
      </c>
    </row>
    <row r="529" spans="1:4">
      <c r="A529" s="11" t="s">
        <v>1304</v>
      </c>
      <c r="B529" s="8">
        <v>841.00536</v>
      </c>
      <c r="C529" s="33">
        <v>0.99791936890831223</v>
      </c>
      <c r="D529" t="str">
        <f t="shared" si="8"/>
        <v>C</v>
      </c>
    </row>
    <row r="530" spans="1:4">
      <c r="A530" s="11" t="s">
        <v>1016</v>
      </c>
      <c r="B530" s="8">
        <v>667.74</v>
      </c>
      <c r="C530" s="33">
        <v>0.99839482000708291</v>
      </c>
      <c r="D530" t="str">
        <f t="shared" si="8"/>
        <v>C</v>
      </c>
    </row>
    <row r="531" spans="1:4">
      <c r="A531" s="11" t="s">
        <v>1264</v>
      </c>
      <c r="B531" s="8">
        <v>618.19979999999987</v>
      </c>
      <c r="C531" s="33">
        <v>0.99883499698340572</v>
      </c>
      <c r="D531" t="str">
        <f t="shared" si="8"/>
        <v>C</v>
      </c>
    </row>
    <row r="532" spans="1:4">
      <c r="A532" s="11" t="s">
        <v>997</v>
      </c>
      <c r="B532" s="8">
        <v>560.36831999999993</v>
      </c>
      <c r="C532" s="33">
        <v>0.99923399619486553</v>
      </c>
      <c r="D532" t="str">
        <f t="shared" si="8"/>
        <v>C</v>
      </c>
    </row>
    <row r="533" spans="1:4">
      <c r="A533" s="11" t="s">
        <v>840</v>
      </c>
      <c r="B533" s="8">
        <v>518.65436999999997</v>
      </c>
      <c r="C533" s="33">
        <v>0.99960329381085178</v>
      </c>
      <c r="D533" t="str">
        <f t="shared" si="8"/>
        <v>C</v>
      </c>
    </row>
    <row r="534" spans="1:4">
      <c r="A534" s="11" t="s">
        <v>1318</v>
      </c>
      <c r="B534" s="8">
        <v>370.86</v>
      </c>
      <c r="C534" s="33">
        <v>0.99986735736027244</v>
      </c>
      <c r="D534" t="str">
        <f t="shared" si="8"/>
        <v>C</v>
      </c>
    </row>
    <row r="535" spans="1:4">
      <c r="A535" s="11" t="s">
        <v>1226</v>
      </c>
      <c r="B535" s="8">
        <v>110.14919999999999</v>
      </c>
      <c r="C535" s="33">
        <v>0.99994578692592484</v>
      </c>
      <c r="D535" t="str">
        <f t="shared" si="8"/>
        <v>C</v>
      </c>
    </row>
    <row r="536" spans="1:4">
      <c r="A536" s="11" t="s">
        <v>1020</v>
      </c>
      <c r="B536" s="8">
        <v>76.138720000000006</v>
      </c>
      <c r="C536" s="33">
        <v>1</v>
      </c>
      <c r="D536" t="str">
        <f t="shared" si="8"/>
        <v>C</v>
      </c>
    </row>
    <row r="537" spans="1:4">
      <c r="A537" s="10" t="s">
        <v>728</v>
      </c>
      <c r="B537" s="8">
        <v>1625047.6908327991</v>
      </c>
      <c r="C537" s="33"/>
      <c r="D537" t="str">
        <f t="shared" si="8"/>
        <v>A</v>
      </c>
    </row>
    <row r="538" spans="1:4">
      <c r="A538" s="11" t="s">
        <v>1271</v>
      </c>
      <c r="B538" s="8">
        <v>66260.314239999992</v>
      </c>
      <c r="C538" s="33">
        <v>4.0774381338952045E-2</v>
      </c>
      <c r="D538" t="str">
        <f t="shared" si="8"/>
        <v>A</v>
      </c>
    </row>
    <row r="539" spans="1:4">
      <c r="A539" s="11" t="s">
        <v>1157</v>
      </c>
      <c r="B539" s="8">
        <v>58091.634960000003</v>
      </c>
      <c r="C539" s="33">
        <v>7.6522030646542144E-2</v>
      </c>
      <c r="D539" t="str">
        <f t="shared" si="8"/>
        <v>A</v>
      </c>
    </row>
    <row r="540" spans="1:4">
      <c r="A540" s="11" t="s">
        <v>933</v>
      </c>
      <c r="B540" s="8">
        <v>55880.483749999999</v>
      </c>
      <c r="C540" s="33">
        <v>0.11090901145038708</v>
      </c>
      <c r="D540" t="str">
        <f t="shared" si="8"/>
        <v>A</v>
      </c>
    </row>
    <row r="541" spans="1:4">
      <c r="A541" s="11" t="s">
        <v>1289</v>
      </c>
      <c r="B541" s="8">
        <v>50545.319219999998</v>
      </c>
      <c r="C541" s="33">
        <v>0.14201291043448194</v>
      </c>
      <c r="D541" t="str">
        <f t="shared" si="8"/>
        <v>A</v>
      </c>
    </row>
    <row r="542" spans="1:4">
      <c r="A542" s="11" t="s">
        <v>1090</v>
      </c>
      <c r="B542" s="8">
        <v>43907.94</v>
      </c>
      <c r="C542" s="33">
        <v>0.16903238823054478</v>
      </c>
      <c r="D542" t="str">
        <f t="shared" si="8"/>
        <v>A</v>
      </c>
    </row>
    <row r="543" spans="1:4">
      <c r="A543" s="11" t="s">
        <v>829</v>
      </c>
      <c r="B543" s="8">
        <v>43209.006119999991</v>
      </c>
      <c r="C543" s="33">
        <v>0.1956217654923631</v>
      </c>
      <c r="D543" t="str">
        <f t="shared" si="8"/>
        <v>A</v>
      </c>
    </row>
    <row r="544" spans="1:4">
      <c r="A544" s="11" t="s">
        <v>1047</v>
      </c>
      <c r="B544" s="8">
        <v>40325.31</v>
      </c>
      <c r="C544" s="33">
        <v>0.22043661260576333</v>
      </c>
      <c r="D544" t="str">
        <f t="shared" si="8"/>
        <v>A</v>
      </c>
    </row>
    <row r="545" spans="1:4">
      <c r="A545" s="11" t="s">
        <v>1335</v>
      </c>
      <c r="B545" s="8">
        <v>39810.328000000001</v>
      </c>
      <c r="C545" s="33">
        <v>0.24493455701968886</v>
      </c>
      <c r="D545" t="str">
        <f t="shared" si="8"/>
        <v>A</v>
      </c>
    </row>
    <row r="546" spans="1:4">
      <c r="A546" s="11" t="s">
        <v>776</v>
      </c>
      <c r="B546" s="8">
        <v>39541.602172799998</v>
      </c>
      <c r="C546" s="33">
        <v>0.26926713654696161</v>
      </c>
      <c r="D546" t="str">
        <f t="shared" si="8"/>
        <v>A</v>
      </c>
    </row>
    <row r="547" spans="1:4">
      <c r="A547" s="11" t="s">
        <v>1071</v>
      </c>
      <c r="B547" s="8">
        <v>38535.955099999999</v>
      </c>
      <c r="C547" s="33">
        <v>0.29298087449901594</v>
      </c>
      <c r="D547" t="str">
        <f t="shared" si="8"/>
        <v>A</v>
      </c>
    </row>
    <row r="548" spans="1:4">
      <c r="A548" s="11" t="s">
        <v>1115</v>
      </c>
      <c r="B548" s="8">
        <v>37562.28</v>
      </c>
      <c r="C548" s="33">
        <v>0.31609544535862572</v>
      </c>
      <c r="D548" t="str">
        <f t="shared" si="8"/>
        <v>A</v>
      </c>
    </row>
    <row r="549" spans="1:4">
      <c r="A549" s="11" t="s">
        <v>1204</v>
      </c>
      <c r="B549" s="8">
        <v>36549.429260000004</v>
      </c>
      <c r="C549" s="33">
        <v>0.33858674174714543</v>
      </c>
      <c r="D549" t="str">
        <f t="shared" si="8"/>
        <v>A</v>
      </c>
    </row>
    <row r="550" spans="1:4">
      <c r="A550" s="11" t="s">
        <v>872</v>
      </c>
      <c r="B550" s="8">
        <v>35567.737920000007</v>
      </c>
      <c r="C550" s="33">
        <v>0.36047393811722384</v>
      </c>
      <c r="D550" t="str">
        <f t="shared" si="8"/>
        <v>A</v>
      </c>
    </row>
    <row r="551" spans="1:4">
      <c r="A551" s="11" t="s">
        <v>783</v>
      </c>
      <c r="B551" s="8">
        <v>34444.462359999998</v>
      </c>
      <c r="C551" s="33">
        <v>0.38166990827508918</v>
      </c>
      <c r="D551" t="str">
        <f t="shared" si="8"/>
        <v>A</v>
      </c>
    </row>
    <row r="552" spans="1:4">
      <c r="A552" s="11" t="s">
        <v>1262</v>
      </c>
      <c r="B552" s="8">
        <v>33421.1</v>
      </c>
      <c r="C552" s="33">
        <v>0.4022361354624725</v>
      </c>
      <c r="D552" t="str">
        <f t="shared" si="8"/>
        <v>A</v>
      </c>
    </row>
    <row r="553" spans="1:4">
      <c r="A553" s="11" t="s">
        <v>1280</v>
      </c>
      <c r="B553" s="8">
        <v>31822.023930000003</v>
      </c>
      <c r="C553" s="33">
        <v>0.42181834471670798</v>
      </c>
      <c r="D553" t="str">
        <f t="shared" si="8"/>
        <v>A</v>
      </c>
    </row>
    <row r="554" spans="1:4">
      <c r="A554" s="11" t="s">
        <v>887</v>
      </c>
      <c r="B554" s="8">
        <v>29654.83008</v>
      </c>
      <c r="C554" s="33">
        <v>0.44006693535640951</v>
      </c>
      <c r="D554" t="str">
        <f t="shared" si="8"/>
        <v>A</v>
      </c>
    </row>
    <row r="555" spans="1:4">
      <c r="A555" s="11" t="s">
        <v>1220</v>
      </c>
      <c r="B555" s="8">
        <v>28856.475000000002</v>
      </c>
      <c r="C555" s="33">
        <v>0.45782424498048074</v>
      </c>
      <c r="D555" t="str">
        <f t="shared" si="8"/>
        <v>A</v>
      </c>
    </row>
    <row r="556" spans="1:4">
      <c r="A556" s="11" t="s">
        <v>953</v>
      </c>
      <c r="B556" s="8">
        <v>28211.92124</v>
      </c>
      <c r="C556" s="33">
        <v>0.47518491777743849</v>
      </c>
      <c r="D556" t="str">
        <f t="shared" si="8"/>
        <v>A</v>
      </c>
    </row>
    <row r="557" spans="1:4">
      <c r="A557" s="11" t="s">
        <v>1208</v>
      </c>
      <c r="B557" s="8">
        <v>27194.152039999997</v>
      </c>
      <c r="C557" s="33">
        <v>0.49191928944751767</v>
      </c>
      <c r="D557" t="str">
        <f t="shared" si="8"/>
        <v>A</v>
      </c>
    </row>
    <row r="558" spans="1:4">
      <c r="A558" s="11" t="s">
        <v>750</v>
      </c>
      <c r="B558" s="8">
        <v>25948.414799999995</v>
      </c>
      <c r="C558" s="33">
        <v>0.50788707608318373</v>
      </c>
      <c r="D558" t="str">
        <f t="shared" si="8"/>
        <v>A</v>
      </c>
    </row>
    <row r="559" spans="1:4">
      <c r="A559" s="11" t="s">
        <v>987</v>
      </c>
      <c r="B559" s="8">
        <v>25483.91488</v>
      </c>
      <c r="C559" s="33">
        <v>0.52356902500305835</v>
      </c>
      <c r="D559" t="str">
        <f t="shared" si="8"/>
        <v>A</v>
      </c>
    </row>
    <row r="560" spans="1:4">
      <c r="A560" s="11" t="s">
        <v>1350</v>
      </c>
      <c r="B560" s="8">
        <v>25174.028880000002</v>
      </c>
      <c r="C560" s="33">
        <v>0.53906028044252108</v>
      </c>
      <c r="D560" t="str">
        <f t="shared" si="8"/>
        <v>A</v>
      </c>
    </row>
    <row r="561" spans="1:4">
      <c r="A561" s="11" t="s">
        <v>1139</v>
      </c>
      <c r="B561" s="8">
        <v>22457.143800000002</v>
      </c>
      <c r="C561" s="33">
        <v>0.5528796556686667</v>
      </c>
      <c r="D561" t="str">
        <f t="shared" si="8"/>
        <v>A</v>
      </c>
    </row>
    <row r="562" spans="1:4">
      <c r="A562" s="11" t="s">
        <v>1249</v>
      </c>
      <c r="B562" s="8">
        <v>22201.762229999997</v>
      </c>
      <c r="C562" s="33">
        <v>0.56654187761774821</v>
      </c>
      <c r="D562" t="str">
        <f t="shared" si="8"/>
        <v>A</v>
      </c>
    </row>
    <row r="563" spans="1:4">
      <c r="A563" s="11" t="s">
        <v>1177</v>
      </c>
      <c r="B563" s="8">
        <v>21664.440000000002</v>
      </c>
      <c r="C563" s="33">
        <v>0.57987344943697117</v>
      </c>
      <c r="D563" t="str">
        <f t="shared" si="8"/>
        <v>A</v>
      </c>
    </row>
    <row r="564" spans="1:4">
      <c r="A564" s="11" t="s">
        <v>747</v>
      </c>
      <c r="B564" s="8">
        <v>21585.15</v>
      </c>
      <c r="C564" s="33">
        <v>0.59315622884201014</v>
      </c>
      <c r="D564" t="str">
        <f t="shared" si="8"/>
        <v>A</v>
      </c>
    </row>
    <row r="565" spans="1:4">
      <c r="A565" s="11" t="s">
        <v>1173</v>
      </c>
      <c r="B565" s="8">
        <v>20672.289000000001</v>
      </c>
      <c r="C565" s="33">
        <v>0.60587726411784626</v>
      </c>
      <c r="D565" t="str">
        <f t="shared" si="8"/>
        <v>A</v>
      </c>
    </row>
    <row r="566" spans="1:4">
      <c r="A566" s="11" t="s">
        <v>1076</v>
      </c>
      <c r="B566" s="8">
        <v>20053.439999999999</v>
      </c>
      <c r="C566" s="33">
        <v>0.6182174804161894</v>
      </c>
      <c r="D566" t="str">
        <f t="shared" si="8"/>
        <v>A</v>
      </c>
    </row>
    <row r="567" spans="1:4">
      <c r="A567" s="11" t="s">
        <v>1148</v>
      </c>
      <c r="B567" s="8">
        <v>18411.4084</v>
      </c>
      <c r="C567" s="33">
        <v>0.62954724538484985</v>
      </c>
      <c r="D567" t="str">
        <f t="shared" si="8"/>
        <v>A</v>
      </c>
    </row>
    <row r="568" spans="1:4">
      <c r="A568" s="11" t="s">
        <v>815</v>
      </c>
      <c r="B568" s="8">
        <v>18258.868320000001</v>
      </c>
      <c r="C568" s="33">
        <v>0.64078314228990796</v>
      </c>
      <c r="D568" t="str">
        <f t="shared" si="8"/>
        <v>A</v>
      </c>
    </row>
    <row r="569" spans="1:4">
      <c r="A569" s="11" t="s">
        <v>1343</v>
      </c>
      <c r="B569" s="8">
        <v>18003.847679999999</v>
      </c>
      <c r="C569" s="33">
        <v>0.65186210802215261</v>
      </c>
      <c r="D569" t="str">
        <f t="shared" si="8"/>
        <v>A</v>
      </c>
    </row>
    <row r="570" spans="1:4">
      <c r="A570" s="11" t="s">
        <v>735</v>
      </c>
      <c r="B570" s="8">
        <v>17960.432489999999</v>
      </c>
      <c r="C570" s="33">
        <v>0.6629143574984715</v>
      </c>
      <c r="D570" t="str">
        <f t="shared" si="8"/>
        <v>A</v>
      </c>
    </row>
    <row r="571" spans="1:4">
      <c r="A571" s="11" t="s">
        <v>1134</v>
      </c>
      <c r="B571" s="8">
        <v>17427.164800000002</v>
      </c>
      <c r="C571" s="33">
        <v>0.67363845187324578</v>
      </c>
      <c r="D571" t="str">
        <f t="shared" si="8"/>
        <v>A</v>
      </c>
    </row>
    <row r="572" spans="1:4">
      <c r="A572" s="11" t="s">
        <v>969</v>
      </c>
      <c r="B572" s="8">
        <v>17359.804799999998</v>
      </c>
      <c r="C572" s="33">
        <v>0.68432109515684292</v>
      </c>
      <c r="D572" t="str">
        <f t="shared" si="8"/>
        <v>A</v>
      </c>
    </row>
    <row r="573" spans="1:4">
      <c r="A573" s="11" t="s">
        <v>962</v>
      </c>
      <c r="B573" s="8">
        <v>16609.090809999998</v>
      </c>
      <c r="C573" s="33">
        <v>0.69454177415826235</v>
      </c>
      <c r="D573" t="str">
        <f t="shared" si="8"/>
        <v>A</v>
      </c>
    </row>
    <row r="574" spans="1:4">
      <c r="A574" s="11" t="s">
        <v>1202</v>
      </c>
      <c r="B574" s="8">
        <v>16252.219979999998</v>
      </c>
      <c r="C574" s="33">
        <v>0.7045428467862731</v>
      </c>
      <c r="D574" t="str">
        <f t="shared" si="8"/>
        <v>A</v>
      </c>
    </row>
    <row r="575" spans="1:4">
      <c r="A575" s="11" t="s">
        <v>1069</v>
      </c>
      <c r="B575" s="8">
        <v>16219.34496</v>
      </c>
      <c r="C575" s="33">
        <v>0.71452368922646503</v>
      </c>
      <c r="D575" t="str">
        <f t="shared" si="8"/>
        <v>A</v>
      </c>
    </row>
    <row r="576" spans="1:4">
      <c r="A576" s="11" t="s">
        <v>942</v>
      </c>
      <c r="B576" s="8">
        <v>15825.399369999997</v>
      </c>
      <c r="C576" s="33">
        <v>0.72426211072589186</v>
      </c>
      <c r="D576" t="str">
        <f t="shared" si="8"/>
        <v>A</v>
      </c>
    </row>
    <row r="577" spans="1:4">
      <c r="A577" s="11" t="s">
        <v>910</v>
      </c>
      <c r="B577" s="8">
        <v>15656.47056</v>
      </c>
      <c r="C577" s="33">
        <v>0.73389657908538752</v>
      </c>
      <c r="D577" t="str">
        <f t="shared" si="8"/>
        <v>A</v>
      </c>
    </row>
    <row r="578" spans="1:4">
      <c r="A578" s="11" t="s">
        <v>772</v>
      </c>
      <c r="B578" s="8">
        <v>14968.239</v>
      </c>
      <c r="C578" s="33">
        <v>0.74310753276043262</v>
      </c>
      <c r="D578" t="str">
        <f t="shared" si="8"/>
        <v>A</v>
      </c>
    </row>
    <row r="579" spans="1:4">
      <c r="A579" s="11" t="s">
        <v>882</v>
      </c>
      <c r="B579" s="8">
        <v>14877.464000000002</v>
      </c>
      <c r="C579" s="33">
        <v>0.75226262653640397</v>
      </c>
      <c r="D579" t="str">
        <f t="shared" si="8"/>
        <v>A</v>
      </c>
    </row>
    <row r="580" spans="1:4">
      <c r="A580" s="11" t="s">
        <v>1093</v>
      </c>
      <c r="B580" s="8">
        <v>14813.731920000002</v>
      </c>
      <c r="C580" s="33">
        <v>0.76137850172183208</v>
      </c>
      <c r="D580" t="str">
        <f t="shared" si="8"/>
        <v>A</v>
      </c>
    </row>
    <row r="581" spans="1:4">
      <c r="A581" s="11" t="s">
        <v>1292</v>
      </c>
      <c r="B581" s="8">
        <v>13251.48</v>
      </c>
      <c r="C581" s="33">
        <v>0.76953301932445639</v>
      </c>
      <c r="D581" t="str">
        <f t="shared" si="8"/>
        <v>A</v>
      </c>
    </row>
    <row r="582" spans="1:4">
      <c r="A582" s="11" t="s">
        <v>1163</v>
      </c>
      <c r="B582" s="8">
        <v>12955.824749999998</v>
      </c>
      <c r="C582" s="33">
        <v>0.7775056005742782</v>
      </c>
      <c r="D582" t="str">
        <f t="shared" ref="D582:D641" si="9">IF(C582&lt;=0.8, "A", IF(C582&lt;=0.95, "B", "C"))</f>
        <v>A</v>
      </c>
    </row>
    <row r="583" spans="1:4">
      <c r="A583" s="11" t="s">
        <v>1098</v>
      </c>
      <c r="B583" s="8">
        <v>12717.311040000001</v>
      </c>
      <c r="C583" s="33">
        <v>0.78533140846394256</v>
      </c>
      <c r="D583" t="str">
        <f t="shared" si="9"/>
        <v>A</v>
      </c>
    </row>
    <row r="584" spans="1:4">
      <c r="A584" s="11" t="s">
        <v>999</v>
      </c>
      <c r="B584" s="8">
        <v>12597.52224</v>
      </c>
      <c r="C584" s="33">
        <v>0.79308350233236569</v>
      </c>
      <c r="D584" t="str">
        <f t="shared" si="9"/>
        <v>A</v>
      </c>
    </row>
    <row r="585" spans="1:4">
      <c r="A585" s="11" t="s">
        <v>1183</v>
      </c>
      <c r="B585" s="8">
        <v>12462.65055</v>
      </c>
      <c r="C585" s="33">
        <v>0.80075260067348142</v>
      </c>
      <c r="D585" t="str">
        <f t="shared" si="9"/>
        <v>B</v>
      </c>
    </row>
    <row r="586" spans="1:4">
      <c r="A586" s="11" t="s">
        <v>868</v>
      </c>
      <c r="B586" s="8">
        <v>12031.491680000001</v>
      </c>
      <c r="C586" s="33">
        <v>0.80815637826590037</v>
      </c>
      <c r="D586" t="str">
        <f t="shared" si="9"/>
        <v>B</v>
      </c>
    </row>
    <row r="587" spans="1:4">
      <c r="A587" s="11" t="s">
        <v>898</v>
      </c>
      <c r="B587" s="8">
        <v>11851.806399999999</v>
      </c>
      <c r="C587" s="33">
        <v>0.81544958354649499</v>
      </c>
      <c r="D587" t="str">
        <f t="shared" si="9"/>
        <v>B</v>
      </c>
    </row>
    <row r="588" spans="1:4">
      <c r="A588" s="11" t="s">
        <v>1008</v>
      </c>
      <c r="B588" s="8">
        <v>11417.429099999999</v>
      </c>
      <c r="C588" s="33">
        <v>0.82247548756420963</v>
      </c>
      <c r="D588" t="str">
        <f t="shared" si="9"/>
        <v>B</v>
      </c>
    </row>
    <row r="589" spans="1:4">
      <c r="A589" s="11" t="s">
        <v>1260</v>
      </c>
      <c r="B589" s="8">
        <v>11406.96</v>
      </c>
      <c r="C589" s="33">
        <v>0.82949494924791822</v>
      </c>
      <c r="D589" t="str">
        <f t="shared" si="9"/>
        <v>B</v>
      </c>
    </row>
    <row r="590" spans="1:4">
      <c r="A590" s="11" t="s">
        <v>738</v>
      </c>
      <c r="B590" s="8">
        <v>10957.9797</v>
      </c>
      <c r="C590" s="33">
        <v>0.83623812347093707</v>
      </c>
      <c r="D590" t="str">
        <f t="shared" si="9"/>
        <v>B</v>
      </c>
    </row>
    <row r="591" spans="1:4">
      <c r="A591" s="11" t="s">
        <v>1235</v>
      </c>
      <c r="B591" s="8">
        <v>10869.182940000001</v>
      </c>
      <c r="C591" s="33">
        <v>0.84292665513761678</v>
      </c>
      <c r="D591" t="str">
        <f t="shared" si="9"/>
        <v>B</v>
      </c>
    </row>
    <row r="592" spans="1:4">
      <c r="A592" s="11" t="s">
        <v>777</v>
      </c>
      <c r="B592" s="8">
        <v>10666.229420000001</v>
      </c>
      <c r="C592" s="33">
        <v>0.84949029599577142</v>
      </c>
      <c r="D592" t="str">
        <f t="shared" si="9"/>
        <v>B</v>
      </c>
    </row>
    <row r="593" spans="1:4">
      <c r="A593" s="11" t="s">
        <v>1347</v>
      </c>
      <c r="B593" s="8">
        <v>10464.138360000001</v>
      </c>
      <c r="C593" s="33">
        <v>0.85592957677444037</v>
      </c>
      <c r="D593" t="str">
        <f t="shared" si="9"/>
        <v>B</v>
      </c>
    </row>
    <row r="594" spans="1:4">
      <c r="A594" s="11" t="s">
        <v>1203</v>
      </c>
      <c r="B594" s="8">
        <v>10428.057360000001</v>
      </c>
      <c r="C594" s="33">
        <v>0.86234665451242098</v>
      </c>
      <c r="D594" t="str">
        <f t="shared" si="9"/>
        <v>B</v>
      </c>
    </row>
    <row r="595" spans="1:4">
      <c r="A595" s="11" t="s">
        <v>1342</v>
      </c>
      <c r="B595" s="8">
        <v>10260.060159999999</v>
      </c>
      <c r="C595" s="33">
        <v>0.86866035239210726</v>
      </c>
      <c r="D595" t="str">
        <f t="shared" si="9"/>
        <v>B</v>
      </c>
    </row>
    <row r="596" spans="1:4">
      <c r="A596" s="11" t="s">
        <v>826</v>
      </c>
      <c r="B596" s="8">
        <v>10161.46624</v>
      </c>
      <c r="C596" s="33">
        <v>0.87491337887085174</v>
      </c>
      <c r="D596" t="str">
        <f t="shared" si="9"/>
        <v>B</v>
      </c>
    </row>
    <row r="597" spans="1:4">
      <c r="A597" s="11" t="s">
        <v>877</v>
      </c>
      <c r="B597" s="8">
        <v>9969.4201499999999</v>
      </c>
      <c r="C597" s="33">
        <v>0.88104822660869919</v>
      </c>
      <c r="D597" t="str">
        <f t="shared" si="9"/>
        <v>B</v>
      </c>
    </row>
    <row r="598" spans="1:4">
      <c r="A598" s="11" t="s">
        <v>1035</v>
      </c>
      <c r="B598" s="8">
        <v>9866.3104799999983</v>
      </c>
      <c r="C598" s="33">
        <v>0.88711962410408207</v>
      </c>
      <c r="D598" t="str">
        <f t="shared" si="9"/>
        <v>B</v>
      </c>
    </row>
    <row r="599" spans="1:4">
      <c r="A599" s="11" t="s">
        <v>1119</v>
      </c>
      <c r="B599" s="8">
        <v>9586.8057599999993</v>
      </c>
      <c r="C599" s="33">
        <v>0.89301902374267783</v>
      </c>
      <c r="D599" t="str">
        <f t="shared" si="9"/>
        <v>B</v>
      </c>
    </row>
    <row r="600" spans="1:4">
      <c r="A600" s="11" t="s">
        <v>1258</v>
      </c>
      <c r="B600" s="8">
        <v>8326.6852500000005</v>
      </c>
      <c r="C600" s="33">
        <v>0.89814298736354414</v>
      </c>
      <c r="D600" t="str">
        <f t="shared" si="9"/>
        <v>B</v>
      </c>
    </row>
    <row r="601" spans="1:4">
      <c r="A601" s="11" t="s">
        <v>884</v>
      </c>
      <c r="B601" s="8">
        <v>7901.5041599999995</v>
      </c>
      <c r="C601" s="33">
        <v>0.90300530876160157</v>
      </c>
      <c r="D601" t="str">
        <f t="shared" si="9"/>
        <v>B</v>
      </c>
    </row>
    <row r="602" spans="1:4">
      <c r="A602" s="11" t="s">
        <v>1003</v>
      </c>
      <c r="B602" s="8">
        <v>7678.2113999999992</v>
      </c>
      <c r="C602" s="33">
        <v>0.90773022326307384</v>
      </c>
      <c r="D602" t="str">
        <f t="shared" si="9"/>
        <v>B</v>
      </c>
    </row>
    <row r="603" spans="1:4">
      <c r="A603" s="11" t="s">
        <v>1333</v>
      </c>
      <c r="B603" s="8">
        <v>7466.3063999999986</v>
      </c>
      <c r="C603" s="33">
        <v>0.91232473851460683</v>
      </c>
      <c r="D603" t="str">
        <f t="shared" si="9"/>
        <v>B</v>
      </c>
    </row>
    <row r="604" spans="1:4">
      <c r="A604" s="11" t="s">
        <v>963</v>
      </c>
      <c r="B604" s="8">
        <v>7446.5209000000004</v>
      </c>
      <c r="C604" s="33">
        <v>0.91690707843115649</v>
      </c>
      <c r="D604" t="str">
        <f t="shared" si="9"/>
        <v>B</v>
      </c>
    </row>
    <row r="605" spans="1:4">
      <c r="A605" s="11" t="s">
        <v>780</v>
      </c>
      <c r="B605" s="8">
        <v>7135.57</v>
      </c>
      <c r="C605" s="33">
        <v>0.92129806956344951</v>
      </c>
      <c r="D605" t="str">
        <f t="shared" si="9"/>
        <v>B</v>
      </c>
    </row>
    <row r="606" spans="1:4">
      <c r="A606" s="11" t="s">
        <v>946</v>
      </c>
      <c r="B606" s="8">
        <v>6984.8246399999998</v>
      </c>
      <c r="C606" s="33">
        <v>0.92559629704280455</v>
      </c>
      <c r="D606" t="str">
        <f t="shared" si="9"/>
        <v>B</v>
      </c>
    </row>
    <row r="607" spans="1:4">
      <c r="A607" s="11" t="s">
        <v>1144</v>
      </c>
      <c r="B607" s="8">
        <v>6899.8804600000003</v>
      </c>
      <c r="C607" s="33">
        <v>0.92984225271470478</v>
      </c>
      <c r="D607" t="str">
        <f t="shared" si="9"/>
        <v>B</v>
      </c>
    </row>
    <row r="608" spans="1:4">
      <c r="A608" s="11" t="s">
        <v>769</v>
      </c>
      <c r="B608" s="8">
        <v>6631.6443100000006</v>
      </c>
      <c r="C608" s="33">
        <v>0.93392314483092398</v>
      </c>
      <c r="D608" t="str">
        <f t="shared" si="9"/>
        <v>B</v>
      </c>
    </row>
    <row r="609" spans="1:4">
      <c r="A609" s="11" t="s">
        <v>952</v>
      </c>
      <c r="B609" s="8">
        <v>6535.6324800000002</v>
      </c>
      <c r="C609" s="33">
        <v>0.93794495447803083</v>
      </c>
      <c r="D609" t="str">
        <f t="shared" si="9"/>
        <v>B</v>
      </c>
    </row>
    <row r="610" spans="1:4">
      <c r="A610" s="11" t="s">
        <v>1176</v>
      </c>
      <c r="B610" s="8">
        <v>5960.04288</v>
      </c>
      <c r="C610" s="33">
        <v>0.94161256553561501</v>
      </c>
      <c r="D610" t="str">
        <f t="shared" si="9"/>
        <v>B</v>
      </c>
    </row>
    <row r="611" spans="1:4">
      <c r="A611" s="11" t="s">
        <v>1336</v>
      </c>
      <c r="B611" s="8">
        <v>5457.4317000000001</v>
      </c>
      <c r="C611" s="33">
        <v>0.9449708864826164</v>
      </c>
      <c r="D611" t="str">
        <f t="shared" si="9"/>
        <v>B</v>
      </c>
    </row>
    <row r="612" spans="1:4">
      <c r="A612" s="11" t="s">
        <v>1042</v>
      </c>
      <c r="B612" s="8">
        <v>5334.9141999999993</v>
      </c>
      <c r="C612" s="33">
        <v>0.94825381425765665</v>
      </c>
      <c r="D612" t="str">
        <f t="shared" si="9"/>
        <v>B</v>
      </c>
    </row>
    <row r="613" spans="1:4">
      <c r="A613" s="11" t="s">
        <v>1214</v>
      </c>
      <c r="B613" s="8">
        <v>4738.5261</v>
      </c>
      <c r="C613" s="33">
        <v>0.95116974474186999</v>
      </c>
      <c r="D613" t="str">
        <f t="shared" si="9"/>
        <v>C</v>
      </c>
    </row>
    <row r="614" spans="1:4">
      <c r="A614" s="11" t="s">
        <v>935</v>
      </c>
      <c r="B614" s="8">
        <v>4637.7968000000001</v>
      </c>
      <c r="C614" s="33">
        <v>0.95402368978370644</v>
      </c>
      <c r="D614" t="str">
        <f t="shared" si="9"/>
        <v>C</v>
      </c>
    </row>
    <row r="615" spans="1:4">
      <c r="A615" s="11" t="s">
        <v>1103</v>
      </c>
      <c r="B615" s="8">
        <v>4569.5735999999997</v>
      </c>
      <c r="C615" s="33">
        <v>0.95683565254995495</v>
      </c>
      <c r="D615" t="str">
        <f t="shared" si="9"/>
        <v>C</v>
      </c>
    </row>
    <row r="616" spans="1:4">
      <c r="A616" s="11" t="s">
        <v>974</v>
      </c>
      <c r="B616" s="8">
        <v>4436.6291200000005</v>
      </c>
      <c r="C616" s="33">
        <v>0.95956580572947558</v>
      </c>
      <c r="D616" t="str">
        <f t="shared" si="9"/>
        <v>C</v>
      </c>
    </row>
    <row r="617" spans="1:4">
      <c r="A617" s="11" t="s">
        <v>913</v>
      </c>
      <c r="B617" s="8">
        <v>4420.5961799999995</v>
      </c>
      <c r="C617" s="33">
        <v>0.9622860927739344</v>
      </c>
      <c r="D617" t="str">
        <f t="shared" si="9"/>
        <v>C</v>
      </c>
    </row>
    <row r="618" spans="1:4">
      <c r="A618" s="11" t="s">
        <v>1330</v>
      </c>
      <c r="B618" s="8">
        <v>4409.5168800000001</v>
      </c>
      <c r="C618" s="33">
        <v>0.96499956198771497</v>
      </c>
      <c r="D618" t="str">
        <f t="shared" si="9"/>
        <v>C</v>
      </c>
    </row>
    <row r="619" spans="1:4">
      <c r="A619" s="11" t="s">
        <v>927</v>
      </c>
      <c r="B619" s="8">
        <v>4402.1164799999997</v>
      </c>
      <c r="C619" s="33">
        <v>0.96770847724283837</v>
      </c>
      <c r="D619" t="str">
        <f t="shared" si="9"/>
        <v>C</v>
      </c>
    </row>
    <row r="620" spans="1:4">
      <c r="A620" s="11" t="s">
        <v>1030</v>
      </c>
      <c r="B620" s="8">
        <v>4241.88105</v>
      </c>
      <c r="C620" s="33">
        <v>0.97031878897333668</v>
      </c>
      <c r="D620" t="str">
        <f t="shared" si="9"/>
        <v>C</v>
      </c>
    </row>
    <row r="621" spans="1:4">
      <c r="A621" s="11" t="s">
        <v>886</v>
      </c>
      <c r="B621" s="8">
        <v>4139.8127999999997</v>
      </c>
      <c r="C621" s="33">
        <v>0.97286629131640845</v>
      </c>
      <c r="D621" t="str">
        <f t="shared" si="9"/>
        <v>C</v>
      </c>
    </row>
    <row r="622" spans="1:4">
      <c r="A622" s="11" t="s">
        <v>1084</v>
      </c>
      <c r="B622" s="8">
        <v>4132.0325200000007</v>
      </c>
      <c r="C622" s="33">
        <v>0.97540900593537594</v>
      </c>
      <c r="D622" t="str">
        <f t="shared" si="9"/>
        <v>C</v>
      </c>
    </row>
    <row r="623" spans="1:4">
      <c r="A623" s="11" t="s">
        <v>1107</v>
      </c>
      <c r="B623" s="8">
        <v>4117.4880599999997</v>
      </c>
      <c r="C623" s="33">
        <v>0.97794277038009192</v>
      </c>
      <c r="D623" t="str">
        <f t="shared" si="9"/>
        <v>C</v>
      </c>
    </row>
    <row r="624" spans="1:4">
      <c r="A624" s="11" t="s">
        <v>1195</v>
      </c>
      <c r="B624" s="8">
        <v>4055.5175999999997</v>
      </c>
      <c r="C624" s="33">
        <v>0.98043840027629603</v>
      </c>
      <c r="D624" t="str">
        <f t="shared" si="9"/>
        <v>C</v>
      </c>
    </row>
    <row r="625" spans="1:4">
      <c r="A625" s="11" t="s">
        <v>1221</v>
      </c>
      <c r="B625" s="8">
        <v>4025.8565599999993</v>
      </c>
      <c r="C625" s="33">
        <v>0.98291577776048356</v>
      </c>
      <c r="D625" t="str">
        <f t="shared" si="9"/>
        <v>C</v>
      </c>
    </row>
    <row r="626" spans="1:4">
      <c r="A626" s="11" t="s">
        <v>773</v>
      </c>
      <c r="B626" s="8">
        <v>3562.1983800000003</v>
      </c>
      <c r="C626" s="33">
        <v>0.98510783550752379</v>
      </c>
      <c r="D626" t="str">
        <f t="shared" si="9"/>
        <v>C</v>
      </c>
    </row>
    <row r="627" spans="1:4">
      <c r="A627" s="11" t="s">
        <v>1329</v>
      </c>
      <c r="B627" s="8">
        <v>3116.21</v>
      </c>
      <c r="C627" s="33">
        <v>0.98702544692137895</v>
      </c>
      <c r="D627" t="str">
        <f t="shared" si="9"/>
        <v>C</v>
      </c>
    </row>
    <row r="628" spans="1:4">
      <c r="A628" s="11" t="s">
        <v>966</v>
      </c>
      <c r="B628" s="8">
        <v>2879.9836</v>
      </c>
      <c r="C628" s="33">
        <v>0.9887976925091525</v>
      </c>
      <c r="D628" t="str">
        <f t="shared" si="9"/>
        <v>C</v>
      </c>
    </row>
    <row r="629" spans="1:4">
      <c r="A629" s="11" t="s">
        <v>1340</v>
      </c>
      <c r="B629" s="8">
        <v>2736.27018</v>
      </c>
      <c r="C629" s="33">
        <v>0.99048150166468418</v>
      </c>
      <c r="D629" t="str">
        <f t="shared" si="9"/>
        <v>C</v>
      </c>
    </row>
    <row r="630" spans="1:4">
      <c r="A630" s="11" t="s">
        <v>1124</v>
      </c>
      <c r="B630" s="8">
        <v>2525.0635000000002</v>
      </c>
      <c r="C630" s="33">
        <v>0.99203534129304971</v>
      </c>
      <c r="D630" t="str">
        <f t="shared" si="9"/>
        <v>C</v>
      </c>
    </row>
    <row r="631" spans="1:4">
      <c r="A631" s="11" t="s">
        <v>1259</v>
      </c>
      <c r="B631" s="8">
        <v>2146.5580500000001</v>
      </c>
      <c r="C631" s="33">
        <v>0.99335626132641819</v>
      </c>
      <c r="D631" t="str">
        <f t="shared" si="9"/>
        <v>C</v>
      </c>
    </row>
    <row r="632" spans="1:4">
      <c r="A632" s="11" t="s">
        <v>908</v>
      </c>
      <c r="B632" s="8">
        <v>1952.6356799999999</v>
      </c>
      <c r="C632" s="33">
        <v>0.99455784801892888</v>
      </c>
      <c r="D632" t="str">
        <f t="shared" si="9"/>
        <v>C</v>
      </c>
    </row>
    <row r="633" spans="1:4">
      <c r="A633" s="11" t="s">
        <v>1178</v>
      </c>
      <c r="B633" s="8">
        <v>1925.29872</v>
      </c>
      <c r="C633" s="33">
        <v>0.9957426124605272</v>
      </c>
      <c r="D633" t="str">
        <f t="shared" si="9"/>
        <v>C</v>
      </c>
    </row>
    <row r="634" spans="1:4">
      <c r="A634" s="11" t="s">
        <v>760</v>
      </c>
      <c r="B634" s="8">
        <v>1756.6999999999998</v>
      </c>
      <c r="C634" s="33">
        <v>0.99682362688854054</v>
      </c>
      <c r="D634" t="str">
        <f t="shared" si="9"/>
        <v>C</v>
      </c>
    </row>
    <row r="635" spans="1:4">
      <c r="A635" s="11" t="s">
        <v>1088</v>
      </c>
      <c r="B635" s="8">
        <v>1122.0896000000002</v>
      </c>
      <c r="C635" s="33">
        <v>0.99751412330063349</v>
      </c>
      <c r="D635" t="str">
        <f t="shared" si="9"/>
        <v>C</v>
      </c>
    </row>
    <row r="636" spans="1:4">
      <c r="A636" s="11" t="s">
        <v>1025</v>
      </c>
      <c r="B636" s="8">
        <v>1098.9470800000001</v>
      </c>
      <c r="C636" s="33">
        <v>0.998190378579909</v>
      </c>
      <c r="D636" t="str">
        <f t="shared" si="9"/>
        <v>C</v>
      </c>
    </row>
    <row r="637" spans="1:4">
      <c r="A637" s="11" t="s">
        <v>850</v>
      </c>
      <c r="B637" s="8">
        <v>765.99195000000009</v>
      </c>
      <c r="C637" s="33">
        <v>0.9986617444077065</v>
      </c>
      <c r="D637" t="str">
        <f t="shared" si="9"/>
        <v>C</v>
      </c>
    </row>
    <row r="638" spans="1:4">
      <c r="A638" s="11" t="s">
        <v>977</v>
      </c>
      <c r="B638" s="8">
        <v>748.22303999999997</v>
      </c>
      <c r="C638" s="33">
        <v>0.9991221758425628</v>
      </c>
      <c r="D638" t="str">
        <f t="shared" si="9"/>
        <v>C</v>
      </c>
    </row>
    <row r="639" spans="1:4">
      <c r="A639" s="11" t="s">
        <v>1151</v>
      </c>
      <c r="B639" s="8">
        <v>741.43835999999999</v>
      </c>
      <c r="C639" s="33">
        <v>0.99957843221225751</v>
      </c>
      <c r="D639" t="str">
        <f t="shared" si="9"/>
        <v>C</v>
      </c>
    </row>
    <row r="640" spans="1:4">
      <c r="A640" s="11" t="s">
        <v>741</v>
      </c>
      <c r="B640" s="8">
        <v>685.06776000000002</v>
      </c>
      <c r="C640" s="33">
        <v>0.99999999999999967</v>
      </c>
      <c r="D640" t="str">
        <f t="shared" si="9"/>
        <v>C</v>
      </c>
    </row>
    <row r="641" spans="1:4">
      <c r="A641" s="10" t="s">
        <v>1424</v>
      </c>
      <c r="B641" s="8">
        <v>10983317.026251854</v>
      </c>
      <c r="C641" s="33"/>
      <c r="D641" t="str">
        <f t="shared" si="9"/>
        <v>A</v>
      </c>
    </row>
  </sheetData>
  <pageMargins left="0.7" right="0.7" top="0.75" bottom="0.75" header="0.3" footer="0.3"/>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9FC774D-3CAD-4681-A553-7353BF811C9B}">
  <dimension ref="A1:I19"/>
  <sheetViews>
    <sheetView workbookViewId="0">
      <selection activeCell="B3" sqref="B3"/>
    </sheetView>
  </sheetViews>
  <sheetFormatPr defaultRowHeight="15"/>
  <cols>
    <col min="1" max="1" width="13.140625" bestFit="1" customWidth="1"/>
    <col min="2" max="2" width="20.7109375" bestFit="1" customWidth="1"/>
    <col min="3" max="3" width="17.85546875" bestFit="1" customWidth="1"/>
    <col min="4" max="4" width="16.140625" bestFit="1" customWidth="1"/>
    <col min="5" max="5" width="15" bestFit="1" customWidth="1"/>
    <col min="6" max="6" width="12" bestFit="1" customWidth="1"/>
    <col min="7" max="7" width="13.85546875" bestFit="1" customWidth="1"/>
    <col min="9" max="9" width="10" customWidth="1"/>
  </cols>
  <sheetData>
    <row r="1" spans="1:9" ht="30">
      <c r="I1" s="20" t="s">
        <v>1466</v>
      </c>
    </row>
    <row r="2" spans="1:9">
      <c r="I2">
        <f>((YEAR(MAX(Clean!B:B))-YEAR(MIN(Clean!B:B)))*12)+MONTH(MAX(Clean!B:B))-MONTH(MIN(Clean!B:B))+1</f>
        <v>33</v>
      </c>
    </row>
    <row r="3" spans="1:9">
      <c r="A3" s="9" t="s">
        <v>1423</v>
      </c>
      <c r="B3" t="s">
        <v>1456</v>
      </c>
      <c r="C3" t="s">
        <v>1462</v>
      </c>
      <c r="D3" t="s">
        <v>1425</v>
      </c>
      <c r="E3" s="26" t="s">
        <v>1463</v>
      </c>
      <c r="F3" s="26" t="s">
        <v>1464</v>
      </c>
      <c r="G3" s="26" t="s">
        <v>1465</v>
      </c>
    </row>
    <row r="4" spans="1:9">
      <c r="A4" s="10" t="s">
        <v>720</v>
      </c>
      <c r="B4" s="8">
        <v>1006901.34611976</v>
      </c>
      <c r="C4" s="8">
        <v>339146.97611975996</v>
      </c>
      <c r="D4">
        <v>48</v>
      </c>
      <c r="E4" s="8">
        <f>B4/D4</f>
        <v>20977.111377494999</v>
      </c>
      <c r="F4" s="8">
        <f>C4/D4</f>
        <v>7065.5620024949994</v>
      </c>
      <c r="G4" s="24">
        <f>D4/$I$2</f>
        <v>1.4545454545454546</v>
      </c>
    </row>
    <row r="5" spans="1:9">
      <c r="A5" s="10" t="s">
        <v>717</v>
      </c>
      <c r="B5" s="8">
        <v>923864.85332999995</v>
      </c>
      <c r="C5" s="8">
        <v>323552.44333000004</v>
      </c>
      <c r="D5">
        <v>50</v>
      </c>
      <c r="E5" s="8">
        <f t="shared" ref="E5:E18" si="0">B5/D5</f>
        <v>18477.2970666</v>
      </c>
      <c r="F5" s="8">
        <f t="shared" ref="F5:F18" si="1">C5/D5</f>
        <v>6471.048866600001</v>
      </c>
      <c r="G5" s="24">
        <f t="shared" ref="G5:G18" si="2">D5/$I$2</f>
        <v>1.5151515151515151</v>
      </c>
    </row>
    <row r="6" spans="1:9">
      <c r="A6" s="10" t="s">
        <v>712</v>
      </c>
      <c r="B6" s="8">
        <v>708536.86497684801</v>
      </c>
      <c r="C6" s="8">
        <v>249120.02497684798</v>
      </c>
      <c r="D6">
        <v>37</v>
      </c>
      <c r="E6" s="8">
        <f t="shared" si="0"/>
        <v>19149.644999374272</v>
      </c>
      <c r="F6" s="8">
        <f t="shared" si="1"/>
        <v>6732.9736480229185</v>
      </c>
      <c r="G6" s="24">
        <f t="shared" si="2"/>
        <v>1.1212121212121211</v>
      </c>
    </row>
    <row r="7" spans="1:9">
      <c r="A7" s="10" t="s">
        <v>726</v>
      </c>
      <c r="B7" s="8">
        <v>614644.30122000002</v>
      </c>
      <c r="C7" s="8">
        <v>170472.52122</v>
      </c>
      <c r="D7">
        <v>39</v>
      </c>
      <c r="E7" s="8">
        <f t="shared" si="0"/>
        <v>15760.110287692309</v>
      </c>
      <c r="F7" s="8">
        <f t="shared" si="1"/>
        <v>4371.0902876923074</v>
      </c>
      <c r="G7" s="24">
        <f t="shared" si="2"/>
        <v>1.1818181818181819</v>
      </c>
    </row>
    <row r="8" spans="1:9">
      <c r="A8" s="10" t="s">
        <v>718</v>
      </c>
      <c r="B8" s="8">
        <v>543846.44053000002</v>
      </c>
      <c r="C8" s="8">
        <v>204981.34053000004</v>
      </c>
      <c r="D8">
        <v>34</v>
      </c>
      <c r="E8" s="8">
        <f t="shared" si="0"/>
        <v>15995.483545000001</v>
      </c>
      <c r="F8" s="8">
        <f t="shared" si="1"/>
        <v>6028.8629567647076</v>
      </c>
      <c r="G8" s="24">
        <f t="shared" si="2"/>
        <v>1.0303030303030303</v>
      </c>
    </row>
    <row r="9" spans="1:9">
      <c r="A9" s="10" t="s">
        <v>721</v>
      </c>
      <c r="B9" s="8">
        <v>828392.19311999984</v>
      </c>
      <c r="C9" s="8">
        <v>250204.19312000007</v>
      </c>
      <c r="D9">
        <v>53</v>
      </c>
      <c r="E9" s="8">
        <f t="shared" si="0"/>
        <v>15630.041379622638</v>
      </c>
      <c r="F9" s="8">
        <f t="shared" si="1"/>
        <v>4720.8338324528313</v>
      </c>
      <c r="G9" s="24">
        <f t="shared" si="2"/>
        <v>1.606060606060606</v>
      </c>
    </row>
    <row r="10" spans="1:9">
      <c r="A10" s="10" t="s">
        <v>715</v>
      </c>
      <c r="B10" s="8">
        <v>510653.71305000014</v>
      </c>
      <c r="C10" s="8">
        <v>172441.87305000005</v>
      </c>
      <c r="D10">
        <v>30</v>
      </c>
      <c r="E10" s="8">
        <f t="shared" si="0"/>
        <v>17021.790435000006</v>
      </c>
      <c r="F10" s="8">
        <f t="shared" si="1"/>
        <v>5748.0624350000016</v>
      </c>
      <c r="G10" s="24">
        <f t="shared" si="2"/>
        <v>0.90909090909090906</v>
      </c>
    </row>
    <row r="11" spans="1:9">
      <c r="A11" s="10" t="s">
        <v>722</v>
      </c>
      <c r="B11" s="8">
        <v>709753.81771550397</v>
      </c>
      <c r="C11" s="8">
        <v>149206.32771550398</v>
      </c>
      <c r="D11">
        <v>45</v>
      </c>
      <c r="E11" s="8">
        <f t="shared" si="0"/>
        <v>15772.307060344532</v>
      </c>
      <c r="F11" s="8">
        <f t="shared" si="1"/>
        <v>3315.6961714556442</v>
      </c>
      <c r="G11" s="24">
        <f t="shared" si="2"/>
        <v>1.3636363636363635</v>
      </c>
    </row>
    <row r="12" spans="1:9">
      <c r="A12" s="10" t="s">
        <v>714</v>
      </c>
      <c r="B12" s="8">
        <v>540526.22685999994</v>
      </c>
      <c r="C12" s="8">
        <v>139382.24685999998</v>
      </c>
      <c r="D12">
        <v>38</v>
      </c>
      <c r="E12" s="8">
        <f t="shared" si="0"/>
        <v>14224.37439105263</v>
      </c>
      <c r="F12" s="8">
        <f t="shared" si="1"/>
        <v>3667.9538647368418</v>
      </c>
      <c r="G12" s="24">
        <f t="shared" si="2"/>
        <v>1.1515151515151516</v>
      </c>
    </row>
    <row r="13" spans="1:9">
      <c r="A13" s="10" t="s">
        <v>713</v>
      </c>
      <c r="B13" s="8">
        <v>802384.6622799997</v>
      </c>
      <c r="C13" s="8">
        <v>273113.11228</v>
      </c>
      <c r="D13">
        <v>50</v>
      </c>
      <c r="E13" s="8">
        <f t="shared" si="0"/>
        <v>16047.693245599994</v>
      </c>
      <c r="F13" s="8">
        <f t="shared" si="1"/>
        <v>5462.2622455999999</v>
      </c>
      <c r="G13" s="24">
        <f t="shared" si="2"/>
        <v>1.5151515151515151</v>
      </c>
    </row>
    <row r="14" spans="1:9">
      <c r="A14" s="10" t="s">
        <v>723</v>
      </c>
      <c r="B14" s="8">
        <v>883348.1293599999</v>
      </c>
      <c r="C14" s="8">
        <v>278762.26935999998</v>
      </c>
      <c r="D14">
        <v>44</v>
      </c>
      <c r="E14" s="8">
        <f t="shared" si="0"/>
        <v>20076.093849090907</v>
      </c>
      <c r="F14" s="8">
        <f t="shared" si="1"/>
        <v>6335.5061218181809</v>
      </c>
      <c r="G14" s="24">
        <f t="shared" si="2"/>
        <v>1.3333333333333333</v>
      </c>
    </row>
    <row r="15" spans="1:9">
      <c r="A15" s="10" t="s">
        <v>716</v>
      </c>
      <c r="B15" s="8">
        <v>855204.50772135996</v>
      </c>
      <c r="C15" s="8">
        <v>271882.53772136004</v>
      </c>
      <c r="D15">
        <v>46</v>
      </c>
      <c r="E15" s="8">
        <f t="shared" si="0"/>
        <v>18591.402341768695</v>
      </c>
      <c r="F15" s="8">
        <f t="shared" si="1"/>
        <v>5910.489950464349</v>
      </c>
      <c r="G15" s="24">
        <f t="shared" si="2"/>
        <v>1.393939393939394</v>
      </c>
    </row>
    <row r="16" spans="1:9">
      <c r="A16" s="10" t="s">
        <v>724</v>
      </c>
      <c r="B16" s="8">
        <v>1019209.9364383835</v>
      </c>
      <c r="C16" s="8">
        <v>337437.55643838388</v>
      </c>
      <c r="D16">
        <v>49</v>
      </c>
      <c r="E16" s="8">
        <f t="shared" si="0"/>
        <v>20800.202784456807</v>
      </c>
      <c r="F16" s="8">
        <f t="shared" si="1"/>
        <v>6886.4807436404872</v>
      </c>
      <c r="G16" s="24">
        <f t="shared" si="2"/>
        <v>1.4848484848484849</v>
      </c>
    </row>
    <row r="17" spans="1:7">
      <c r="A17" s="10" t="s">
        <v>725</v>
      </c>
      <c r="B17" s="8">
        <v>388325.13659000001</v>
      </c>
      <c r="C17" s="8">
        <v>110646.45659</v>
      </c>
      <c r="D17">
        <v>32</v>
      </c>
      <c r="E17" s="8">
        <f t="shared" si="0"/>
        <v>12135.1605184375</v>
      </c>
      <c r="F17" s="8">
        <f t="shared" si="1"/>
        <v>3457.7017684375</v>
      </c>
      <c r="G17" s="24">
        <f t="shared" si="2"/>
        <v>0.96969696969696972</v>
      </c>
    </row>
    <row r="18" spans="1:7">
      <c r="A18" s="10" t="s">
        <v>719</v>
      </c>
      <c r="B18" s="8">
        <v>647724.89694000001</v>
      </c>
      <c r="C18" s="8">
        <v>185219.43694000004</v>
      </c>
      <c r="D18">
        <v>37</v>
      </c>
      <c r="E18" s="8">
        <f t="shared" si="0"/>
        <v>17506.078295675678</v>
      </c>
      <c r="F18" s="8">
        <f t="shared" si="1"/>
        <v>5005.9307281081092</v>
      </c>
      <c r="G18" s="24">
        <f t="shared" si="2"/>
        <v>1.1212121212121211</v>
      </c>
    </row>
    <row r="19" spans="1:7">
      <c r="A19" s="10" t="s">
        <v>1424</v>
      </c>
      <c r="B19" s="8">
        <v>10983317.026251847</v>
      </c>
      <c r="C19" s="8">
        <v>3455569.3162518544</v>
      </c>
      <c r="D19">
        <v>632</v>
      </c>
      <c r="F19" s="8"/>
      <c r="G19" s="24"/>
    </row>
  </sheetData>
  <conditionalFormatting sqref="E4:E18">
    <cfRule type="top10" dxfId="37" priority="5" bottom="1" rank="3"/>
    <cfRule type="top10" dxfId="36" priority="6" rank="3"/>
  </conditionalFormatting>
  <conditionalFormatting sqref="F4:F18">
    <cfRule type="top10" dxfId="35" priority="3" bottom="1" rank="3"/>
    <cfRule type="top10" dxfId="34" priority="4" rank="3"/>
  </conditionalFormatting>
  <conditionalFormatting sqref="G4:G18">
    <cfRule type="top10" dxfId="33" priority="1" bottom="1" rank="3"/>
    <cfRule type="top10" dxfId="32" priority="2" rank="3"/>
  </conditionalFormatting>
  <pageMargins left="0.7" right="0.7" top="0.75" bottom="0.75" header="0.3" footer="0.3"/>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DD3A327-EA42-4D43-BD86-78B30189AF31}">
  <dimension ref="A3:G9"/>
  <sheetViews>
    <sheetView workbookViewId="0">
      <selection activeCell="C20" sqref="C20"/>
    </sheetView>
  </sheetViews>
  <sheetFormatPr defaultRowHeight="15"/>
  <cols>
    <col min="1" max="1" width="20.7109375" bestFit="1" customWidth="1"/>
    <col min="2" max="2" width="16.28515625" bestFit="1" customWidth="1"/>
    <col min="3" max="3" width="10.5703125" bestFit="1" customWidth="1"/>
    <col min="4" max="4" width="12.140625" bestFit="1" customWidth="1"/>
    <col min="5" max="6" width="7.140625" bestFit="1" customWidth="1"/>
    <col min="7" max="7" width="11.28515625" bestFit="1" customWidth="1"/>
  </cols>
  <sheetData>
    <row r="3" spans="1:7">
      <c r="A3" s="9" t="s">
        <v>1456</v>
      </c>
      <c r="B3" s="9" t="s">
        <v>1428</v>
      </c>
    </row>
    <row r="4" spans="1:7">
      <c r="A4" s="9" t="s">
        <v>1423</v>
      </c>
      <c r="B4" t="s">
        <v>711</v>
      </c>
      <c r="C4" t="s">
        <v>710</v>
      </c>
      <c r="D4" t="s">
        <v>709</v>
      </c>
      <c r="E4" t="s">
        <v>708</v>
      </c>
      <c r="F4" t="s">
        <v>707</v>
      </c>
      <c r="G4" t="s">
        <v>1424</v>
      </c>
    </row>
    <row r="5" spans="1:7">
      <c r="A5" s="10" t="s">
        <v>646</v>
      </c>
      <c r="B5" s="33">
        <v>0.17982269703880674</v>
      </c>
      <c r="C5" s="33">
        <v>0.25675855256503283</v>
      </c>
      <c r="D5" s="33">
        <v>0.20094256372277436</v>
      </c>
      <c r="E5" s="33">
        <v>0.16510916502059328</v>
      </c>
      <c r="F5" s="33">
        <v>0.19736702165279288</v>
      </c>
      <c r="G5" s="33">
        <v>1</v>
      </c>
    </row>
    <row r="6" spans="1:7">
      <c r="A6" s="10" t="s">
        <v>648</v>
      </c>
      <c r="B6" s="33">
        <v>0.27941700311049866</v>
      </c>
      <c r="C6" s="33">
        <v>0.21204348905781806</v>
      </c>
      <c r="D6" s="33">
        <v>0.13959263936023844</v>
      </c>
      <c r="E6" s="33">
        <v>0.25640021945361585</v>
      </c>
      <c r="F6" s="33">
        <v>0.11254664901782895</v>
      </c>
      <c r="G6" s="33">
        <v>1</v>
      </c>
    </row>
    <row r="7" spans="1:7">
      <c r="A7" s="10" t="s">
        <v>647</v>
      </c>
      <c r="B7" s="33">
        <v>0.22526544707293911</v>
      </c>
      <c r="C7" s="33">
        <v>0.18101862356200618</v>
      </c>
      <c r="D7" s="33">
        <v>0.1969080127503951</v>
      </c>
      <c r="E7" s="33">
        <v>0.14419908202585902</v>
      </c>
      <c r="F7" s="33">
        <v>0.25260883458880057</v>
      </c>
      <c r="G7" s="33">
        <v>1</v>
      </c>
    </row>
    <row r="8" spans="1:7">
      <c r="A8" s="10" t="s">
        <v>649</v>
      </c>
      <c r="B8" s="33">
        <v>0.30751768575593991</v>
      </c>
      <c r="C8" s="33">
        <v>0.11388539717527894</v>
      </c>
      <c r="D8" s="33">
        <v>0.20335174871317951</v>
      </c>
      <c r="E8" s="33">
        <v>0.20916726234095334</v>
      </c>
      <c r="F8" s="33">
        <v>0.16607790601464831</v>
      </c>
      <c r="G8" s="33">
        <v>1</v>
      </c>
    </row>
    <row r="9" spans="1:7">
      <c r="A9" s="10" t="s">
        <v>1424</v>
      </c>
      <c r="B9" s="33">
        <v>0.24863133003886437</v>
      </c>
      <c r="C9" s="33">
        <v>0.18961449280411113</v>
      </c>
      <c r="D9" s="33">
        <v>0.18547195155870169</v>
      </c>
      <c r="E9" s="33">
        <v>0.19324089599044331</v>
      </c>
      <c r="F9" s="33">
        <v>0.18304132960787944</v>
      </c>
      <c r="G9" s="33">
        <v>1</v>
      </c>
    </row>
  </sheetData>
  <conditionalFormatting pivot="1" sqref="E6 E8 F6 F8">
    <cfRule type="colorScale" priority="1">
      <colorScale>
        <cfvo type="min"/>
        <cfvo type="percentile" val="50"/>
        <cfvo type="max"/>
        <color rgb="FF63BE7B"/>
        <color rgb="FFFFEB84"/>
        <color rgb="FFF8696B"/>
      </colorScale>
    </cfRule>
  </conditionalFormatting>
  <pageMargins left="0.7" right="0.7" top="0.75" bottom="0.75" header="0.3" footer="0.3"/>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0706214-370D-4A32-A58B-9EF602929351}">
  <dimension ref="A3:D101"/>
  <sheetViews>
    <sheetView topLeftCell="A7" workbookViewId="0">
      <selection activeCell="G22" sqref="G22"/>
    </sheetView>
  </sheetViews>
  <sheetFormatPr defaultRowHeight="15"/>
  <cols>
    <col min="1" max="1" width="17.42578125" bestFit="1" customWidth="1"/>
    <col min="2" max="2" width="16.28515625" bestFit="1" customWidth="1"/>
    <col min="3" max="3" width="7.140625" bestFit="1" customWidth="1"/>
    <col min="4" max="4" width="11.28515625" bestFit="1" customWidth="1"/>
  </cols>
  <sheetData>
    <row r="3" spans="1:4">
      <c r="A3" s="9" t="s">
        <v>1425</v>
      </c>
      <c r="B3" s="9" t="s">
        <v>1428</v>
      </c>
    </row>
    <row r="4" spans="1:4">
      <c r="A4" s="9" t="s">
        <v>1423</v>
      </c>
      <c r="B4" t="s">
        <v>1470</v>
      </c>
      <c r="C4" t="s">
        <v>1471</v>
      </c>
      <c r="D4" t="s">
        <v>1424</v>
      </c>
    </row>
    <row r="5" spans="1:4">
      <c r="A5" s="10" t="s">
        <v>655</v>
      </c>
      <c r="B5" s="33">
        <v>0.74193548387096775</v>
      </c>
      <c r="C5" s="33">
        <v>0.25806451612903225</v>
      </c>
      <c r="D5" s="33">
        <v>1</v>
      </c>
    </row>
    <row r="6" spans="1:4">
      <c r="A6" s="11" t="s">
        <v>733</v>
      </c>
      <c r="B6" s="33">
        <v>0.6</v>
      </c>
      <c r="C6" s="33">
        <v>0.4</v>
      </c>
      <c r="D6" s="33">
        <v>1</v>
      </c>
    </row>
    <row r="7" spans="1:4">
      <c r="A7" s="11" t="s">
        <v>727</v>
      </c>
      <c r="B7" s="33">
        <v>0.8571428571428571</v>
      </c>
      <c r="C7" s="33">
        <v>0.14285714285714285</v>
      </c>
      <c r="D7" s="33">
        <v>1</v>
      </c>
    </row>
    <row r="8" spans="1:4">
      <c r="A8" s="11" t="s">
        <v>731</v>
      </c>
      <c r="B8" s="33">
        <v>0.8</v>
      </c>
      <c r="C8" s="33">
        <v>0.2</v>
      </c>
      <c r="D8" s="33">
        <v>1</v>
      </c>
    </row>
    <row r="9" spans="1:4">
      <c r="A9" s="11" t="s">
        <v>732</v>
      </c>
      <c r="B9" s="33">
        <v>0.75</v>
      </c>
      <c r="C9" s="33">
        <v>0.25</v>
      </c>
      <c r="D9" s="33">
        <v>1</v>
      </c>
    </row>
    <row r="10" spans="1:4">
      <c r="A10" s="11" t="s">
        <v>729</v>
      </c>
      <c r="B10" s="33">
        <v>0.83333333333333337</v>
      </c>
      <c r="C10" s="33">
        <v>0.16666666666666666</v>
      </c>
      <c r="D10" s="33">
        <v>1</v>
      </c>
    </row>
    <row r="11" spans="1:4">
      <c r="A11" s="11" t="s">
        <v>730</v>
      </c>
      <c r="B11" s="33">
        <v>0.55555555555555558</v>
      </c>
      <c r="C11" s="33">
        <v>0.44444444444444442</v>
      </c>
      <c r="D11" s="33">
        <v>1</v>
      </c>
    </row>
    <row r="12" spans="1:4">
      <c r="A12" s="11" t="s">
        <v>728</v>
      </c>
      <c r="B12" s="33">
        <v>0.8571428571428571</v>
      </c>
      <c r="C12" s="33">
        <v>0.14285714285714285</v>
      </c>
      <c r="D12" s="33">
        <v>1</v>
      </c>
    </row>
    <row r="13" spans="1:4">
      <c r="A13" s="10" t="s">
        <v>653</v>
      </c>
      <c r="B13" s="33">
        <v>0.79545454545454541</v>
      </c>
      <c r="C13" s="33">
        <v>0.20454545454545456</v>
      </c>
      <c r="D13" s="33">
        <v>1</v>
      </c>
    </row>
    <row r="14" spans="1:4">
      <c r="A14" s="11" t="s">
        <v>733</v>
      </c>
      <c r="B14" s="33">
        <v>0.66666666666666663</v>
      </c>
      <c r="C14" s="33">
        <v>0.33333333333333331</v>
      </c>
      <c r="D14" s="33">
        <v>1</v>
      </c>
    </row>
    <row r="15" spans="1:4">
      <c r="A15" s="11" t="s">
        <v>727</v>
      </c>
      <c r="B15" s="33">
        <v>0.5</v>
      </c>
      <c r="C15" s="33">
        <v>0.5</v>
      </c>
      <c r="D15" s="33">
        <v>1</v>
      </c>
    </row>
    <row r="16" spans="1:4">
      <c r="A16" s="11" t="s">
        <v>731</v>
      </c>
      <c r="B16" s="33">
        <v>0.66666666666666663</v>
      </c>
      <c r="C16" s="33">
        <v>0.33333333333333331</v>
      </c>
      <c r="D16" s="33">
        <v>1</v>
      </c>
    </row>
    <row r="17" spans="1:4">
      <c r="A17" s="11" t="s">
        <v>732</v>
      </c>
      <c r="B17" s="33">
        <v>1</v>
      </c>
      <c r="C17" s="33">
        <v>0</v>
      </c>
      <c r="D17" s="33">
        <v>1</v>
      </c>
    </row>
    <row r="18" spans="1:4">
      <c r="A18" s="11" t="s">
        <v>729</v>
      </c>
      <c r="B18" s="33">
        <v>1</v>
      </c>
      <c r="C18" s="33">
        <v>0</v>
      </c>
      <c r="D18" s="33">
        <v>1</v>
      </c>
    </row>
    <row r="19" spans="1:4">
      <c r="A19" s="11" t="s">
        <v>730</v>
      </c>
      <c r="B19" s="33">
        <v>1</v>
      </c>
      <c r="C19" s="33">
        <v>0</v>
      </c>
      <c r="D19" s="33">
        <v>1</v>
      </c>
    </row>
    <row r="20" spans="1:4">
      <c r="A20" s="11" t="s">
        <v>728</v>
      </c>
      <c r="B20" s="33">
        <v>0.84615384615384615</v>
      </c>
      <c r="C20" s="33">
        <v>0.15384615384615385</v>
      </c>
      <c r="D20" s="33">
        <v>1</v>
      </c>
    </row>
    <row r="21" spans="1:4">
      <c r="A21" s="10" t="s">
        <v>659</v>
      </c>
      <c r="B21" s="33">
        <v>0.82352941176470584</v>
      </c>
      <c r="C21" s="33">
        <v>0.17647058823529413</v>
      </c>
      <c r="D21" s="33">
        <v>1</v>
      </c>
    </row>
    <row r="22" spans="1:4">
      <c r="A22" s="11" t="s">
        <v>733</v>
      </c>
      <c r="B22" s="33">
        <v>0.25</v>
      </c>
      <c r="C22" s="33">
        <v>0.75</v>
      </c>
      <c r="D22" s="33">
        <v>1</v>
      </c>
    </row>
    <row r="23" spans="1:4">
      <c r="A23" s="11" t="s">
        <v>727</v>
      </c>
      <c r="B23" s="33">
        <v>1</v>
      </c>
      <c r="C23" s="33">
        <v>0</v>
      </c>
      <c r="D23" s="33">
        <v>1</v>
      </c>
    </row>
    <row r="24" spans="1:4">
      <c r="A24" s="11" t="s">
        <v>731</v>
      </c>
      <c r="B24" s="33">
        <v>0.8</v>
      </c>
      <c r="C24" s="33">
        <v>0.2</v>
      </c>
      <c r="D24" s="33">
        <v>1</v>
      </c>
    </row>
    <row r="25" spans="1:4">
      <c r="A25" s="11" t="s">
        <v>732</v>
      </c>
      <c r="B25" s="33">
        <v>0.83333333333333337</v>
      </c>
      <c r="C25" s="33">
        <v>0.16666666666666666</v>
      </c>
      <c r="D25" s="33">
        <v>1</v>
      </c>
    </row>
    <row r="26" spans="1:4">
      <c r="A26" s="11" t="s">
        <v>729</v>
      </c>
      <c r="B26" s="33">
        <v>0.625</v>
      </c>
      <c r="C26" s="33">
        <v>0.375</v>
      </c>
      <c r="D26" s="33">
        <v>1</v>
      </c>
    </row>
    <row r="27" spans="1:4">
      <c r="A27" s="11" t="s">
        <v>730</v>
      </c>
      <c r="B27" s="33">
        <v>0.8571428571428571</v>
      </c>
      <c r="C27" s="33">
        <v>0.14285714285714285</v>
      </c>
      <c r="D27" s="33">
        <v>1</v>
      </c>
    </row>
    <row r="28" spans="1:4">
      <c r="A28" s="11" t="s">
        <v>728</v>
      </c>
      <c r="B28" s="33">
        <v>1</v>
      </c>
      <c r="C28" s="33">
        <v>0</v>
      </c>
      <c r="D28" s="33">
        <v>1</v>
      </c>
    </row>
    <row r="29" spans="1:4">
      <c r="A29" s="10" t="s">
        <v>657</v>
      </c>
      <c r="B29" s="33">
        <v>0.77777777777777779</v>
      </c>
      <c r="C29" s="33">
        <v>0.22222222222222221</v>
      </c>
      <c r="D29" s="33">
        <v>1</v>
      </c>
    </row>
    <row r="30" spans="1:4">
      <c r="A30" s="11" t="s">
        <v>733</v>
      </c>
      <c r="B30" s="33">
        <v>0.8571428571428571</v>
      </c>
      <c r="C30" s="33">
        <v>0.14285714285714285</v>
      </c>
      <c r="D30" s="33">
        <v>1</v>
      </c>
    </row>
    <row r="31" spans="1:4">
      <c r="A31" s="11" t="s">
        <v>727</v>
      </c>
      <c r="B31" s="33">
        <v>0.7</v>
      </c>
      <c r="C31" s="33">
        <v>0.3</v>
      </c>
      <c r="D31" s="33">
        <v>1</v>
      </c>
    </row>
    <row r="32" spans="1:4">
      <c r="A32" s="11" t="s">
        <v>731</v>
      </c>
      <c r="B32" s="33">
        <v>0.66666666666666663</v>
      </c>
      <c r="C32" s="33">
        <v>0.33333333333333331</v>
      </c>
      <c r="D32" s="33">
        <v>1</v>
      </c>
    </row>
    <row r="33" spans="1:4">
      <c r="A33" s="11" t="s">
        <v>732</v>
      </c>
      <c r="B33" s="33">
        <v>0.7</v>
      </c>
      <c r="C33" s="33">
        <v>0.3</v>
      </c>
      <c r="D33" s="33">
        <v>1</v>
      </c>
    </row>
    <row r="34" spans="1:4">
      <c r="A34" s="11" t="s">
        <v>729</v>
      </c>
      <c r="B34" s="33">
        <v>0.83333333333333337</v>
      </c>
      <c r="C34" s="33">
        <v>0.16666666666666666</v>
      </c>
      <c r="D34" s="33">
        <v>1</v>
      </c>
    </row>
    <row r="35" spans="1:4">
      <c r="A35" s="11" t="s">
        <v>730</v>
      </c>
      <c r="B35" s="33">
        <v>1</v>
      </c>
      <c r="C35" s="33">
        <v>0</v>
      </c>
      <c r="D35" s="33">
        <v>1</v>
      </c>
    </row>
    <row r="36" spans="1:4">
      <c r="A36" s="11" t="s">
        <v>728</v>
      </c>
      <c r="B36" s="33">
        <v>0.83333333333333337</v>
      </c>
      <c r="C36" s="33">
        <v>0.16666666666666666</v>
      </c>
      <c r="D36" s="33">
        <v>1</v>
      </c>
    </row>
    <row r="37" spans="1:4">
      <c r="A37" s="10" t="s">
        <v>656</v>
      </c>
      <c r="B37" s="33">
        <v>0.76470588235294112</v>
      </c>
      <c r="C37" s="33">
        <v>0.23529411764705882</v>
      </c>
      <c r="D37" s="33">
        <v>1</v>
      </c>
    </row>
    <row r="38" spans="1:4">
      <c r="A38" s="11" t="s">
        <v>733</v>
      </c>
      <c r="B38" s="33">
        <v>0.55555555555555558</v>
      </c>
      <c r="C38" s="33">
        <v>0.44444444444444442</v>
      </c>
      <c r="D38" s="33">
        <v>1</v>
      </c>
    </row>
    <row r="39" spans="1:4">
      <c r="A39" s="11" t="s">
        <v>727</v>
      </c>
      <c r="B39" s="33">
        <v>0.66666666666666663</v>
      </c>
      <c r="C39" s="33">
        <v>0.33333333333333331</v>
      </c>
      <c r="D39" s="33">
        <v>1</v>
      </c>
    </row>
    <row r="40" spans="1:4">
      <c r="A40" s="11" t="s">
        <v>731</v>
      </c>
      <c r="B40" s="33">
        <v>0.7142857142857143</v>
      </c>
      <c r="C40" s="33">
        <v>0.2857142857142857</v>
      </c>
      <c r="D40" s="33">
        <v>1</v>
      </c>
    </row>
    <row r="41" spans="1:4">
      <c r="A41" s="11" t="s">
        <v>732</v>
      </c>
      <c r="B41" s="33">
        <v>0.9</v>
      </c>
      <c r="C41" s="33">
        <v>0.1</v>
      </c>
      <c r="D41" s="33">
        <v>1</v>
      </c>
    </row>
    <row r="42" spans="1:4">
      <c r="A42" s="11" t="s">
        <v>729</v>
      </c>
      <c r="B42" s="33">
        <v>0.75</v>
      </c>
      <c r="C42" s="33">
        <v>0.25</v>
      </c>
      <c r="D42" s="33">
        <v>1</v>
      </c>
    </row>
    <row r="43" spans="1:4">
      <c r="A43" s="11" t="s">
        <v>730</v>
      </c>
      <c r="B43" s="33">
        <v>0.8571428571428571</v>
      </c>
      <c r="C43" s="33">
        <v>0.14285714285714285</v>
      </c>
      <c r="D43" s="33">
        <v>1</v>
      </c>
    </row>
    <row r="44" spans="1:4">
      <c r="A44" s="11" t="s">
        <v>728</v>
      </c>
      <c r="B44" s="33">
        <v>0.875</v>
      </c>
      <c r="C44" s="33">
        <v>0.125</v>
      </c>
      <c r="D44" s="33">
        <v>1</v>
      </c>
    </row>
    <row r="45" spans="1:4">
      <c r="A45" s="10" t="s">
        <v>654</v>
      </c>
      <c r="B45" s="33">
        <v>0.81967213114754101</v>
      </c>
      <c r="C45" s="33">
        <v>0.18032786885245902</v>
      </c>
      <c r="D45" s="33">
        <v>1</v>
      </c>
    </row>
    <row r="46" spans="1:4">
      <c r="A46" s="11" t="s">
        <v>733</v>
      </c>
      <c r="B46" s="33">
        <v>0.75</v>
      </c>
      <c r="C46" s="33">
        <v>0.25</v>
      </c>
      <c r="D46" s="33">
        <v>1</v>
      </c>
    </row>
    <row r="47" spans="1:4">
      <c r="A47" s="11" t="s">
        <v>727</v>
      </c>
      <c r="B47" s="33">
        <v>0.8</v>
      </c>
      <c r="C47" s="33">
        <v>0.2</v>
      </c>
      <c r="D47" s="33">
        <v>1</v>
      </c>
    </row>
    <row r="48" spans="1:4">
      <c r="A48" s="11" t="s">
        <v>731</v>
      </c>
      <c r="B48" s="33">
        <v>0.88888888888888884</v>
      </c>
      <c r="C48" s="33">
        <v>0.1111111111111111</v>
      </c>
      <c r="D48" s="33">
        <v>1</v>
      </c>
    </row>
    <row r="49" spans="1:4">
      <c r="A49" s="11" t="s">
        <v>732</v>
      </c>
      <c r="B49" s="33">
        <v>0.83333333333333337</v>
      </c>
      <c r="C49" s="33">
        <v>0.16666666666666666</v>
      </c>
      <c r="D49" s="33">
        <v>1</v>
      </c>
    </row>
    <row r="50" spans="1:4">
      <c r="A50" s="11" t="s">
        <v>729</v>
      </c>
      <c r="B50" s="33">
        <v>0.8571428571428571</v>
      </c>
      <c r="C50" s="33">
        <v>0.14285714285714285</v>
      </c>
      <c r="D50" s="33">
        <v>1</v>
      </c>
    </row>
    <row r="51" spans="1:4">
      <c r="A51" s="11" t="s">
        <v>730</v>
      </c>
      <c r="B51" s="33">
        <v>0.77777777777777779</v>
      </c>
      <c r="C51" s="33">
        <v>0.22222222222222221</v>
      </c>
      <c r="D51" s="33">
        <v>1</v>
      </c>
    </row>
    <row r="52" spans="1:4">
      <c r="A52" s="11" t="s">
        <v>728</v>
      </c>
      <c r="B52" s="33">
        <v>0.83333333333333337</v>
      </c>
      <c r="C52" s="33">
        <v>0.16666666666666666</v>
      </c>
      <c r="D52" s="33">
        <v>1</v>
      </c>
    </row>
    <row r="53" spans="1:4">
      <c r="A53" s="10" t="s">
        <v>652</v>
      </c>
      <c r="B53" s="33">
        <v>0.83050847457627119</v>
      </c>
      <c r="C53" s="33">
        <v>0.16949152542372881</v>
      </c>
      <c r="D53" s="33">
        <v>1</v>
      </c>
    </row>
    <row r="54" spans="1:4">
      <c r="A54" s="11" t="s">
        <v>733</v>
      </c>
      <c r="B54" s="33">
        <v>0.8</v>
      </c>
      <c r="C54" s="33">
        <v>0.2</v>
      </c>
      <c r="D54" s="33">
        <v>1</v>
      </c>
    </row>
    <row r="55" spans="1:4">
      <c r="A55" s="11" t="s">
        <v>727</v>
      </c>
      <c r="B55" s="33">
        <v>0.75</v>
      </c>
      <c r="C55" s="33">
        <v>0.25</v>
      </c>
      <c r="D55" s="33">
        <v>1</v>
      </c>
    </row>
    <row r="56" spans="1:4">
      <c r="A56" s="11" t="s">
        <v>731</v>
      </c>
      <c r="B56" s="33">
        <v>0.7142857142857143</v>
      </c>
      <c r="C56" s="33">
        <v>0.2857142857142857</v>
      </c>
      <c r="D56" s="33">
        <v>1</v>
      </c>
    </row>
    <row r="57" spans="1:4">
      <c r="A57" s="11" t="s">
        <v>732</v>
      </c>
      <c r="B57" s="33">
        <v>0.7142857142857143</v>
      </c>
      <c r="C57" s="33">
        <v>0.2857142857142857</v>
      </c>
      <c r="D57" s="33">
        <v>1</v>
      </c>
    </row>
    <row r="58" spans="1:4">
      <c r="A58" s="11" t="s">
        <v>729</v>
      </c>
      <c r="B58" s="33">
        <v>1</v>
      </c>
      <c r="C58" s="33">
        <v>0</v>
      </c>
      <c r="D58" s="33">
        <v>1</v>
      </c>
    </row>
    <row r="59" spans="1:4">
      <c r="A59" s="11" t="s">
        <v>730</v>
      </c>
      <c r="B59" s="33">
        <v>0.90909090909090906</v>
      </c>
      <c r="C59" s="33">
        <v>9.0909090909090912E-2</v>
      </c>
      <c r="D59" s="33">
        <v>1</v>
      </c>
    </row>
    <row r="60" spans="1:4">
      <c r="A60" s="11" t="s">
        <v>728</v>
      </c>
      <c r="B60" s="33">
        <v>0.77777777777777779</v>
      </c>
      <c r="C60" s="33">
        <v>0.22222222222222221</v>
      </c>
      <c r="D60" s="33">
        <v>1</v>
      </c>
    </row>
    <row r="61" spans="1:4">
      <c r="A61" s="10" t="s">
        <v>650</v>
      </c>
      <c r="B61" s="33">
        <v>0.7321428571428571</v>
      </c>
      <c r="C61" s="33">
        <v>0.26785714285714285</v>
      </c>
      <c r="D61" s="33">
        <v>1</v>
      </c>
    </row>
    <row r="62" spans="1:4">
      <c r="A62" s="11" t="s">
        <v>733</v>
      </c>
      <c r="B62" s="33">
        <v>0.6</v>
      </c>
      <c r="C62" s="33">
        <v>0.4</v>
      </c>
      <c r="D62" s="33">
        <v>1</v>
      </c>
    </row>
    <row r="63" spans="1:4">
      <c r="A63" s="11" t="s">
        <v>727</v>
      </c>
      <c r="B63" s="33">
        <v>0.8</v>
      </c>
      <c r="C63" s="33">
        <v>0.2</v>
      </c>
      <c r="D63" s="33">
        <v>1</v>
      </c>
    </row>
    <row r="64" spans="1:4">
      <c r="A64" s="11" t="s">
        <v>731</v>
      </c>
      <c r="B64" s="33">
        <v>0.5</v>
      </c>
      <c r="C64" s="33">
        <v>0.5</v>
      </c>
      <c r="D64" s="33">
        <v>1</v>
      </c>
    </row>
    <row r="65" spans="1:4">
      <c r="A65" s="11" t="s">
        <v>732</v>
      </c>
      <c r="B65" s="33">
        <v>1</v>
      </c>
      <c r="C65" s="33">
        <v>0</v>
      </c>
      <c r="D65" s="33">
        <v>1</v>
      </c>
    </row>
    <row r="66" spans="1:4">
      <c r="A66" s="11" t="s">
        <v>729</v>
      </c>
      <c r="B66" s="33">
        <v>0.66666666666666663</v>
      </c>
      <c r="C66" s="33">
        <v>0.33333333333333331</v>
      </c>
      <c r="D66" s="33">
        <v>1</v>
      </c>
    </row>
    <row r="67" spans="1:4">
      <c r="A67" s="11" t="s">
        <v>730</v>
      </c>
      <c r="B67" s="33">
        <v>0.8666666666666667</v>
      </c>
      <c r="C67" s="33">
        <v>0.13333333333333333</v>
      </c>
      <c r="D67" s="33">
        <v>1</v>
      </c>
    </row>
    <row r="68" spans="1:4">
      <c r="A68" s="11" t="s">
        <v>728</v>
      </c>
      <c r="B68" s="33">
        <v>0.875</v>
      </c>
      <c r="C68" s="33">
        <v>0.125</v>
      </c>
      <c r="D68" s="33">
        <v>1</v>
      </c>
    </row>
    <row r="69" spans="1:4">
      <c r="A69" s="10" t="s">
        <v>651</v>
      </c>
      <c r="B69" s="33">
        <v>0.61363636363636365</v>
      </c>
      <c r="C69" s="33">
        <v>0.38636363636363635</v>
      </c>
      <c r="D69" s="33">
        <v>1</v>
      </c>
    </row>
    <row r="70" spans="1:4">
      <c r="A70" s="11" t="s">
        <v>733</v>
      </c>
      <c r="B70" s="33">
        <v>0.53846153846153844</v>
      </c>
      <c r="C70" s="33">
        <v>0.46153846153846156</v>
      </c>
      <c r="D70" s="33">
        <v>1</v>
      </c>
    </row>
    <row r="71" spans="1:4">
      <c r="A71" s="11" t="s">
        <v>727</v>
      </c>
      <c r="B71" s="33">
        <v>0.83333333333333337</v>
      </c>
      <c r="C71" s="33">
        <v>0.16666666666666666</v>
      </c>
      <c r="D71" s="33">
        <v>1</v>
      </c>
    </row>
    <row r="72" spans="1:4">
      <c r="A72" s="11" t="s">
        <v>731</v>
      </c>
      <c r="B72" s="33">
        <v>0.5</v>
      </c>
      <c r="C72" s="33">
        <v>0.5</v>
      </c>
      <c r="D72" s="33">
        <v>1</v>
      </c>
    </row>
    <row r="73" spans="1:4">
      <c r="A73" s="11" t="s">
        <v>732</v>
      </c>
      <c r="B73" s="33">
        <v>0.4</v>
      </c>
      <c r="C73" s="33">
        <v>0.6</v>
      </c>
      <c r="D73" s="33">
        <v>1</v>
      </c>
    </row>
    <row r="74" spans="1:4">
      <c r="A74" s="11" t="s">
        <v>729</v>
      </c>
      <c r="B74" s="33">
        <v>0.5</v>
      </c>
      <c r="C74" s="33">
        <v>0.5</v>
      </c>
      <c r="D74" s="33">
        <v>1</v>
      </c>
    </row>
    <row r="75" spans="1:4">
      <c r="A75" s="11" t="s">
        <v>730</v>
      </c>
      <c r="B75" s="33">
        <v>0.83333333333333337</v>
      </c>
      <c r="C75" s="33">
        <v>0.16666666666666666</v>
      </c>
      <c r="D75" s="33">
        <v>1</v>
      </c>
    </row>
    <row r="76" spans="1:4">
      <c r="A76" s="11" t="s">
        <v>728</v>
      </c>
      <c r="B76" s="33">
        <v>0.66666666666666663</v>
      </c>
      <c r="C76" s="33">
        <v>0.33333333333333331</v>
      </c>
      <c r="D76" s="33">
        <v>1</v>
      </c>
    </row>
    <row r="77" spans="1:4">
      <c r="A77" s="10" t="s">
        <v>661</v>
      </c>
      <c r="B77" s="33">
        <v>0.75555555555555554</v>
      </c>
      <c r="C77" s="33">
        <v>0.24444444444444444</v>
      </c>
      <c r="D77" s="33">
        <v>1</v>
      </c>
    </row>
    <row r="78" spans="1:4">
      <c r="A78" s="11" t="s">
        <v>733</v>
      </c>
      <c r="B78" s="33">
        <v>0.5</v>
      </c>
      <c r="C78" s="33">
        <v>0.5</v>
      </c>
      <c r="D78" s="33">
        <v>1</v>
      </c>
    </row>
    <row r="79" spans="1:4">
      <c r="A79" s="11" t="s">
        <v>727</v>
      </c>
      <c r="B79" s="33">
        <v>0.72727272727272729</v>
      </c>
      <c r="C79" s="33">
        <v>0.27272727272727271</v>
      </c>
      <c r="D79" s="33">
        <v>1</v>
      </c>
    </row>
    <row r="80" spans="1:4">
      <c r="A80" s="11" t="s">
        <v>731</v>
      </c>
      <c r="B80" s="33">
        <v>1</v>
      </c>
      <c r="C80" s="33">
        <v>0</v>
      </c>
      <c r="D80" s="33">
        <v>1</v>
      </c>
    </row>
    <row r="81" spans="1:4">
      <c r="A81" s="11" t="s">
        <v>732</v>
      </c>
      <c r="B81" s="33">
        <v>0.8571428571428571</v>
      </c>
      <c r="C81" s="33">
        <v>0.14285714285714285</v>
      </c>
      <c r="D81" s="33">
        <v>1</v>
      </c>
    </row>
    <row r="82" spans="1:4">
      <c r="A82" s="11" t="s">
        <v>729</v>
      </c>
      <c r="B82" s="33">
        <v>0.7142857142857143</v>
      </c>
      <c r="C82" s="33">
        <v>0.2857142857142857</v>
      </c>
      <c r="D82" s="33">
        <v>1</v>
      </c>
    </row>
    <row r="83" spans="1:4">
      <c r="A83" s="11" t="s">
        <v>730</v>
      </c>
      <c r="B83" s="33">
        <v>0.5</v>
      </c>
      <c r="C83" s="33">
        <v>0.5</v>
      </c>
      <c r="D83" s="33">
        <v>1</v>
      </c>
    </row>
    <row r="84" spans="1:4">
      <c r="A84" s="11" t="s">
        <v>728</v>
      </c>
      <c r="B84" s="33">
        <v>0.8</v>
      </c>
      <c r="C84" s="33">
        <v>0.2</v>
      </c>
      <c r="D84" s="33">
        <v>1</v>
      </c>
    </row>
    <row r="85" spans="1:4">
      <c r="A85" s="10" t="s">
        <v>658</v>
      </c>
      <c r="B85" s="33">
        <v>0.7592592592592593</v>
      </c>
      <c r="C85" s="33">
        <v>0.24074074074074073</v>
      </c>
      <c r="D85" s="33">
        <v>1</v>
      </c>
    </row>
    <row r="86" spans="1:4">
      <c r="A86" s="11" t="s">
        <v>733</v>
      </c>
      <c r="B86" s="33">
        <v>0.875</v>
      </c>
      <c r="C86" s="33">
        <v>0.125</v>
      </c>
      <c r="D86" s="33">
        <v>1</v>
      </c>
    </row>
    <row r="87" spans="1:4">
      <c r="A87" s="11" t="s">
        <v>727</v>
      </c>
      <c r="B87" s="33">
        <v>0.7142857142857143</v>
      </c>
      <c r="C87" s="33">
        <v>0.2857142857142857</v>
      </c>
      <c r="D87" s="33">
        <v>1</v>
      </c>
    </row>
    <row r="88" spans="1:4">
      <c r="A88" s="11" t="s">
        <v>731</v>
      </c>
      <c r="B88" s="33">
        <v>0.66666666666666663</v>
      </c>
      <c r="C88" s="33">
        <v>0.33333333333333331</v>
      </c>
      <c r="D88" s="33">
        <v>1</v>
      </c>
    </row>
    <row r="89" spans="1:4">
      <c r="A89" s="11" t="s">
        <v>732</v>
      </c>
      <c r="B89" s="33">
        <v>0.7142857142857143</v>
      </c>
      <c r="C89" s="33">
        <v>0.2857142857142857</v>
      </c>
      <c r="D89" s="33">
        <v>1</v>
      </c>
    </row>
    <row r="90" spans="1:4">
      <c r="A90" s="11" t="s">
        <v>729</v>
      </c>
      <c r="B90" s="33">
        <v>0.77777777777777779</v>
      </c>
      <c r="C90" s="33">
        <v>0.22222222222222221</v>
      </c>
      <c r="D90" s="33">
        <v>1</v>
      </c>
    </row>
    <row r="91" spans="1:4">
      <c r="A91" s="11" t="s">
        <v>730</v>
      </c>
      <c r="B91" s="33">
        <v>1</v>
      </c>
      <c r="C91" s="33">
        <v>0</v>
      </c>
      <c r="D91" s="33">
        <v>1</v>
      </c>
    </row>
    <row r="92" spans="1:4">
      <c r="A92" s="11" t="s">
        <v>728</v>
      </c>
      <c r="B92" s="33">
        <v>0.7</v>
      </c>
      <c r="C92" s="33">
        <v>0.3</v>
      </c>
      <c r="D92" s="33">
        <v>1</v>
      </c>
    </row>
    <row r="93" spans="1:4">
      <c r="A93" s="10" t="s">
        <v>660</v>
      </c>
      <c r="B93" s="33">
        <v>0.70588235294117652</v>
      </c>
      <c r="C93" s="33">
        <v>0.29411764705882354</v>
      </c>
      <c r="D93" s="33">
        <v>1</v>
      </c>
    </row>
    <row r="94" spans="1:4">
      <c r="A94" s="11" t="s">
        <v>733</v>
      </c>
      <c r="B94" s="33">
        <v>0.5</v>
      </c>
      <c r="C94" s="33">
        <v>0.5</v>
      </c>
      <c r="D94" s="33">
        <v>1</v>
      </c>
    </row>
    <row r="95" spans="1:4">
      <c r="A95" s="11" t="s">
        <v>727</v>
      </c>
      <c r="B95" s="33">
        <v>0.6</v>
      </c>
      <c r="C95" s="33">
        <v>0.4</v>
      </c>
      <c r="D95" s="33">
        <v>1</v>
      </c>
    </row>
    <row r="96" spans="1:4">
      <c r="A96" s="11" t="s">
        <v>731</v>
      </c>
      <c r="B96" s="33">
        <v>0.8</v>
      </c>
      <c r="C96" s="33">
        <v>0.2</v>
      </c>
      <c r="D96" s="33">
        <v>1</v>
      </c>
    </row>
    <row r="97" spans="1:4">
      <c r="A97" s="11" t="s">
        <v>732</v>
      </c>
      <c r="B97" s="33">
        <v>1</v>
      </c>
      <c r="C97" s="33">
        <v>0</v>
      </c>
      <c r="D97" s="33">
        <v>1</v>
      </c>
    </row>
    <row r="98" spans="1:4">
      <c r="A98" s="11" t="s">
        <v>729</v>
      </c>
      <c r="B98" s="33">
        <v>0.7</v>
      </c>
      <c r="C98" s="33">
        <v>0.3</v>
      </c>
      <c r="D98" s="33">
        <v>1</v>
      </c>
    </row>
    <row r="99" spans="1:4">
      <c r="A99" s="11" t="s">
        <v>730</v>
      </c>
      <c r="B99" s="33">
        <v>0.9</v>
      </c>
      <c r="C99" s="33">
        <v>0.1</v>
      </c>
      <c r="D99" s="33">
        <v>1</v>
      </c>
    </row>
    <row r="100" spans="1:4">
      <c r="A100" s="11" t="s">
        <v>728</v>
      </c>
      <c r="B100" s="33">
        <v>0.25</v>
      </c>
      <c r="C100" s="33">
        <v>0.75</v>
      </c>
      <c r="D100" s="33">
        <v>1</v>
      </c>
    </row>
    <row r="101" spans="1:4">
      <c r="A101" s="10" t="s">
        <v>1424</v>
      </c>
      <c r="B101" s="33">
        <v>0.76265822784810122</v>
      </c>
      <c r="C101" s="33">
        <v>0.23734177215189872</v>
      </c>
      <c r="D101" s="33">
        <v>1</v>
      </c>
    </row>
  </sheetData>
  <pageMargins left="0.7" right="0.7" top="0.75" bottom="0.75" header="0.3" footer="0.3"/>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40BB9A6-7F86-4481-981E-84EFC2E5ED98}">
  <dimension ref="A3:D69"/>
  <sheetViews>
    <sheetView workbookViewId="0">
      <selection activeCell="A3" sqref="A3:D69"/>
      <pivotSelection pane="bottomRight" showHeader="1" activeRow="2" previousRow="2" click="1" r:id="rId1">
        <pivotArea type="all" dataOnly="0" outline="0" fieldPosition="0"/>
      </pivotSelection>
    </sheetView>
  </sheetViews>
  <sheetFormatPr defaultRowHeight="15"/>
  <cols>
    <col min="1" max="1" width="16.140625" bestFit="1" customWidth="1"/>
    <col min="2" max="2" width="16.28515625" bestFit="1" customWidth="1"/>
    <col min="3" max="3" width="7.140625" bestFit="1" customWidth="1"/>
    <col min="4" max="4" width="11.28515625" bestFit="1" customWidth="1"/>
    <col min="5" max="5" width="7.28515625" bestFit="1" customWidth="1"/>
    <col min="6" max="6" width="11.28515625" bestFit="1" customWidth="1"/>
  </cols>
  <sheetData>
    <row r="3" spans="1:4">
      <c r="A3" s="9" t="s">
        <v>1425</v>
      </c>
      <c r="B3" s="9" t="s">
        <v>1428</v>
      </c>
    </row>
    <row r="4" spans="1:4">
      <c r="A4" s="9" t="s">
        <v>1423</v>
      </c>
      <c r="B4" t="s">
        <v>1470</v>
      </c>
      <c r="C4" t="s">
        <v>1471</v>
      </c>
      <c r="D4" t="s">
        <v>1424</v>
      </c>
    </row>
    <row r="5" spans="1:4">
      <c r="A5" s="10" t="s">
        <v>646</v>
      </c>
      <c r="B5" s="33">
        <v>0.86896551724137927</v>
      </c>
      <c r="C5" s="33">
        <v>0.1310344827586207</v>
      </c>
      <c r="D5" s="33">
        <v>1</v>
      </c>
    </row>
    <row r="6" spans="1:4">
      <c r="A6" s="11" t="s">
        <v>720</v>
      </c>
      <c r="B6" s="33">
        <v>0.83333333333333337</v>
      </c>
      <c r="C6" s="33">
        <v>0.16666666666666666</v>
      </c>
      <c r="D6" s="33">
        <v>1</v>
      </c>
    </row>
    <row r="7" spans="1:4">
      <c r="A7" s="11" t="s">
        <v>717</v>
      </c>
      <c r="B7" s="33">
        <v>1</v>
      </c>
      <c r="C7" s="33">
        <v>0</v>
      </c>
      <c r="D7" s="33">
        <v>1</v>
      </c>
    </row>
    <row r="8" spans="1:4">
      <c r="A8" s="11" t="s">
        <v>712</v>
      </c>
      <c r="B8" s="33">
        <v>0.75</v>
      </c>
      <c r="C8" s="33">
        <v>0.25</v>
      </c>
      <c r="D8" s="33">
        <v>1</v>
      </c>
    </row>
    <row r="9" spans="1:4">
      <c r="A9" s="11" t="s">
        <v>726</v>
      </c>
      <c r="B9" s="33">
        <v>0.8</v>
      </c>
      <c r="C9" s="33">
        <v>0.2</v>
      </c>
      <c r="D9" s="33">
        <v>1</v>
      </c>
    </row>
    <row r="10" spans="1:4">
      <c r="A10" s="11" t="s">
        <v>718</v>
      </c>
      <c r="B10" s="33">
        <v>0.8</v>
      </c>
      <c r="C10" s="33">
        <v>0.2</v>
      </c>
      <c r="D10" s="33">
        <v>1</v>
      </c>
    </row>
    <row r="11" spans="1:4">
      <c r="A11" s="11" t="s">
        <v>721</v>
      </c>
      <c r="B11" s="33">
        <v>1</v>
      </c>
      <c r="C11" s="33">
        <v>0</v>
      </c>
      <c r="D11" s="33">
        <v>1</v>
      </c>
    </row>
    <row r="12" spans="1:4">
      <c r="A12" s="11" t="s">
        <v>715</v>
      </c>
      <c r="B12" s="33">
        <v>1</v>
      </c>
      <c r="C12" s="33">
        <v>0</v>
      </c>
      <c r="D12" s="33">
        <v>1</v>
      </c>
    </row>
    <row r="13" spans="1:4">
      <c r="A13" s="11" t="s">
        <v>722</v>
      </c>
      <c r="B13" s="33">
        <v>1</v>
      </c>
      <c r="C13" s="33">
        <v>0</v>
      </c>
      <c r="D13" s="33">
        <v>1</v>
      </c>
    </row>
    <row r="14" spans="1:4">
      <c r="A14" s="11" t="s">
        <v>714</v>
      </c>
      <c r="B14" s="33">
        <v>0.75</v>
      </c>
      <c r="C14" s="33">
        <v>0.25</v>
      </c>
      <c r="D14" s="33">
        <v>1</v>
      </c>
    </row>
    <row r="15" spans="1:4">
      <c r="A15" s="11" t="s">
        <v>713</v>
      </c>
      <c r="B15" s="33">
        <v>0.75</v>
      </c>
      <c r="C15" s="33">
        <v>0.25</v>
      </c>
      <c r="D15" s="33">
        <v>1</v>
      </c>
    </row>
    <row r="16" spans="1:4">
      <c r="A16" s="11" t="s">
        <v>723</v>
      </c>
      <c r="B16" s="33">
        <v>1</v>
      </c>
      <c r="C16" s="33">
        <v>0</v>
      </c>
      <c r="D16" s="33">
        <v>1</v>
      </c>
    </row>
    <row r="17" spans="1:4">
      <c r="A17" s="11" t="s">
        <v>716</v>
      </c>
      <c r="B17" s="33">
        <v>0.8</v>
      </c>
      <c r="C17" s="33">
        <v>0.2</v>
      </c>
      <c r="D17" s="33">
        <v>1</v>
      </c>
    </row>
    <row r="18" spans="1:4">
      <c r="A18" s="11" t="s">
        <v>724</v>
      </c>
      <c r="B18" s="33">
        <v>0.75</v>
      </c>
      <c r="C18" s="33">
        <v>0.25</v>
      </c>
      <c r="D18" s="33">
        <v>1</v>
      </c>
    </row>
    <row r="19" spans="1:4">
      <c r="A19" s="11" t="s">
        <v>725</v>
      </c>
      <c r="B19" s="33">
        <v>1</v>
      </c>
      <c r="C19" s="33">
        <v>0</v>
      </c>
      <c r="D19" s="33">
        <v>1</v>
      </c>
    </row>
    <row r="20" spans="1:4">
      <c r="A20" s="11" t="s">
        <v>719</v>
      </c>
      <c r="B20" s="33">
        <v>1</v>
      </c>
      <c r="C20" s="33">
        <v>0</v>
      </c>
      <c r="D20" s="33">
        <v>1</v>
      </c>
    </row>
    <row r="21" spans="1:4">
      <c r="A21" s="10" t="s">
        <v>648</v>
      </c>
      <c r="B21" s="33">
        <v>0.83439490445859876</v>
      </c>
      <c r="C21" s="33">
        <v>0.16560509554140126</v>
      </c>
      <c r="D21" s="33">
        <v>1</v>
      </c>
    </row>
    <row r="22" spans="1:4">
      <c r="A22" s="11" t="s">
        <v>720</v>
      </c>
      <c r="B22" s="33">
        <v>0.5</v>
      </c>
      <c r="C22" s="33">
        <v>0.5</v>
      </c>
      <c r="D22" s="33">
        <v>1</v>
      </c>
    </row>
    <row r="23" spans="1:4">
      <c r="A23" s="11" t="s">
        <v>717</v>
      </c>
      <c r="B23" s="33">
        <v>0.875</v>
      </c>
      <c r="C23" s="33">
        <v>0.125</v>
      </c>
      <c r="D23" s="33">
        <v>1</v>
      </c>
    </row>
    <row r="24" spans="1:4">
      <c r="A24" s="11" t="s">
        <v>712</v>
      </c>
      <c r="B24" s="33">
        <v>0.8571428571428571</v>
      </c>
      <c r="C24" s="33">
        <v>0.14285714285714285</v>
      </c>
      <c r="D24" s="33">
        <v>1</v>
      </c>
    </row>
    <row r="25" spans="1:4">
      <c r="A25" s="11" t="s">
        <v>726</v>
      </c>
      <c r="B25" s="33">
        <v>0.5</v>
      </c>
      <c r="C25" s="33">
        <v>0.5</v>
      </c>
      <c r="D25" s="33">
        <v>1</v>
      </c>
    </row>
    <row r="26" spans="1:4">
      <c r="A26" s="11" t="s">
        <v>718</v>
      </c>
      <c r="B26" s="33">
        <v>1</v>
      </c>
      <c r="C26" s="33">
        <v>0</v>
      </c>
      <c r="D26" s="33">
        <v>1</v>
      </c>
    </row>
    <row r="27" spans="1:4">
      <c r="A27" s="11" t="s">
        <v>721</v>
      </c>
      <c r="B27" s="33">
        <v>0.88235294117647056</v>
      </c>
      <c r="C27" s="33">
        <v>0.11764705882352941</v>
      </c>
      <c r="D27" s="33">
        <v>1</v>
      </c>
    </row>
    <row r="28" spans="1:4">
      <c r="A28" s="11" t="s">
        <v>715</v>
      </c>
      <c r="B28" s="33">
        <v>0.875</v>
      </c>
      <c r="C28" s="33">
        <v>0.125</v>
      </c>
      <c r="D28" s="33">
        <v>1</v>
      </c>
    </row>
    <row r="29" spans="1:4">
      <c r="A29" s="11" t="s">
        <v>722</v>
      </c>
      <c r="B29" s="33">
        <v>1</v>
      </c>
      <c r="C29" s="33">
        <v>0</v>
      </c>
      <c r="D29" s="33">
        <v>1</v>
      </c>
    </row>
    <row r="30" spans="1:4">
      <c r="A30" s="11" t="s">
        <v>714</v>
      </c>
      <c r="B30" s="33">
        <v>0.6428571428571429</v>
      </c>
      <c r="C30" s="33">
        <v>0.35714285714285715</v>
      </c>
      <c r="D30" s="33">
        <v>1</v>
      </c>
    </row>
    <row r="31" spans="1:4">
      <c r="A31" s="11" t="s">
        <v>713</v>
      </c>
      <c r="B31" s="33">
        <v>1</v>
      </c>
      <c r="C31" s="33">
        <v>0</v>
      </c>
      <c r="D31" s="33">
        <v>1</v>
      </c>
    </row>
    <row r="32" spans="1:4">
      <c r="A32" s="11" t="s">
        <v>723</v>
      </c>
      <c r="B32" s="33">
        <v>0.9</v>
      </c>
      <c r="C32" s="33">
        <v>0.1</v>
      </c>
      <c r="D32" s="33">
        <v>1</v>
      </c>
    </row>
    <row r="33" spans="1:4">
      <c r="A33" s="11" t="s">
        <v>716</v>
      </c>
      <c r="B33" s="33">
        <v>0.83333333333333337</v>
      </c>
      <c r="C33" s="33">
        <v>0.16666666666666666</v>
      </c>
      <c r="D33" s="33">
        <v>1</v>
      </c>
    </row>
    <row r="34" spans="1:4">
      <c r="A34" s="11" t="s">
        <v>724</v>
      </c>
      <c r="B34" s="33">
        <v>0.84615384615384615</v>
      </c>
      <c r="C34" s="33">
        <v>0.15384615384615385</v>
      </c>
      <c r="D34" s="33">
        <v>1</v>
      </c>
    </row>
    <row r="35" spans="1:4">
      <c r="A35" s="11" t="s">
        <v>725</v>
      </c>
      <c r="B35" s="33">
        <v>0.8571428571428571</v>
      </c>
      <c r="C35" s="33">
        <v>0.14285714285714285</v>
      </c>
      <c r="D35" s="33">
        <v>1</v>
      </c>
    </row>
    <row r="36" spans="1:4">
      <c r="A36" s="11" t="s">
        <v>719</v>
      </c>
      <c r="B36" s="33">
        <v>1</v>
      </c>
      <c r="C36" s="33">
        <v>0</v>
      </c>
      <c r="D36" s="33">
        <v>1</v>
      </c>
    </row>
    <row r="37" spans="1:4">
      <c r="A37" s="10" t="s">
        <v>647</v>
      </c>
      <c r="B37" s="33">
        <v>0.8771929824561403</v>
      </c>
      <c r="C37" s="33">
        <v>0.12280701754385964</v>
      </c>
      <c r="D37" s="33">
        <v>1</v>
      </c>
    </row>
    <row r="38" spans="1:4">
      <c r="A38" s="11" t="s">
        <v>720</v>
      </c>
      <c r="B38" s="33">
        <v>1</v>
      </c>
      <c r="C38" s="33">
        <v>0</v>
      </c>
      <c r="D38" s="33">
        <v>1</v>
      </c>
    </row>
    <row r="39" spans="1:4">
      <c r="A39" s="11" t="s">
        <v>717</v>
      </c>
      <c r="B39" s="33">
        <v>0.89473684210526316</v>
      </c>
      <c r="C39" s="33">
        <v>0.10526315789473684</v>
      </c>
      <c r="D39" s="33">
        <v>1</v>
      </c>
    </row>
    <row r="40" spans="1:4">
      <c r="A40" s="11" t="s">
        <v>712</v>
      </c>
      <c r="B40" s="33">
        <v>0.9</v>
      </c>
      <c r="C40" s="33">
        <v>0.1</v>
      </c>
      <c r="D40" s="33">
        <v>1</v>
      </c>
    </row>
    <row r="41" spans="1:4">
      <c r="A41" s="11" t="s">
        <v>726</v>
      </c>
      <c r="B41" s="33">
        <v>0.88888888888888884</v>
      </c>
      <c r="C41" s="33">
        <v>0.1111111111111111</v>
      </c>
      <c r="D41" s="33">
        <v>1</v>
      </c>
    </row>
    <row r="42" spans="1:4">
      <c r="A42" s="11" t="s">
        <v>718</v>
      </c>
      <c r="B42" s="33">
        <v>1</v>
      </c>
      <c r="C42" s="33">
        <v>0</v>
      </c>
      <c r="D42" s="33">
        <v>1</v>
      </c>
    </row>
    <row r="43" spans="1:4">
      <c r="A43" s="11" t="s">
        <v>721</v>
      </c>
      <c r="B43" s="33">
        <v>0.75</v>
      </c>
      <c r="C43" s="33">
        <v>0.25</v>
      </c>
      <c r="D43" s="33">
        <v>1</v>
      </c>
    </row>
    <row r="44" spans="1:4">
      <c r="A44" s="11" t="s">
        <v>715</v>
      </c>
      <c r="B44" s="33">
        <v>0.90909090909090906</v>
      </c>
      <c r="C44" s="33">
        <v>9.0909090909090912E-2</v>
      </c>
      <c r="D44" s="33">
        <v>1</v>
      </c>
    </row>
    <row r="45" spans="1:4">
      <c r="A45" s="11" t="s">
        <v>722</v>
      </c>
      <c r="B45" s="33">
        <v>0.9375</v>
      </c>
      <c r="C45" s="33">
        <v>6.25E-2</v>
      </c>
      <c r="D45" s="33">
        <v>1</v>
      </c>
    </row>
    <row r="46" spans="1:4">
      <c r="A46" s="11" t="s">
        <v>714</v>
      </c>
      <c r="B46" s="33">
        <v>0.875</v>
      </c>
      <c r="C46" s="33">
        <v>0.125</v>
      </c>
      <c r="D46" s="33">
        <v>1</v>
      </c>
    </row>
    <row r="47" spans="1:4">
      <c r="A47" s="11" t="s">
        <v>713</v>
      </c>
      <c r="B47" s="33">
        <v>0.89473684210526316</v>
      </c>
      <c r="C47" s="33">
        <v>0.10526315789473684</v>
      </c>
      <c r="D47" s="33">
        <v>1</v>
      </c>
    </row>
    <row r="48" spans="1:4">
      <c r="A48" s="11" t="s">
        <v>723</v>
      </c>
      <c r="B48" s="33">
        <v>0.8571428571428571</v>
      </c>
      <c r="C48" s="33">
        <v>0.14285714285714285</v>
      </c>
      <c r="D48" s="33">
        <v>1</v>
      </c>
    </row>
    <row r="49" spans="1:4">
      <c r="A49" s="11" t="s">
        <v>716</v>
      </c>
      <c r="B49" s="33">
        <v>0.7857142857142857</v>
      </c>
      <c r="C49" s="33">
        <v>0.21428571428571427</v>
      </c>
      <c r="D49" s="33">
        <v>1</v>
      </c>
    </row>
    <row r="50" spans="1:4">
      <c r="A50" s="11" t="s">
        <v>724</v>
      </c>
      <c r="B50" s="33">
        <v>1</v>
      </c>
      <c r="C50" s="33">
        <v>0</v>
      </c>
      <c r="D50" s="33">
        <v>1</v>
      </c>
    </row>
    <row r="51" spans="1:4">
      <c r="A51" s="11" t="s">
        <v>725</v>
      </c>
      <c r="B51" s="33">
        <v>0.9</v>
      </c>
      <c r="C51" s="33">
        <v>0.1</v>
      </c>
      <c r="D51" s="33">
        <v>1</v>
      </c>
    </row>
    <row r="52" spans="1:4">
      <c r="A52" s="11" t="s">
        <v>719</v>
      </c>
      <c r="B52" s="33">
        <v>0.5</v>
      </c>
      <c r="C52" s="33">
        <v>0.5</v>
      </c>
      <c r="D52" s="33">
        <v>1</v>
      </c>
    </row>
    <row r="53" spans="1:4">
      <c r="A53" s="10" t="s">
        <v>649</v>
      </c>
      <c r="B53" s="33">
        <v>0.89308176100628933</v>
      </c>
      <c r="C53" s="33">
        <v>0.1069182389937107</v>
      </c>
      <c r="D53" s="33">
        <v>1</v>
      </c>
    </row>
    <row r="54" spans="1:4">
      <c r="A54" s="11" t="s">
        <v>720</v>
      </c>
      <c r="B54" s="33">
        <v>0.9</v>
      </c>
      <c r="C54" s="33">
        <v>0.1</v>
      </c>
      <c r="D54" s="33">
        <v>1</v>
      </c>
    </row>
    <row r="55" spans="1:4">
      <c r="A55" s="11" t="s">
        <v>717</v>
      </c>
      <c r="B55" s="33">
        <v>0.8666666666666667</v>
      </c>
      <c r="C55" s="33">
        <v>0.13333333333333333</v>
      </c>
      <c r="D55" s="33">
        <v>1</v>
      </c>
    </row>
    <row r="56" spans="1:4">
      <c r="A56" s="11" t="s">
        <v>712</v>
      </c>
      <c r="B56" s="33">
        <v>0.8</v>
      </c>
      <c r="C56" s="33">
        <v>0.2</v>
      </c>
      <c r="D56" s="33">
        <v>1</v>
      </c>
    </row>
    <row r="57" spans="1:4">
      <c r="A57" s="11" t="s">
        <v>726</v>
      </c>
      <c r="B57" s="33">
        <v>0.91666666666666663</v>
      </c>
      <c r="C57" s="33">
        <v>8.3333333333333329E-2</v>
      </c>
      <c r="D57" s="33">
        <v>1</v>
      </c>
    </row>
    <row r="58" spans="1:4">
      <c r="A58" s="11" t="s">
        <v>718</v>
      </c>
      <c r="B58" s="33">
        <v>0.875</v>
      </c>
      <c r="C58" s="33">
        <v>0.125</v>
      </c>
      <c r="D58" s="33">
        <v>1</v>
      </c>
    </row>
    <row r="59" spans="1:4">
      <c r="A59" s="11" t="s">
        <v>721</v>
      </c>
      <c r="B59" s="33">
        <v>1</v>
      </c>
      <c r="C59" s="33">
        <v>0</v>
      </c>
      <c r="D59" s="33">
        <v>1</v>
      </c>
    </row>
    <row r="60" spans="1:4">
      <c r="A60" s="11" t="s">
        <v>715</v>
      </c>
      <c r="B60" s="33">
        <v>0.875</v>
      </c>
      <c r="C60" s="33">
        <v>0.125</v>
      </c>
      <c r="D60" s="33">
        <v>1</v>
      </c>
    </row>
    <row r="61" spans="1:4">
      <c r="A61" s="11" t="s">
        <v>722</v>
      </c>
      <c r="B61" s="33">
        <v>0.92307692307692313</v>
      </c>
      <c r="C61" s="33">
        <v>7.6923076923076927E-2</v>
      </c>
      <c r="D61" s="33">
        <v>1</v>
      </c>
    </row>
    <row r="62" spans="1:4">
      <c r="A62" s="11" t="s">
        <v>714</v>
      </c>
      <c r="B62" s="33">
        <v>0.875</v>
      </c>
      <c r="C62" s="33">
        <v>0.125</v>
      </c>
      <c r="D62" s="33">
        <v>1</v>
      </c>
    </row>
    <row r="63" spans="1:4">
      <c r="A63" s="11" t="s">
        <v>713</v>
      </c>
      <c r="B63" s="33">
        <v>0.88888888888888884</v>
      </c>
      <c r="C63" s="33">
        <v>0.1111111111111111</v>
      </c>
      <c r="D63" s="33">
        <v>1</v>
      </c>
    </row>
    <row r="64" spans="1:4">
      <c r="A64" s="11" t="s">
        <v>723</v>
      </c>
      <c r="B64" s="33">
        <v>0.84615384615384615</v>
      </c>
      <c r="C64" s="33">
        <v>0.15384615384615385</v>
      </c>
      <c r="D64" s="33">
        <v>1</v>
      </c>
    </row>
    <row r="65" spans="1:4">
      <c r="A65" s="11" t="s">
        <v>716</v>
      </c>
      <c r="B65" s="33">
        <v>1</v>
      </c>
      <c r="C65" s="33">
        <v>0</v>
      </c>
      <c r="D65" s="33">
        <v>1</v>
      </c>
    </row>
    <row r="66" spans="1:4">
      <c r="A66" s="11" t="s">
        <v>724</v>
      </c>
      <c r="B66" s="33">
        <v>0.9</v>
      </c>
      <c r="C66" s="33">
        <v>0.1</v>
      </c>
      <c r="D66" s="33">
        <v>1</v>
      </c>
    </row>
    <row r="67" spans="1:4">
      <c r="A67" s="11" t="s">
        <v>725</v>
      </c>
      <c r="B67" s="33">
        <v>0.72727272727272729</v>
      </c>
      <c r="C67" s="33">
        <v>0.27272727272727271</v>
      </c>
      <c r="D67" s="33">
        <v>1</v>
      </c>
    </row>
    <row r="68" spans="1:4">
      <c r="A68" s="11" t="s">
        <v>719</v>
      </c>
      <c r="B68" s="33">
        <v>1</v>
      </c>
      <c r="C68" s="33">
        <v>0</v>
      </c>
      <c r="D68" s="33">
        <v>1</v>
      </c>
    </row>
    <row r="69" spans="1:4">
      <c r="A69" s="10" t="s">
        <v>1424</v>
      </c>
      <c r="B69" s="33">
        <v>0.86867088607594933</v>
      </c>
      <c r="C69" s="33">
        <v>0.13132911392405064</v>
      </c>
      <c r="D69" s="33">
        <v>1</v>
      </c>
    </row>
  </sheetData>
  <conditionalFormatting pivot="1" sqref="C6:C20">
    <cfRule type="cellIs" dxfId="31" priority="4" operator="greaterThan">
      <formula>0.1313</formula>
    </cfRule>
  </conditionalFormatting>
  <conditionalFormatting pivot="1" sqref="C22:C36">
    <cfRule type="cellIs" dxfId="30" priority="3" operator="greaterThan">
      <formula>0.1313</formula>
    </cfRule>
  </conditionalFormatting>
  <conditionalFormatting pivot="1" sqref="C38:C52">
    <cfRule type="cellIs" dxfId="29" priority="2" operator="greaterThan">
      <formula>0.1313</formula>
    </cfRule>
  </conditionalFormatting>
  <conditionalFormatting pivot="1" sqref="C54:C68">
    <cfRule type="cellIs" dxfId="28" priority="1" operator="greaterThan">
      <formula>0.1313</formula>
    </cfRule>
  </conditionalFormatting>
  <pageMargins left="0.7" right="0.7" top="0.75" bottom="0.75" header="0.3" footer="0.3"/>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7A4F5B7-B30E-48F6-8B45-480F871DABE8}">
  <dimension ref="A1:H4"/>
  <sheetViews>
    <sheetView workbookViewId="0">
      <selection activeCell="D13" sqref="D13"/>
    </sheetView>
  </sheetViews>
  <sheetFormatPr defaultRowHeight="15"/>
  <cols>
    <col min="1" max="1" width="32.5703125" bestFit="1" customWidth="1"/>
    <col min="2" max="2" width="14.28515625" customWidth="1"/>
    <col min="3" max="3" width="11" customWidth="1"/>
    <col min="4" max="4" width="16.28515625" bestFit="1" customWidth="1"/>
    <col min="5" max="5" width="27.140625" bestFit="1" customWidth="1"/>
    <col min="6" max="6" width="17" customWidth="1"/>
    <col min="7" max="7" width="14.5703125" customWidth="1"/>
    <col min="8" max="8" width="15" customWidth="1"/>
  </cols>
  <sheetData>
    <row r="1" spans="1:8">
      <c r="D1" s="35"/>
      <c r="E1" s="35" t="s">
        <v>1483</v>
      </c>
      <c r="F1" s="35" t="s">
        <v>1484</v>
      </c>
      <c r="G1" s="35" t="s">
        <v>1485</v>
      </c>
      <c r="H1" s="35" t="s">
        <v>1486</v>
      </c>
    </row>
    <row r="2" spans="1:8">
      <c r="A2" s="37" t="s">
        <v>1475</v>
      </c>
      <c r="B2" s="38">
        <v>0.25</v>
      </c>
      <c r="D2" s="35" t="s">
        <v>1487</v>
      </c>
      <c r="E2" s="36">
        <f>SUM(Clean!AB2:AB633)</f>
        <v>10983317.026251854</v>
      </c>
      <c r="F2" s="36">
        <f>SUM(Clean!AI2:AI633)</f>
        <v>10994484.653721852</v>
      </c>
      <c r="G2" s="36">
        <f>F2-E2</f>
        <v>11167.627469997853</v>
      </c>
      <c r="H2" s="39">
        <f>G2/E2*(100)</f>
        <v>0.1016780945438019</v>
      </c>
    </row>
    <row r="3" spans="1:8">
      <c r="A3" s="37" t="s">
        <v>1476</v>
      </c>
      <c r="B3" s="38">
        <v>0</v>
      </c>
      <c r="D3" s="35" t="s">
        <v>1488</v>
      </c>
      <c r="E3" s="36">
        <f>SUM(Clean!AD2:AD633)</f>
        <v>3455569.3162518586</v>
      </c>
      <c r="F3" s="36">
        <f>SUM(Clean!AJ2:AJ633)</f>
        <v>3466736.9437218574</v>
      </c>
      <c r="G3" s="36">
        <f>F3-E3</f>
        <v>11167.627469998784</v>
      </c>
      <c r="H3" s="39">
        <f>G3/E3*(100)</f>
        <v>0.3231776430435474</v>
      </c>
    </row>
    <row r="4" spans="1:8">
      <c r="A4" s="37" t="s">
        <v>1477</v>
      </c>
      <c r="B4" s="38">
        <v>0</v>
      </c>
    </row>
  </sheetData>
  <dataValidations count="3">
    <dataValidation type="decimal" allowBlank="1" showInputMessage="1" showErrorMessage="1" errorTitle="Discount Cap exceeded" error="Discount Must not be above 25%_x000a_" sqref="B2" xr:uid="{84DE46CB-4535-4FA0-855E-72F3231D81B7}">
      <formula1>0</formula1>
      <formula2>0.25</formula2>
    </dataValidation>
    <dataValidation type="decimal" allowBlank="1" showInputMessage="1" showErrorMessage="1" errorTitle="Invalid Inflation Factor" error="inflation factor must be between 0% and 15%" sqref="B3" xr:uid="{28338D07-90A9-455C-B9E0-123305598750}">
      <formula1>0</formula1>
      <formula2>0.15</formula2>
    </dataValidation>
    <dataValidation type="decimal" allowBlank="1" showInputMessage="1" showErrorMessage="1" errorTitle="Invalid entry" error="Value must be between 0% to 20%" sqref="B4" xr:uid="{D72AD13D-0E6C-4E62-8F69-694A209ED2E3}">
      <formula1>0</formula1>
      <formula2>0.2</formula2>
    </dataValidation>
  </dataValidation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17</vt:i4>
      </vt:variant>
    </vt:vector>
  </HeadingPairs>
  <TitlesOfParts>
    <vt:vector size="17" baseType="lpstr">
      <vt:lpstr>Data</vt:lpstr>
      <vt:lpstr>Clean</vt:lpstr>
      <vt:lpstr>Brief</vt:lpstr>
      <vt:lpstr>Dashboard</vt:lpstr>
      <vt:lpstr>Dashboard Charts</vt:lpstr>
      <vt:lpstr>ReadMe</vt:lpstr>
      <vt:lpstr>City order count</vt:lpstr>
      <vt:lpstr>Salesperson order count</vt:lpstr>
      <vt:lpstr>Channel order count</vt:lpstr>
      <vt:lpstr>Average LeadTimeDays</vt:lpstr>
      <vt:lpstr>First Time sales</vt:lpstr>
      <vt:lpstr>ABC Analysis</vt:lpstr>
      <vt:lpstr>Salesperson productivity</vt:lpstr>
      <vt:lpstr>Channel cannibalization</vt:lpstr>
      <vt:lpstr>7 Day target</vt:lpstr>
      <vt:lpstr>Discount Compliance</vt:lpstr>
      <vt:lpstr>Scenario Modeling</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Brigid Chepkemoi</dc:creator>
  <cp:lastModifiedBy>James Mwaniki</cp:lastModifiedBy>
  <dcterms:created xsi:type="dcterms:W3CDTF">2025-09-28T10:49:35Z</dcterms:created>
  <dcterms:modified xsi:type="dcterms:W3CDTF">2026-06-16T20:14:35Z</dcterms:modified>
</cp:coreProperties>
</file>